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drawings/charts/chart3.xml" ContentType="application/vnd.openxmlformats-officedocument.drawingml.char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61e21cfc59341cc" /></Relationships>
</file>

<file path=xl/workbook.xml><?xml version="1.0" encoding="utf-8"?>
<x:workbook xmlns:x="http://schemas.openxmlformats.org/spreadsheetml/2006/main">
  <x:sheets>
    <x:sheet xmlns:r="http://schemas.openxmlformats.org/officeDocument/2006/relationships" name="Summary" sheetId="1" r:id="R1875d470680c4f92"/>
    <x:sheet xmlns:r="http://schemas.openxmlformats.org/officeDocument/2006/relationships" name="Betas" sheetId="2" r:id="Rac642a2ce54f4566"/>
    <x:sheet xmlns:r="http://schemas.openxmlformats.org/officeDocument/2006/relationships" name="Fit" sheetId="3" r:id="Rcf6a13c1f2484bdd"/>
    <x:sheet xmlns:r="http://schemas.openxmlformats.org/officeDocument/2006/relationships" name="Stage risk" sheetId="4" r:id="R315c5e46c4834806"/>
    <x:sheet xmlns:r="http://schemas.openxmlformats.org/officeDocument/2006/relationships" name="Factor covariance" sheetId="5" r:id="Re37c417226074079"/>
    <x:sheet xmlns:r="http://schemas.openxmlformats.org/officeDocument/2006/relationships" name="Residual covariance" sheetId="6" r:id="Rbbaf3c05f1c94950"/>
    <x:sheet xmlns:r="http://schemas.openxmlformats.org/officeDocument/2006/relationships" name="PCA" sheetId="7" r:id="Ra0c365d5ce2a4d01"/>
    <x:sheet xmlns:r="http://schemas.openxmlformats.org/officeDocument/2006/relationships" name="Eigenvectors" sheetId="8" r:id="R62ff8b6b89ff441a"/>
    <x:sheet xmlns:r="http://schemas.openxmlformats.org/officeDocument/2006/relationships" name="PC scores" sheetId="9" r:id="R3129ff17dd994df5"/>
    <x:sheet xmlns:r="http://schemas.openxmlformats.org/officeDocument/2006/relationships" name="Coefficients" sheetId="10" r:id="R1880409a9dd944e7"/>
    <x:sheet xmlns:r="http://schemas.openxmlformats.org/officeDocument/2006/relationships" name="Selection log" sheetId="11" r:id="Rd78e5569bc034969"/>
    <x:sheet xmlns:r="http://schemas.openxmlformats.org/officeDocument/2006/relationships" name="Stage returns" sheetId="12" r:id="R7923b29c6f5e47a2"/>
    <x:sheet xmlns:r="http://schemas.openxmlformats.org/officeDocument/2006/relationships" name="Common sample" sheetId="13" r:id="R746fabda11484710"/>
    <x:sheet xmlns:r="http://schemas.openxmlformats.org/officeDocument/2006/relationships" name="Factor returns" sheetId="14" r:id="Radd73f5cc8cb451c"/>
    <x:sheet xmlns:r="http://schemas.openxmlformats.org/officeDocument/2006/relationships" name="Stock returns" sheetId="15" r:id="R2fa4bdb4967445c1"/>
    <x:sheet xmlns:r="http://schemas.openxmlformats.org/officeDocument/2006/relationships" name="Companies" sheetId="16" r:id="R53dcdf3e7c9e44c3"/>
  </x:sheets>
</x:workbook>
</file>

<file path=xl/sharedStrings.xml><?xml version="1.0" encoding="utf-8"?>
<x:sst xmlns:x="http://schemas.openxmlformats.org/spreadsheetml/2006/main"/>
</file>

<file path=xl/styles.xml><?xml version="1.0" encoding="utf-8"?>
<x:styleSheet xmlns:x="http://schemas.openxmlformats.org/spreadsheetml/2006/main">
  <x:numFmts count="6">
    <x:numFmt numFmtId="200" formatCode="0.0000"/>
    <x:numFmt numFmtId="201" formatCode="@"/>
    <x:numFmt numFmtId="202" formatCode="0"/>
    <x:numFmt numFmtId="203" formatCode="mm/dd/yy"/>
    <x:numFmt numFmtId="204" formatCode="0.0%"/>
    <x:numFmt numFmtId="205" formatCode="0.000000"/>
  </x:numFmts>
  <x:fonts count="11">
    <x:font>
      <x:sz val="11"/>
      <x:name val="Carlito"/>
    </x:font>
    <x:font>
      <x:sz val="10"/>
      <x:color rgb="FF222222"/>
      <x:name val="Arial"/>
    </x:font>
    <x:font>
      <x:b/>
      <x:sz val="15"/>
      <x:color rgb="FF203B56"/>
      <x:name val="Arial"/>
    </x:font>
    <x:font>
      <x:i/>
      <x:sz val="10"/>
      <x:color rgb="FF555555"/>
      <x:name val="Arial"/>
    </x:font>
    <x:font>
      <x:b/>
      <x:sz val="10"/>
      <x:color rgb="FFFFFFFF"/>
      <x:name val="Arial"/>
    </x:font>
    <x:font>
      <x:b/>
      <x:sz val="11"/>
      <x:color rgb="FFFFFFFF"/>
      <x:name val="Carlito"/>
    </x:font>
    <x:font>
      <x:b/>
      <x:sz val="10"/>
      <x:name val="Arial"/>
    </x:font>
    <x:font>
      <x:sz val="10"/>
      <x:color rgb="FF000000"/>
      <x:name val="Arial"/>
    </x:font>
    <x:font>
      <x:b/>
      <x:sz val="10"/>
      <x:color rgb="FF000000"/>
      <x:name val="Arial"/>
    </x:font>
    <x:font>
      <x:i/>
      <x:sz val="10"/>
      <x:color rgb="FF000000"/>
      <x:name val="Arial"/>
    </x:font>
    <x:font>
      <x:b/>
      <x:sz val="12"/>
      <x:color rgb="FF000000"/>
      <x:name val="Arial"/>
    </x:font>
  </x:fonts>
  <x:fills count="4">
    <x:fill>
      <x:patternFill patternType="none"/>
    </x:fill>
    <x:fill>
      <x:patternFill patternType="gray125"/>
    </x:fill>
    <x:fill>
      <x:patternFill patternType="solid">
        <x:fgColor rgb="FF203B56"/>
      </x:patternFill>
    </x:fill>
    <x:fill>
      <x:patternFill patternType="solid">
        <x:fgColor rgb="FFEEEEEE"/>
      </x:patternFill>
    </x:fill>
  </x:fills>
  <x:borders count="1">
    <x:border>
      <x:left/>
      <x:right/>
      <x:top/>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1"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horizontal="center" wrapText="1"/>
    </x:xf>
    <x:xf numFmtId="0" fontId="4" fillId="2" borderId="0" xfId="0" applyNumberFormat="1" applyFont="1" applyFill="1" applyBorder="1" applyAlignment="1">
      <x:alignment horizontal="center" vertical="center" wrapText="1"/>
    </x:xf>
    <x:xf numFmtId="200" fontId="1"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203" fontId="1" fillId="0" borderId="0" xfId="0" applyNumberFormat="1" applyFont="1" applyFill="1" applyBorder="1"/>
    <x:xf numFmtId="204" fontId="1" fillId="0" borderId="0" xfId="0" applyNumberFormat="1" applyFont="1" applyFill="1" applyBorder="1"/>
    <x:xf numFmtId="0" fontId="0" fillId="0" borderId="0" xfId="0" applyNumberFormat="1" applyFont="1" applyFill="1" applyBorder="1" applyAlignment="1">
      <x:alignment wrapText="1"/>
    </x:xf>
    <x:xf numFmtId="204" fontId="0" fillId="0" borderId="0" xfId="0" applyNumberFormat="1" applyFont="1" applyFill="1" applyBorder="1"/>
    <x:xf numFmtId="0" fontId="1" fillId="0" borderId="0" xfId="0" applyNumberFormat="1" applyFont="1" applyFill="1" applyBorder="1">
      <x:extLst>
        <x:ext uri="{C7286773-470A-42A8-94C5-96B5CB345126}">
          <xfpb:xfComplement xmlns:xfpb="http://schemas.microsoft.com/office/spreadsheetml/2022/featurepropertybag" i="0"/>
        </x:ext>
      </x:extLst>
    </x:xf>
    <x:xf numFmtId="200" fontId="1" fillId="0" borderId="0" xfId="0" applyNumberFormat="1" applyFont="1" applyFill="1" applyBorder="1">
      <x:extLst>
        <x:ext uri="{C7286773-470A-42A8-94C5-96B5CB345126}">
          <xfpb:xfComplement xmlns:xfpb="http://schemas.microsoft.com/office/spreadsheetml/2022/featurepropertybag" i="0"/>
        </x:ext>
      </x:extLst>
    </x:xf>
    <x:xf numFmtId="205" fontId="1" fillId="0" borderId="0" xfId="0" applyNumberFormat="1" applyFont="1" applyFill="1" applyBorder="1"/>
    <x:xf numFmtId="0" fontId="0" fillId="2" borderId="0" xfId="0" applyNumberFormat="1" applyFont="1" applyFill="1" applyBorder="1"/>
    <x:xf numFmtId="0" fontId="5" fillId="2" borderId="0" xfId="0" applyNumberFormat="1" applyFont="1" applyFill="1" applyBorder="1"/>
    <x:xf numFmtId="0" fontId="5" fillId="2" borderId="0" xfId="0" applyNumberFormat="1" applyFont="1" applyFill="1" applyBorder="1" applyAlignment="1">
      <x:alignment wrapText="1"/>
    </x:xf>
    <x:xf numFmtId="0" fontId="6" fillId="0" borderId="0" xfId="0" applyNumberFormat="1" applyFont="1" applyFill="1" applyBorder="1"/>
    <x:xf numFmtId="0" fontId="6" fillId="0" borderId="0" xfId="0" applyNumberFormat="1" applyFont="1" applyFill="1" applyBorder="1" applyAlignment="1">
      <x:alignment vertical="top"/>
    </x:xf>
    <x:xf numFmtId="0" fontId="7" fillId="0" borderId="0" xfId="0" applyNumberFormat="1" applyFont="1" applyFill="1" applyBorder="1"/>
    <x:xf numFmtId="0" fontId="7" fillId="0" borderId="0" xfId="0" applyNumberFormat="1" applyFont="1" applyFill="1" applyBorder="1" applyAlignment="1">
      <x:alignment wrapText="1"/>
    </x:xf>
    <x:xf numFmtId="0" fontId="7" fillId="0" borderId="0" xfId="0" applyNumberFormat="1" applyFont="1" applyFill="1" applyBorder="1" applyAlignment="1">
      <x:alignment vertical="top" wrapText="1"/>
    </x:xf>
    <x:xf numFmtId="0" fontId="8" fillId="0" borderId="0" xfId="0" applyNumberFormat="1" applyFont="1" applyFill="1" applyBorder="1"/>
    <x:xf numFmtId="0" fontId="9" fillId="0" borderId="0" xfId="0" applyNumberFormat="1" applyFont="1" applyFill="1" applyBorder="1"/>
    <x:xf numFmtId="0" fontId="8" fillId="2" borderId="0" xfId="0" applyNumberFormat="1" applyFont="1" applyFill="1" applyBorder="1" applyAlignment="1">
      <x:alignment horizontal="center" vertical="center" wrapText="1"/>
    </x:xf>
    <x:xf numFmtId="201" fontId="7" fillId="0" borderId="0" xfId="0" applyNumberFormat="1" applyFont="1" applyFill="1" applyBorder="1"/>
    <x:xf numFmtId="202" fontId="7" fillId="0" borderId="0" xfId="0" applyNumberFormat="1" applyFont="1" applyFill="1" applyBorder="1"/>
    <x:xf numFmtId="204" fontId="7" fillId="0" borderId="0" xfId="0" applyNumberFormat="1" applyFont="1" applyFill="1" applyBorder="1"/>
    <x:xf numFmtId="0" fontId="8" fillId="2" borderId="0" xfId="0" applyNumberFormat="1" applyFont="1" applyFill="1" applyBorder="1" applyAlignment="1">
      <x:alignment wrapText="1"/>
    </x:xf>
    <x:xf numFmtId="0" fontId="8" fillId="0" borderId="0" xfId="0" applyNumberFormat="1" applyFont="1" applyFill="1" applyBorder="1" applyAlignment="1">
      <x:alignment vertical="top"/>
    </x:xf>
    <x:xf numFmtId="0" fontId="10" fillId="0" borderId="0" xfId="0" applyNumberFormat="1" applyFont="1" applyFill="1" applyBorder="1"/>
    <x:xf numFmtId="0" fontId="8" fillId="3" borderId="0" xfId="0" applyNumberFormat="1" applyFont="1" applyFill="1" applyBorder="1" applyAlignment="1">
      <x:alignment horizontal="center" vertical="center" wrapText="1"/>
    </x:xf>
    <x:xf numFmtId="0" fontId="7" fillId="3" borderId="0" xfId="0" applyNumberFormat="1" applyFont="1" applyFill="1" applyBorder="1"/>
    <x:xf numFmtId="0" fontId="8" fillId="3" borderId="0" xfId="0" applyNumberFormat="1" applyFont="1" applyFill="1" applyBorder="1"/>
    <x:xf numFmtId="200" fontId="7" fillId="0" borderId="0" xfId="0" applyNumberFormat="1" applyFont="1" applyFill="1" applyBorder="1"/>
    <x:xf numFmtId="203" fontId="7" fillId="0" borderId="0" xfId="0" applyNumberFormat="1" applyFont="1" applyFill="1" applyBorder="1"/>
    <x:xf numFmtId="0" fontId="8" fillId="3" borderId="0" xfId="0" applyNumberFormat="1" applyFont="1" applyFill="1" applyBorder="1" applyAlignment="1">
      <x:alignment wrapText="1"/>
    </x:xf>
    <x:xf numFmtId="0" fontId="7" fillId="3" borderId="0" xfId="0" applyNumberFormat="1" applyFont="1" applyFill="1" applyBorder="1" applyAlignment="1">
      <x:alignment wrapText="1"/>
    </x:xf>
    <x:xf numFmtId="205" fontId="7" fillId="0" borderId="0" xfId="0" applyNumberFormat="1" applyFont="1" applyFill="1" applyBorder="1"/>
    <x:xf numFmtId="200" fontId="7" fillId="0" borderId="0" xfId="0" applyNumberFormat="1" applyFont="1" applyFill="1" applyBorder="1">
      <x:extLst>
        <x:ext uri="{C7286773-470A-42A8-94C5-96B5CB345126}">
          <xfpb:xfComplement xmlns:xfpb="http://schemas.microsoft.com/office/spreadsheetml/2022/featurepropertybag" i="0"/>
        </x:ext>
      </x:extLst>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a92213120b4430e" /><Relationship Type="http://schemas.openxmlformats.org/officeDocument/2006/relationships/theme" Target="/xl/theme/theme1.xml" Id="R98accfc8473a40bf" /><Relationship Type="http://schemas.microsoft.com/office/2022/11/relationships/FeaturePropertyBag" Target="/xl/featurePropertyBag/featurePropertyBag.xml" Id="Rb974d99fe3714c48" /><Relationship Type="http://schemas.openxmlformats.org/officeDocument/2006/relationships/sharedStrings" Target="/xl/sharedStrings.xml" Id="R1e649b3cee6045d6" /><Relationship Type="http://schemas.openxmlformats.org/officeDocument/2006/relationships/worksheet" Target="/xl/worksheets/sheet1.xml" Id="R1875d470680c4f92" /><Relationship Type="http://schemas.openxmlformats.org/officeDocument/2006/relationships/worksheet" Target="/xl/worksheets/sheet2.xml" Id="Rac642a2ce54f4566" /><Relationship Type="http://schemas.openxmlformats.org/officeDocument/2006/relationships/worksheet" Target="/xl/worksheets/sheet3.xml" Id="Rcf6a13c1f2484bdd" /><Relationship Type="http://schemas.openxmlformats.org/officeDocument/2006/relationships/worksheet" Target="/xl/worksheets/sheet4.xml" Id="R315c5e46c4834806" /><Relationship Type="http://schemas.openxmlformats.org/officeDocument/2006/relationships/worksheet" Target="/xl/worksheets/sheet5.xml" Id="Re37c417226074079" /><Relationship Type="http://schemas.openxmlformats.org/officeDocument/2006/relationships/worksheet" Target="/xl/worksheets/sheet6.xml" Id="Rbbaf3c05f1c94950" /><Relationship Type="http://schemas.openxmlformats.org/officeDocument/2006/relationships/worksheet" Target="/xl/worksheets/sheet7.xml" Id="Ra0c365d5ce2a4d01" /><Relationship Type="http://schemas.openxmlformats.org/officeDocument/2006/relationships/worksheet" Target="/xl/worksheets/sheet8.xml" Id="R62ff8b6b89ff441a" /><Relationship Type="http://schemas.openxmlformats.org/officeDocument/2006/relationships/worksheet" Target="/xl/worksheets/sheet9.xml" Id="R3129ff17dd994df5" /><Relationship Type="http://schemas.openxmlformats.org/officeDocument/2006/relationships/worksheet" Target="/xl/worksheets/sheet10.xml" Id="R1880409a9dd944e7" /><Relationship Type="http://schemas.openxmlformats.org/officeDocument/2006/relationships/worksheet" Target="/xl/worksheets/sheet11.xml" Id="Rd78e5569bc034969" /><Relationship Type="http://schemas.openxmlformats.org/officeDocument/2006/relationships/worksheet" Target="/xl/worksheets/sheet12.xml" Id="R7923b29c6f5e47a2" /><Relationship Type="http://schemas.openxmlformats.org/officeDocument/2006/relationships/worksheet" Target="/xl/worksheets/sheet13.xml" Id="R746fabda11484710" /><Relationship Type="http://schemas.openxmlformats.org/officeDocument/2006/relationships/worksheet" Target="/xl/worksheets/sheet14.xml" Id="Radd73f5cc8cb451c" /><Relationship Type="http://schemas.openxmlformats.org/officeDocument/2006/relationships/worksheet" Target="/xl/worksheets/sheet15.xml" Id="R2fa4bdb4967445c1" /><Relationship Type="http://schemas.openxmlformats.org/officeDocument/2006/relationships/worksheet" Target="/xl/worksheets/sheet16.xml" Id="R53dcdf3e7c9e44c3" /></Relationships>
</file>

<file path=xl/drawings/_rels/drawing1.xml.rels>&#65279;<?xml version="1.0" encoding="utf-8"?><Relationships xmlns="http://schemas.openxmlformats.org/package/2006/relationships"><Relationship Type="http://schemas.openxmlformats.org/officeDocument/2006/relationships/chart" Target="/xl/drawings/charts/chart1.xml" Id="Rbf862706cce04666" /></Relationships>
</file>

<file path=xl/drawings/_rels/drawing2.xml.rels>&#65279;<?xml version="1.0" encoding="utf-8"?><Relationships xmlns="http://schemas.openxmlformats.org/package/2006/relationships"><Relationship Type="http://schemas.openxmlformats.org/officeDocument/2006/relationships/chart" Target="/xl/drawings/charts/chart2.xml" Id="R509e18cb05664bf7" /><Relationship Type="http://schemas.openxmlformats.org/officeDocument/2006/relationships/chart" Target="/xl/drawings/charts/chart3.xml" Id="R754e3fbd55c3472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Mean remaining variation by stage</a:t>
            </a:r>
          </a:p>
        </c:rich>
      </c:tx>
      <c:overlay val="0"/>
    </c:title>
    <c:plotArea>
      <c:lineChart>
        <c:grouping val="standard"/>
        <c:varyColors val="0"/>
        <c:ser>
          <c:idx val="0"/>
          <c:order val="0"/>
          <c:tx>
            <c:v>Mean std / original std</c:v>
          </c:tx>
          <c:spPr>
            <a:ln xmlns:a="http://schemas.openxmlformats.org/drawingml/2006/main" w="19050">
              <a:solidFill>
                <a:srgbClr val="2E75A4"/>
              </a:solidFill>
              <a:prstDash val="solid"/>
            </a:ln>
          </c:spPr>
          <c:marker>
            <c:symbol val="none"/>
          </c:marker>
          <c:cat>
            <c:strRef>
              <c:f>'Summary'!$A$16:$A$21</c:f>
              <c:strCache>
                <c:ptCount val="0"/>
              </c:strCache>
            </c:strRef>
          </c:cat>
          <c:val>
            <c:numRef>
              <c:f>'Summary'!$B$16:$B$21</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Cumulative residual variance explained</a:t>
            </a:r>
          </a:p>
        </c:rich>
      </c:tx>
      <c:overlay val="0"/>
    </c:title>
    <c:plotArea>
      <c:lineChart>
        <c:grouping val="standard"/>
        <c:varyColors val="0"/>
        <c:ser>
          <c:idx val="0"/>
          <c:order val="0"/>
          <c:tx>
            <c:v>cumulative_share</c:v>
          </c:tx>
          <c:spPr>
            <a:ln xmlns:a="http://schemas.openxmlformats.org/drawingml/2006/main" w="19050">
              <a:solidFill>
                <a:srgbClr val="2E75A4"/>
              </a:solidFill>
              <a:prstDash val="solid"/>
            </a:ln>
          </c:spPr>
          <c:marker>
            <c:symbol val="none"/>
          </c:marker>
          <c:cat>
            <c:strRef>
              <c:f>'PCA'!$A$6:$A$48</c:f>
              <c:strCache>
                <c:ptCount val="0"/>
              </c:strCache>
            </c:strRef>
          </c:cat>
          <c:val>
            <c:numRef>
              <c:f>'PCA'!$D$6:$D$48</c:f>
              <c:numCache>
                <c:formatCode>0.0%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First 15 eigenvalues</a:t>
            </a:r>
          </a:p>
        </c:rich>
      </c:tx>
      <c:overlay val="0"/>
    </c:title>
    <c:plotArea>
      <c:barChart>
        <c:barDir val="col"/>
        <c:varyColors val="0"/>
        <c:ser>
          <c:idx val="0"/>
          <c:order val="0"/>
          <c:tx>
            <c:v>eigenvalue</c:v>
          </c:tx>
          <c:spPr>
            <a:solidFill xmlns:a="http://schemas.openxmlformats.org/drawingml/2006/main">
              <a:srgbClr val="2E75A4"/>
            </a:solidFill>
          </c:spPr>
          <c:invertIfNegative val="0"/>
          <c:cat>
            <c:strRef>
              <c:f>'PCA'!$A$6:$A$20</c:f>
              <c:strCache>
                <c:ptCount val="0"/>
              </c:strCache>
            </c:strRef>
          </c:cat>
          <c:val>
            <c:numRef>
              <c:f>'PCA'!$B$6:$B$20</c:f>
              <c:numCache>
                <c:formatCode>0.000000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4</xdr:row>
      <xdr:rowOff>0</xdr:rowOff>
    </xdr:from>
    <xdr:to>
      <xdr:col>13</xdr:col>
      <xdr:colOff>0</xdr:colOff>
      <xdr:row>21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f862706cce04666"/>
        </a:graphicData>
      </a:graphic>
    </xdr:graphicFrame>
    <xdr:clientData/>
  </xdr:twoCellAnchor>
</xdr:wsDr>
</file>

<file path=xl/drawings/drawing2.xml><?xml version="1.0" encoding="utf-8"?>
<xdr:wsDr xmlns:xdr="http://schemas.openxmlformats.org/drawingml/2006/spreadsheetDrawing">
  <xdr:twoCellAnchor>
    <xdr:from>
      <xdr:col>5</xdr:col>
      <xdr:colOff>0</xdr:colOff>
      <xdr:row>4</xdr:row>
      <xdr:rowOff>0</xdr:rowOff>
    </xdr:from>
    <xdr:to>
      <xdr:col>15</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09e18cb05664bf7"/>
        </a:graphicData>
      </a:graphic>
    </xdr:graphicFrame>
    <xdr:clientData/>
  </xdr:twoCellAnchor>
  <xdr:twoCellAnchor>
    <xdr:from>
      <xdr:col>5</xdr:col>
      <xdr:colOff>0</xdr:colOff>
      <xdr:row>24</xdr:row>
      <xdr:rowOff>0</xdr:rowOff>
    </xdr:from>
    <xdr:to>
      <xdr:col>15</xdr:col>
      <xdr:colOff>0</xdr:colOff>
      <xdr:row>42</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54e3fbd55c3472b"/>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Group 1">
  <a:themeElements>
    <a:clrScheme name="Group 1">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Group 1">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27c1a3bb6ec47dc" /></Relationships>
</file>

<file path=xl/worksheets/_rels/sheet7.xml.rels>&#65279;<?xml version="1.0" encoding="utf-8"?><Relationships xmlns="http://schemas.openxmlformats.org/package/2006/relationships"><Relationship Type="http://schemas.openxmlformats.org/officeDocument/2006/relationships/drawing" Target="/xl/drawings/drawing2.xml" Id="R919ff4daafa6475c" /></Relationships>
</file>

<file path=xl/worksheets/sheet1.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33" hidden="0" customWidth="1"/>
    <x:col min="2" max="2" width="20" hidden="0" customWidth="1"/>
    <x:col min="3" max="3" width="22" hidden="0" customWidth="1"/>
  </x:cols>
  <x:sheetData>
    <x:row r="1" ht="19" customHeight="1">
      <x:c r="A1" s="24"/>
      <x:c r="B1" s="24"/>
      <x:c r="C1" s="24"/>
      <x:c r="D1" s="24"/>
      <x:c r="E1" s="24"/>
      <x:c r="F1" s="24"/>
      <x:c r="G1" s="24"/>
      <x:c r="H1" s="24"/>
      <x:c r="I1" s="24"/>
      <x:c r="J1" s="24"/>
      <x:c r="K1" s="24"/>
      <x:c r="L1" s="24"/>
      <x:c r="M1" s="24"/>
    </x:row>
    <x:row r="2" ht="19" customHeight="1">
      <x:c r="A2" s="35" t="str">
        <x:v>Group 1 factor analysis</x:v>
      </x:c>
      <x:c r="B2" s="24"/>
      <x:c r="C2" s="24"/>
      <x:c r="D2" s="24"/>
      <x:c r="E2" s="24"/>
      <x:c r="F2" s="24"/>
      <x:c r="G2" s="24"/>
      <x:c r="H2" s="24"/>
      <x:c r="I2" s="24"/>
      <x:c r="J2" s="24"/>
      <x:c r="K2" s="24"/>
      <x:c r="L2" s="24"/>
      <x:c r="M2" s="24"/>
    </x:row>
    <x:row r="3" ht="19" customHeight="1">
      <x:c r="A3" s="28"/>
      <x:c r="B3" s="24"/>
      <x:c r="C3" s="24"/>
      <x:c r="D3" s="24"/>
      <x:c r="E3" s="24"/>
      <x:c r="F3" s="24"/>
      <x:c r="G3" s="24"/>
      <x:c r="H3" s="24"/>
      <x:c r="I3" s="24"/>
      <x:c r="J3" s="24"/>
      <x:c r="K3" s="24"/>
      <x:c r="L3" s="24"/>
      <x:c r="M3" s="24"/>
    </x:row>
    <x:row r="4" ht="19" customHeight="1">
      <x:c r="A4" s="24"/>
      <x:c r="B4" s="24"/>
      <x:c r="C4" s="24"/>
      <x:c r="D4" s="24"/>
      <x:c r="E4" s="24"/>
      <x:c r="F4" s="24"/>
      <x:c r="G4" s="24"/>
      <x:c r="H4" s="24"/>
      <x:c r="I4" s="24"/>
      <x:c r="J4" s="24"/>
      <x:c r="K4" s="24"/>
      <x:c r="L4" s="24"/>
      <x:c r="M4" s="24"/>
    </x:row>
    <x:row r="5" ht="42" customHeight="1">
      <x:c r="A5" s="36" t="str">
        <x:v>Measure</x:v>
      </x:c>
      <x:c r="B5" s="36" t="str">
        <x:v>Value</x:v>
      </x:c>
      <x:c r="C5" s="38"/>
      <x:c r="D5" s="38"/>
      <x:c r="E5" s="38"/>
      <x:c r="F5" s="38"/>
      <x:c r="G5" s="38"/>
      <x:c r="H5" s="38"/>
      <x:c r="I5" s="38"/>
      <x:c r="J5" s="38"/>
      <x:c r="K5" s="38"/>
      <x:c r="L5" s="38"/>
      <x:c r="M5" s="38"/>
    </x:row>
    <x:row r="6" ht="19" customHeight="1">
      <x:c r="A6" s="30" t="str">
        <x:v>Stocks</x:v>
      </x:c>
      <x:c r="B6" s="31" t="n">
        <x:v>43</x:v>
      </x:c>
      <x:c r="C6" s="24"/>
      <x:c r="D6" s="24"/>
      <x:c r="E6" s="24"/>
      <x:c r="F6" s="24"/>
      <x:c r="G6" s="24"/>
      <x:c r="H6" s="24"/>
      <x:c r="I6" s="24"/>
      <x:c r="J6" s="24"/>
      <x:c r="K6" s="24"/>
      <x:c r="L6" s="24"/>
      <x:c r="M6" s="24"/>
    </x:row>
    <x:row r="7" ht="19" customHeight="1">
      <x:c r="A7" s="30" t="str">
        <x:v>Available factors</x:v>
      </x:c>
      <x:c r="B7" s="31" t="n">
        <x:v>18</x:v>
      </x:c>
      <x:c r="C7" s="24"/>
      <x:c r="D7" s="24"/>
      <x:c r="E7" s="24"/>
      <x:c r="F7" s="24"/>
      <x:c r="G7" s="24"/>
      <x:c r="H7" s="24"/>
      <x:c r="I7" s="24"/>
      <x:c r="J7" s="24"/>
      <x:c r="K7" s="24"/>
      <x:c r="L7" s="24"/>
      <x:c r="M7" s="24"/>
    </x:row>
    <x:row r="8" ht="19" customHeight="1">
      <x:c r="A8" s="30" t="str">
        <x:v>Common dates</x:v>
      </x:c>
      <x:c r="B8" s="31" t="n">
        <x:v>70</x:v>
      </x:c>
      <x:c r="C8" s="24"/>
      <x:c r="D8" s="24"/>
      <x:c r="E8" s="24"/>
      <x:c r="F8" s="24"/>
      <x:c r="G8" s="24"/>
      <x:c r="H8" s="24"/>
      <x:c r="I8" s="24"/>
      <x:c r="J8" s="24"/>
      <x:c r="K8" s="24"/>
      <x:c r="L8" s="24"/>
      <x:c r="M8" s="24"/>
    </x:row>
    <x:row r="9" ht="19" customHeight="1">
      <x:c r="A9" s="30" t="str">
        <x:v>Median std reduction</x:v>
      </x:c>
      <x:c r="B9" s="32" t="n">
        <x:f>MEDIAN('Stage risk'!H6:H48)</x:f>
        <x:v>0.223330583777695</x:v>
      </x:c>
      <x:c r="C9" s="24"/>
      <x:c r="D9" s="24"/>
      <x:c r="E9" s="24"/>
      <x:c r="F9" s="24"/>
      <x:c r="G9" s="24"/>
      <x:c r="H9" s="24"/>
      <x:c r="I9" s="24"/>
      <x:c r="J9" s="24"/>
      <x:c r="K9" s="24"/>
      <x:c r="L9" s="24"/>
      <x:c r="M9" s="24"/>
    </x:row>
    <x:row r="10" ht="19" customHeight="1">
      <x:c r="A10" s="30" t="str">
        <x:v>Median variance reduction</x:v>
      </x:c>
      <x:c r="B10" s="32" t="n">
        <x:f>MEDIAN('Fit'!L6:L48)</x:f>
        <x:v>0.39678461790490394</x:v>
      </x:c>
      <x:c r="C10" s="24"/>
      <x:c r="D10" s="24"/>
      <x:c r="E10" s="24"/>
      <x:c r="F10" s="24"/>
      <x:c r="G10" s="24"/>
      <x:c r="H10" s="24"/>
      <x:c r="I10" s="24"/>
      <x:c r="J10" s="24"/>
      <x:c r="K10" s="24"/>
      <x:c r="L10" s="24"/>
      <x:c r="M10" s="24"/>
    </x:row>
    <x:row r="11" ht="19" customHeight="1">
      <x:c r="A11" s="30" t="str">
        <x:v>PC1 variance share</x:v>
      </x:c>
      <x:c r="B11" s="32" t="n">
        <x:f>'PCA'!C6</x:f>
        <x:v>0.16287382135813927</x:v>
      </x:c>
      <x:c r="C11" s="24"/>
      <x:c r="D11" s="24"/>
      <x:c r="E11" s="24"/>
      <x:c r="F11" s="24"/>
      <x:c r="G11" s="24"/>
      <x:c r="H11" s="24"/>
      <x:c r="I11" s="24"/>
      <x:c r="J11" s="24"/>
      <x:c r="K11" s="24"/>
      <x:c r="L11" s="24"/>
      <x:c r="M11" s="24"/>
    </x:row>
    <x:row r="12" ht="19" customHeight="1">
      <x:c r="A12" s="30" t="str">
        <x:v>First 5 PCs variance share</x:v>
      </x:c>
      <x:c r="B12" s="32" t="n">
        <x:f>'PCA'!D10</x:f>
        <x:v>0.5602777128518035</x:v>
      </x:c>
      <x:c r="C12" s="24"/>
      <x:c r="D12" s="24"/>
      <x:c r="E12" s="24"/>
      <x:c r="F12" s="24"/>
      <x:c r="G12" s="24"/>
      <x:c r="H12" s="24"/>
      <x:c r="I12" s="24"/>
      <x:c r="J12" s="24"/>
      <x:c r="K12" s="24"/>
      <x:c r="L12" s="24"/>
      <x:c r="M12" s="24"/>
    </x:row>
    <x:row r="13">
      <x:c r="A13" s="24"/>
      <x:c r="B13" s="24"/>
      <x:c r="C13" s="24"/>
      <x:c r="D13" s="24"/>
      <x:c r="E13" s="24"/>
      <x:c r="F13" s="24"/>
      <x:c r="G13" s="24"/>
      <x:c r="H13" s="24"/>
      <x:c r="I13" s="24"/>
      <x:c r="J13" s="24"/>
      <x:c r="K13" s="24"/>
      <x:c r="L13" s="24"/>
      <x:c r="M13" s="24"/>
    </x:row>
    <x:row r="14">
      <x:c r="A14" s="24"/>
      <x:c r="B14" s="24"/>
      <x:c r="C14" s="24"/>
      <x:c r="D14" s="24"/>
      <x:c r="E14" s="24"/>
      <x:c r="F14" s="24"/>
      <x:c r="G14" s="24"/>
      <x:c r="H14" s="24"/>
      <x:c r="I14" s="24"/>
      <x:c r="J14" s="24"/>
      <x:c r="K14" s="24"/>
      <x:c r="L14" s="24"/>
      <x:c r="M14" s="24"/>
    </x:row>
    <x:row r="15" ht="42" customHeight="1">
      <x:c r="A15" s="41" t="str">
        <x:v>Stage</x:v>
      </x:c>
      <x:c r="B15" s="41" t="str">
        <x:v>Mean std / original std</x:v>
      </x:c>
      <x:c r="C15" s="41" t="str">
        <x:v>Mean cumulative R²</x:v>
      </x:c>
      <x:c r="D15" s="24"/>
      <x:c r="E15" s="24"/>
      <x:c r="F15" s="24"/>
      <x:c r="G15" s="24"/>
      <x:c r="H15" s="24"/>
      <x:c r="I15" s="24"/>
      <x:c r="J15" s="24"/>
      <x:c r="K15" s="24"/>
      <x:c r="L15" s="24"/>
      <x:c r="M15" s="24"/>
    </x:row>
    <x:row r="16">
      <x:c r="A16" s="24" t="str">
        <x:v>Original</x:v>
      </x:c>
      <x:c r="B16" s="32" t="n">
        <x:f>AVERAGE('Stage risk'!J6:J48)</x:f>
        <x:v>1</x:v>
      </x:c>
      <x:c r="C16" s="32" t="n">
        <x:f>AVERAGE('Stage risk'!Q6:Q48)</x:f>
        <x:v>0</x:v>
      </x:c>
      <x:c r="D16" s="24"/>
      <x:c r="E16" s="24"/>
      <x:c r="F16" s="24"/>
      <x:c r="G16" s="24"/>
      <x:c r="H16" s="24"/>
      <x:c r="I16" s="24"/>
      <x:c r="J16" s="24"/>
      <x:c r="K16" s="24"/>
      <x:c r="L16" s="24"/>
      <x:c r="M16" s="24"/>
    </x:row>
    <x:row r="17">
      <x:c r="A17" s="24" t="str">
        <x:v>Home FX</x:v>
      </x:c>
      <x:c r="B17" s="32" t="n">
        <x:f>AVERAGE('Stage risk'!K6:K48)</x:f>
        <x:v>0.9972580454291515</x:v>
      </x:c>
      <x:c r="C17" s="32" t="n">
        <x:f>AVERAGE('Stage risk'!R6:R48)</x:f>
        <x:v>0.005334757516673372</x:v>
      </x:c>
      <x:c r="D17" s="24"/>
      <x:c r="E17" s="24"/>
      <x:c r="F17" s="24"/>
      <x:c r="G17" s="24"/>
      <x:c r="H17" s="24"/>
      <x:c r="I17" s="24"/>
      <x:c r="J17" s="24"/>
      <x:c r="K17" s="24"/>
      <x:c r="L17" s="24"/>
      <x:c r="M17" s="24"/>
    </x:row>
    <x:row r="18">
      <x:c r="A18" s="24" t="str">
        <x:v>Other FX</x:v>
      </x:c>
      <x:c r="B18" s="32" t="n">
        <x:f>AVERAGE('Stage risk'!L6:L48)</x:f>
        <x:v>0.9634357835920455</x:v>
      </x:c>
      <x:c r="C18" s="32" t="n">
        <x:f>AVERAGE('Stage risk'!S6:S48)</x:f>
        <x:v>0.06991958221564286</x:v>
      </x:c>
      <x:c r="D18" s="24"/>
      <x:c r="E18" s="24"/>
      <x:c r="F18" s="24"/>
      <x:c r="G18" s="24"/>
      <x:c r="H18" s="24"/>
      <x:c r="I18" s="24"/>
      <x:c r="J18" s="24"/>
      <x:c r="K18" s="24"/>
      <x:c r="L18" s="24"/>
      <x:c r="M18" s="24"/>
    </x:row>
    <x:row r="19">
      <x:c r="A19" s="24" t="str">
        <x:v>SPY</x:v>
      </x:c>
      <x:c r="B19" s="32" t="n">
        <x:f>AVERAGE('Stage risk'!M6:M48)</x:f>
        <x:v>0.9064630426331325</x:v>
      </x:c>
      <x:c r="C19" s="32" t="n">
        <x:f>AVERAGE('Stage risk'!T6:T48)</x:f>
        <x:v>0.17367660289436937</x:v>
      </x:c>
      <x:c r="D19" s="24"/>
      <x:c r="E19" s="24"/>
      <x:c r="F19" s="24"/>
      <x:c r="G19" s="24"/>
      <x:c r="H19" s="24"/>
      <x:c r="I19" s="24"/>
      <x:c r="J19" s="24"/>
      <x:c r="K19" s="24"/>
      <x:c r="L19" s="24"/>
      <x:c r="M19" s="24"/>
    </x:row>
    <x:row r="20">
      <x:c r="A20" s="24" t="str">
        <x:v>Primary sector</x:v>
      </x:c>
      <x:c r="B20" s="32" t="n">
        <x:f>AVERAGE('Stage risk'!N6:N48)</x:f>
        <x:v>0.8159065243707886</x:v>
      </x:c>
      <x:c r="C20" s="32" t="n">
        <x:f>AVERAGE('Stage risk'!U6:U48)</x:f>
        <x:v>0.32298046173957257</x:v>
      </x:c>
      <x:c r="D20" s="24"/>
      <x:c r="E20" s="24"/>
      <x:c r="F20" s="24"/>
      <x:c r="G20" s="24"/>
      <x:c r="H20" s="24"/>
      <x:c r="I20" s="24"/>
      <x:c r="J20" s="24"/>
      <x:c r="K20" s="24"/>
      <x:c r="L20" s="24"/>
      <x:c r="M20" s="24"/>
    </x:row>
    <x:row r="21">
      <x:c r="A21" s="24" t="str">
        <x:v>Other sectors</x:v>
      </x:c>
      <x:c r="B21" s="32" t="n">
        <x:f>AVERAGE('Stage risk'!O6:O48)</x:f>
        <x:v>0.7695126662508174</x:v>
      </x:c>
      <x:c r="C21" s="32" t="n">
        <x:f>AVERAGE('Stage risk'!V6:V48)</x:f>
        <x:v>0.3961301090846214</x:v>
      </x:c>
      <x:c r="D21" s="24"/>
      <x:c r="E21" s="24"/>
      <x:c r="F21" s="24"/>
      <x:c r="G21" s="24"/>
      <x:c r="H21" s="24"/>
      <x:c r="I21" s="24"/>
      <x:c r="J21" s="24"/>
      <x:c r="K21" s="24"/>
      <x:c r="L21" s="24"/>
      <x:c r="M21" s="24"/>
    </x:row>
    <x:row r="22">
      <x:c r="A22" s="24"/>
      <x:c r="B22" s="24"/>
      <x:c r="C22" s="24"/>
      <x:c r="D22" s="24"/>
      <x:c r="E22" s="24"/>
      <x:c r="F22" s="24"/>
      <x:c r="G22" s="24"/>
      <x:c r="H22" s="24"/>
      <x:c r="I22" s="24"/>
      <x:c r="J22" s="24"/>
      <x:c r="K22" s="24"/>
      <x:c r="L22" s="24"/>
      <x:c r="M22" s="24"/>
    </x:row>
    <x:row r="23">
      <x:c r="A23" s="24"/>
      <x:c r="B23" s="24"/>
      <x:c r="C23" s="24"/>
      <x:c r="D23" s="24"/>
      <x:c r="E23" s="24"/>
      <x:c r="F23" s="24"/>
      <x:c r="G23" s="24"/>
      <x:c r="H23" s="24"/>
      <x:c r="I23" s="24"/>
      <x:c r="J23" s="24"/>
      <x:c r="K23" s="24"/>
      <x:c r="L23" s="24"/>
      <x:c r="M23" s="24"/>
    </x:row>
    <x:row r="24" ht="320" customHeight="1">
      <x:c r="A24" s="34" t="str">
        <x:v>Method notes</x:v>
      </x:c>
      <x:c r="B24" s="26" t="str">
        <x:v>Scope: Group 1, stagger_1. 43 unique stocks, 6 currencies, SPY, 11 sector residual factors.
Source: companies_and_staggered_returns.xlsx from hankrugg/QPMFall26 main at dc79746.
Sample: Per-stock complete cases for regression; 70 shared dates for both covariances and PCA.
Units: Class-weighted four-week returns. Standard deviations are not annualized; covariance units are squared.
Step 1: Foreign stocks: univariate home-currency regression with intercept; always retain beta.
Step 2: Secondary FX: test AUD/USD only; retain if |t| &gt; 2. Other currencies are home priors only.
Step 3: Univariate SPY regression on the incoming residuals; always retain beta.
Step 4: Keep the primary sector. Test remaining sectors separately on current residuals; keep largest |t| if &gt; 2, update residuals and repeat until none passes.
Equality at 2: The board omits an explicit equality case. This implementation removes coefficients at |t| = 2.
Empty block: If no candidate qualifies, pass the incoming response through unchanged.
Prior meaning: The primary sector is a mandatory first univariate fit. Its beta stays fixed during later one-factor fits.
R-squared: Overall reconstruction R² = 1 - SSE(final residuals) / SST(original weighted return).
Cumulative R²: After each stage: 1 - (stage std / original std)^2 on the same stock sample. Original = 0; skipped stages stay flat. Do not add stage R² values.
Stage R-squared: Coefficients lists each univariate fit R² against its incoming response, not cumulative R².
PCA: Centered covariance PCA, no standardization. All eigenvalues, eigenvectors and scores are included.
Sequential model: Betas depend on stage order. Later fits can reintroduce correlation with earlier factors.
Selection: Classical OLS t-statistics; exploratory in-sample selection without multiple-testing correction.
Refresh: Run the notebook or stock_factor_regressions.py to regenerate CSVs; rebuild the workbook after changes.
Excel behavior: Ratios and covariances are formulas. Selection, regression, and PCA require rerunning Python.
18 versus 23: No unnamed factors or principal components were inserted to force the board sketch to 23 columns.</x:v>
      </x:c>
      <x:c r="C24" s="26"/>
      <x:c r="D24" s="26"/>
      <x:c r="E24" s="26"/>
      <x:c r="F24" s="26"/>
      <x:c r="G24" s="26"/>
      <x:c r="H24" s="26"/>
      <x:c r="I24" s="26"/>
      <x:c r="J24" s="26"/>
      <x:c r="K24" s="26"/>
      <x:c r="L24" s="26"/>
      <x:c r="M24" s="26"/>
    </x:row>
    <x:row r="25">
      <x:c r="A25" s="24"/>
      <x:c r="B25" s="24"/>
      <x:c r="C25" s="24"/>
      <x:c r="D25" s="24"/>
      <x:c r="E25" s="24"/>
      <x:c r="F25" s="24"/>
      <x:c r="G25" s="24"/>
      <x:c r="H25" s="24"/>
      <x:c r="I25" s="24"/>
      <x:c r="J25" s="24"/>
      <x:c r="K25" s="24"/>
      <x:c r="L25" s="24"/>
      <x:c r="M25" s="24"/>
    </x:row>
    <x:row r="26">
      <x:c r="A26" s="24"/>
      <x:c r="B26" s="24"/>
      <x:c r="C26" s="24"/>
      <x:c r="D26" s="24"/>
      <x:c r="E26" s="24"/>
      <x:c r="F26" s="24"/>
      <x:c r="G26" s="24"/>
      <x:c r="H26" s="24"/>
      <x:c r="I26" s="24"/>
      <x:c r="J26" s="24"/>
      <x:c r="K26" s="24"/>
      <x:c r="L26" s="24"/>
      <x:c r="M26" s="24"/>
    </x:row>
    <x:row r="27" ht="24" customHeight="1">
      <x:c r="A27" s="38" t="str">
        <x:v>Tab</x:v>
      </x:c>
      <x:c r="B27" s="38" t="str">
        <x:v>What is in it and how to read it</x:v>
      </x:c>
      <x:c r="C27" s="38"/>
      <x:c r="D27" s="38"/>
      <x:c r="E27" s="38"/>
      <x:c r="F27" s="38"/>
      <x:c r="G27" s="38"/>
      <x:c r="H27" s="38"/>
      <x:c r="I27" s="38"/>
      <x:c r="J27" s="38"/>
      <x:c r="K27" s="38"/>
      <x:c r="L27" s="38"/>
      <x:c r="M27" s="38"/>
    </x:row>
    <x:row r="28" ht="32" customHeight="1">
      <x:c r="A28" s="26" t="str">
        <x:v>Summary</x:v>
      </x:c>
      <x:c r="B28" s="26" t="str">
        <x:v>Start here. The top table gives counts, median reductions, and PCA variance shares. The stage table shows mean remaining standard deviation and mean cumulative R². The chart shows remaining standard deviation. Method notes are in B24.</x:v>
      </x:c>
      <x:c r="C28" s="26"/>
      <x:c r="D28" s="26"/>
      <x:c r="E28" s="26"/>
      <x:c r="F28" s="26"/>
      <x:c r="G28" s="26"/>
      <x:c r="H28" s="26"/>
      <x:c r="I28" s="26"/>
      <x:c r="J28" s="26"/>
      <x:c r="K28" s="26"/>
      <x:c r="L28" s="26"/>
      <x:c r="M28" s="26"/>
    </x:row>
    <x:row r="29" ht="32" customHeight="1">
      <x:c r="A29" s="26" t="str">
        <x:v>Betas</x:v>
      </x:c>
      <x:c r="B29" s="26" t="str">
        <x:v>One row per stock. B:S contain the 18 applied betas; T is total alpha. U:Y give cumulative R² after home FX, other FX, SPY, primary sector, and other sectors. Y is final overall R². Positive/negative beta gives direction at its fitted stage; zero means omitted.</x:v>
      </x:c>
      <x:c r="C29" s="26"/>
      <x:c r="D29" s="26"/>
      <x:c r="E29" s="26"/>
      <x:c r="F29" s="26"/>
      <x:c r="G29" s="26"/>
      <x:c r="H29" s="26"/>
      <x:c r="I29" s="26"/>
      <x:c r="J29" s="26"/>
      <x:c r="K29" s="26"/>
      <x:c r="L29" s="26"/>
      <x:c r="M29" s="26"/>
    </x:row>
    <x:row r="30" ht="32" customHeight="1">
      <x:c r="A30" s="26" t="str">
        <x:v>Fit</x:v>
      </x:c>
      <x:c r="B30" s="26" t="str">
        <x:v>One row per stock with company, currency, sector, observation count, and dates. I:J compare original and final standard deviation; K:L give standard-deviation and variance reductions; M is overall R². N:O list selected factors; P checks reconstruction error.</x:v>
      </x:c>
      <x:c r="C30" s="26"/>
      <x:c r="D30" s="26"/>
      <x:c r="E30" s="26"/>
      <x:c r="F30" s="26"/>
      <x:c r="G30" s="26"/>
      <x:c r="H30" s="26"/>
      <x:c r="I30" s="26"/>
      <x:c r="J30" s="26"/>
      <x:c r="K30" s="26"/>
      <x:c r="L30" s="26"/>
      <x:c r="M30" s="26"/>
    </x:row>
    <x:row r="31" ht="32" customHeight="1">
      <x:c r="A31" s="26" t="str">
        <x:v>Stage risk</x:v>
      </x:c>
      <x:c r="B31" s="26" t="str">
        <x:v>B:G show each stock’s standard deviation by stage; H is total std reduction. J:O normalize by original std. Q:V show cumulative R², including the zero original baseline. Each value uses the same original-return variance; skipped stages stay flat.</x:v>
      </x:c>
      <x:c r="C31" s="26"/>
      <x:c r="D31" s="26"/>
      <x:c r="E31" s="26"/>
      <x:c r="F31" s="26"/>
      <x:c r="G31" s="26"/>
      <x:c r="H31" s="26"/>
      <x:c r="I31" s="26"/>
      <x:c r="J31" s="26"/>
      <x:c r="K31" s="26"/>
      <x:c r="L31" s="26"/>
      <x:c r="M31" s="26"/>
    </x:row>
    <x:row r="32" ht="32" customHeight="1">
      <x:c r="A32" s="26" t="str">
        <x:v>Factor covariance</x:v>
      </x:c>
      <x:c r="B32" s="26" t="str">
        <x:v>An 18 × 18 sample covariance matrix for the supplied factors. Diagonal cells are factor variances; off-diagonal cells measure how two factors move together. Excel formulas use the 70 shared dates in Common sample. Units are weighted returns squared.</x:v>
      </x:c>
      <x:c r="C32" s="26"/>
      <x:c r="D32" s="26"/>
      <x:c r="E32" s="26"/>
      <x:c r="F32" s="26"/>
      <x:c r="G32" s="26"/>
      <x:c r="H32" s="26"/>
      <x:c r="I32" s="26"/>
      <x:c r="J32" s="26"/>
      <x:c r="K32" s="26"/>
      <x:c r="L32" s="26"/>
      <x:c r="M32" s="26"/>
    </x:row>
    <x:row r="33" ht="32" customHeight="1">
      <x:c r="A33" s="26" t="str">
        <x:v>Residual covariance</x:v>
      </x:c>
      <x:c r="B33" s="26" t="str">
        <x:v>A 43 × 43 sample covariance matrix of final stock residuals, using the same 70 dates. Diagonal cells are residual variances; off-diagonal cells show remaining shared variation. This matrix is the input to PCA.</x:v>
      </x:c>
      <x:c r="C33" s="26"/>
      <x:c r="D33" s="26"/>
      <x:c r="E33" s="26"/>
      <x:c r="F33" s="26"/>
      <x:c r="G33" s="26"/>
      <x:c r="H33" s="26"/>
      <x:c r="I33" s="26"/>
      <x:c r="J33" s="26"/>
      <x:c r="K33" s="26"/>
      <x:c r="L33" s="26"/>
      <x:c r="M33" s="26"/>
    </x:row>
    <x:row r="34" ht="32" customHeight="1">
      <x:c r="A34" s="26" t="str">
        <x:v>PCA</x:v>
      </x:c>
      <x:c r="B34" s="26" t="str">
        <x:v>One row per principal component, largest eigenvalue first. B gives its eigenvalue (variance), C its share of total residual variance, and D the cumulative share. The charts show the first 15 eigenvalues and cumulative variance explained by all components.</x:v>
      </x:c>
      <x:c r="C34" s="26"/>
      <x:c r="D34" s="26"/>
      <x:c r="E34" s="26"/>
      <x:c r="F34" s="26"/>
      <x:c r="G34" s="26"/>
      <x:c r="H34" s="26"/>
      <x:c r="I34" s="26"/>
      <x:c r="J34" s="26"/>
      <x:c r="K34" s="26"/>
      <x:c r="L34" s="26"/>
      <x:c r="M34" s="26"/>
    </x:row>
    <x:row r="35" ht="32" customHeight="1">
      <x:c r="A35" s="26" t="str">
        <x:v>Eigenvectors</x:v>
      </x:c>
      <x:c r="B35" s="26" t="str">
        <x:v>Rows are stocks; columns are principal components. Each cell is that stock’s weight in a unit-length component direction. Larger absolute weights mean more influence on that component. Signs are arbitrary; these are not variance-scaled loadings.</x:v>
      </x:c>
      <x:c r="C35" s="26"/>
      <x:c r="D35" s="26"/>
      <x:c r="E35" s="26"/>
      <x:c r="F35" s="26"/>
      <x:c r="G35" s="26"/>
      <x:c r="H35" s="26"/>
      <x:c r="I35" s="26"/>
      <x:c r="J35" s="26"/>
      <x:c r="K35" s="26"/>
      <x:c r="L35" s="26"/>
      <x:c r="M35" s="26"/>
    </x:row>
    <x:row r="36" ht="32" customHeight="1">
      <x:c r="A36" s="26" t="str">
        <x:v>PC scores</x:v>
      </x:c>
      <x:c r="B36" s="26" t="str">
        <x:v>One row per shared date and one column per component. Values are the centered final residual returns projected onto the eigenvectors. They show how strongly each component was present on each date.</x:v>
      </x:c>
      <x:c r="C36" s="26"/>
      <x:c r="D36" s="26"/>
      <x:c r="E36" s="26"/>
      <x:c r="F36" s="26"/>
      <x:c r="G36" s="26"/>
      <x:c r="H36" s="26"/>
      <x:c r="I36" s="26"/>
      <x:c r="J36" s="26"/>
      <x:c r="K36" s="26"/>
      <x:c r="L36" s="26"/>
      <x:c r="M36" s="26"/>
    </x:row>
    <x:row r="37" ht="32" customHeight="1">
      <x:c r="A37" s="26" t="str">
        <x:v>Coefficients</x:v>
      </x:c>
      <x:c r="B37" s="26" t="str">
        <x:v>One row per retained stock-stage-factor coefficient, with alpha, beta, t-statistic, p-value, observation count, and stage R². Each row is one univariate fit; sum its alpha once. R² is specific to that selection step. Mandatory prior factors need not pass |t| &gt; 2.</x:v>
      </x:c>
      <x:c r="C37" s="26"/>
      <x:c r="D37" s="26"/>
      <x:c r="E37" s="26"/>
      <x:c r="F37" s="26"/>
      <x:c r="G37" s="26"/>
      <x:c r="H37" s="26"/>
      <x:c r="I37" s="26"/>
      <x:c r="J37" s="26"/>
      <x:c r="K37" s="26"/>
      <x:c r="L37" s="26"/>
      <x:c r="M37" s="26"/>
    </x:row>
    <x:row r="38" ht="32" customHeight="1">
      <x:c r="A38" s="26" t="str">
        <x:v>Selection log</x:v>
      </x:c>
      <x:c r="B38" s="26" t="str">
        <x:v>Each remaining factor is fitted separately at each iteration. Retained marks the largest |t| when it exceeds 2. The next iteration uses its residuals. Filter by ticker and stage to follow a stock’s currency or sector selection.</x:v>
      </x:c>
      <x:c r="C38" s="26"/>
      <x:c r="D38" s="26"/>
      <x:c r="E38" s="26"/>
      <x:c r="F38" s="26"/>
      <x:c r="G38" s="26"/>
      <x:c r="H38" s="26"/>
      <x:c r="I38" s="26"/>
      <x:c r="J38" s="26"/>
      <x:c r="K38" s="26"/>
      <x:c r="L38" s="26"/>
      <x:c r="M38" s="26"/>
    </x:row>
    <x:row r="39" ht="32" customHeight="1">
      <x:c r="A39" s="26" t="str">
        <x:v>Stage returns</x:v>
      </x:c>
      <x:c r="B39" s="26" t="str">
        <x:v>Rows contain the stage, date, and each stock’s passed-forward return. Original contains model-sample stock returns; later stages contain residuals after the named step. Blank cells mean that date was not in that stock’s model sample.</x:v>
      </x:c>
      <x:c r="C39" s="26"/>
      <x:c r="D39" s="26"/>
      <x:c r="E39" s="26"/>
      <x:c r="F39" s="26"/>
      <x:c r="G39" s="26"/>
      <x:c r="H39" s="26"/>
      <x:c r="I39" s="26"/>
      <x:c r="J39" s="26"/>
      <x:c r="K39" s="26"/>
      <x:c r="L39" s="26"/>
      <x:c r="M39" s="26"/>
    </x:row>
    <x:row r="40" ht="32" customHeight="1">
      <x:c r="A40" s="26" t="str">
        <x:v>Common sample</x:v>
      </x:c>
      <x:c r="B40" s="26" t="str">
        <x:v>The 70 dates used by both covariance matrices and PCA. A is date; B:AR are final residuals for 43 stocks; AS:BJ are the 18 factor returns. Every included date is available for every stock and factor.</x:v>
      </x:c>
      <x:c r="C40" s="26"/>
      <x:c r="D40" s="26"/>
      <x:c r="E40" s="26"/>
      <x:c r="F40" s="26"/>
      <x:c r="G40" s="26"/>
      <x:c r="H40" s="26"/>
      <x:c r="I40" s="26"/>
      <x:c r="J40" s="26"/>
      <x:c r="K40" s="26"/>
      <x:c r="L40" s="26"/>
      <x:c r="M40" s="26"/>
    </x:row>
    <x:row r="41" ht="32" customHeight="1">
      <x:c r="A41" s="26" t="str">
        <x:v>Factor returns</x:v>
      </x:c>
      <x:c r="B41" s="26" t="str">
        <x:v>All 80 source dates for six currency factors, SPY, and eleven sector residual factors. These preserve the class time weights. Sector columns are returns already residualized against SPY, not raw ETF returns.</x:v>
      </x:c>
      <x:c r="C41" s="26"/>
      <x:c r="D41" s="26"/>
      <x:c r="E41" s="26"/>
      <x:c r="F41" s="26"/>
      <x:c r="G41" s="26"/>
      <x:c r="H41" s="26"/>
      <x:c r="I41" s="26"/>
      <x:c r="J41" s="26"/>
      <x:c r="K41" s="26"/>
      <x:c r="L41" s="26"/>
      <x:c r="M41" s="26"/>
    </x:row>
    <x:row r="42" ht="32" customHeight="1">
      <x:c r="A42" s="26" t="str">
        <x:v>Stock returns</x:v>
      </x:c>
      <x:c r="B42" s="26" t="str">
        <x:v>All 80 source dates for the 43 stocks, with the original class-weighted returns. Missing observations remain blank. The regressions use each stock’s complete-case subset of this data.</x:v>
      </x:c>
      <x:c r="C42" s="26"/>
      <x:c r="D42" s="26"/>
      <x:c r="E42" s="26"/>
      <x:c r="F42" s="26"/>
      <x:c r="G42" s="26"/>
      <x:c r="H42" s="26"/>
      <x:c r="I42" s="26"/>
      <x:c r="J42" s="26"/>
      <x:c r="K42" s="26"/>
      <x:c r="L42" s="26"/>
      <x:c r="M42" s="26"/>
    </x:row>
    <x:row r="43" ht="32" customHeight="1">
      <x:c r="A43" s="26" t="str">
        <x:v>Companies</x:v>
      </x:c>
      <x:c r="B43" s="26" t="str">
        <x:v>The 43 distinct stock assignments: ticker, company name, country, sector, and currency. Currency identifies the home-currency prior for foreign stocks; sector identifies the mandatory primary-sector factor.</x:v>
      </x:c>
      <x:c r="C43" s="26"/>
      <x:c r="D43" s="26"/>
      <x:c r="E43" s="26"/>
      <x:c r="F43" s="26"/>
      <x:c r="G43" s="26"/>
      <x:c r="H43" s="26"/>
      <x:c r="I43" s="26"/>
      <x:c r="J43" s="26"/>
      <x:c r="K43" s="26"/>
      <x:c r="L43" s="26"/>
      <x:c r="M43" s="26"/>
    </x:row>
  </x:sheetData>
  <x:mergeCells>
    <x:mergeCell ref="B24:M24"/>
    <x:mergeCell ref="B27:M27"/>
    <x:mergeCell ref="B28:M28"/>
    <x:mergeCell ref="B29:M29"/>
    <x:mergeCell ref="B30:M30"/>
    <x:mergeCell ref="B31:M31"/>
    <x:mergeCell ref="B32:M32"/>
    <x:mergeCell ref="B33:M33"/>
    <x:mergeCell ref="B34:M34"/>
    <x:mergeCell ref="B35:M35"/>
    <x:mergeCell ref="B36:M36"/>
    <x:mergeCell ref="B37:M37"/>
    <x:mergeCell ref="B38:M38"/>
    <x:mergeCell ref="B39:M39"/>
    <x:mergeCell ref="B40:M40"/>
    <x:mergeCell ref="B41:M41"/>
    <x:mergeCell ref="B42:M42"/>
    <x:mergeCell ref="B43:M43"/>
  </x:mergeCells>
  <x:pageMargins left="0.7" right="0.7" top="0.75" bottom="0.75" header="0.3" footer="0.3"/>
  <x:drawing xmlns:r="http://schemas.openxmlformats.org/officeDocument/2006/relationships" r:id="Rb27c1a3bb6ec47dc"/>
</x:worksheet>
</file>

<file path=xl/worksheets/sheet2.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20" hidden="0" customWidth="1"/>
    <x:col min="22" max="22" width="20" hidden="0" customWidth="1"/>
    <x:col min="23" max="23" width="20" hidden="0" customWidth="1"/>
    <x:col min="24" max="24" width="20" hidden="0" customWidth="1"/>
    <x:col min="25" max="25" width="20"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c r="W1" s="24"/>
      <x:c r="X1" s="24"/>
      <x:c r="Y1" s="24"/>
    </x:row>
    <x:row r="2" ht="19" customHeight="1">
      <x:c r="A2" s="35" t="str">
        <x:v>Applied factor exposures</x:v>
      </x:c>
      <x:c r="B2" s="24"/>
      <x:c r="C2" s="24"/>
      <x:c r="D2" s="24"/>
      <x:c r="E2" s="24"/>
      <x:c r="F2" s="24"/>
      <x:c r="G2" s="24"/>
      <x:c r="H2" s="24"/>
      <x:c r="I2" s="24"/>
      <x:c r="J2" s="24"/>
      <x:c r="K2" s="24"/>
      <x:c r="L2" s="24"/>
      <x:c r="M2" s="24"/>
      <x:c r="N2" s="24"/>
      <x:c r="O2" s="24"/>
      <x:c r="P2" s="24"/>
      <x:c r="Q2" s="24"/>
      <x:c r="R2" s="24"/>
      <x:c r="S2" s="24"/>
      <x:c r="T2" s="24"/>
      <x:c r="U2" s="24"/>
      <x:c r="V2" s="24"/>
      <x:c r="W2" s="24"/>
      <x:c r="X2" s="24"/>
      <x:c r="Y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c r="W3" s="24"/>
      <x:c r="X3" s="24"/>
      <x:c r="Y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c r="W4" s="24"/>
      <x:c r="X4" s="24"/>
      <x:c r="Y4" s="24"/>
    </x:row>
    <x:row r="5" ht="56" customHeight="1">
      <x:c r="A5" s="36" t="str">
        <x:v>Ticker</x:v>
      </x:c>
      <x:c r="B5" s="36" t="str">
        <x:v>MXN/USD</x:v>
      </x:c>
      <x:c r="C5" s="36" t="str">
        <x:v>SGD/USD</x:v>
      </x:c>
      <x:c r="D5" s="36" t="str">
        <x:v>DKK/USD</x:v>
      </x:c>
      <x:c r="E5" s="36" t="str">
        <x:v>EUR/USD</x:v>
      </x:c>
      <x:c r="F5" s="36" t="str">
        <x:v>AUD/USD</x:v>
      </x:c>
      <x:c r="G5" s="36" t="str">
        <x:v>CAD/USD</x:v>
      </x:c>
      <x:c r="H5" s="36" t="str">
        <x:v>SPY</x:v>
      </x:c>
      <x:c r="I5" s="36" t="str">
        <x:v>XLC</x:v>
      </x:c>
      <x:c r="J5" s="36" t="str">
        <x:v>XLY</x:v>
      </x:c>
      <x:c r="K5" s="36" t="str">
        <x:v>XLP</x:v>
      </x:c>
      <x:c r="L5" s="36" t="str">
        <x:v>XLE</x:v>
      </x:c>
      <x:c r="M5" s="36" t="str">
        <x:v>XLF</x:v>
      </x:c>
      <x:c r="N5" s="36" t="str">
        <x:v>XLV</x:v>
      </x:c>
      <x:c r="O5" s="36" t="str">
        <x:v>XLI</x:v>
      </x:c>
      <x:c r="P5" s="36" t="str">
        <x:v>XLB</x:v>
      </x:c>
      <x:c r="Q5" s="36" t="str">
        <x:v>XLRE</x:v>
      </x:c>
      <x:c r="R5" s="36" t="str">
        <x:v>XLK</x:v>
      </x:c>
      <x:c r="S5" s="36" t="str">
        <x:v>XLU</x:v>
      </x:c>
      <x:c r="T5" s="36" t="str">
        <x:v>Total alpha</x:v>
      </x:c>
      <x:c r="U5" s="36" t="str">
        <x:v>Cumulative R² after Home FX</x:v>
      </x:c>
      <x:c r="V5" s="36" t="str">
        <x:v>Cumulative R² after Other FX</x:v>
      </x:c>
      <x:c r="W5" s="36" t="str">
        <x:v>Cumulative R² after SPY</x:v>
      </x:c>
      <x:c r="X5" s="36" t="str">
        <x:v>Cumulative R² after Primary sector</x:v>
      </x:c>
      <x:c r="Y5" s="36" t="str">
        <x:v>Cumulative R² after Other sectors</x:v>
      </x:c>
    </x:row>
    <x:row r="6" ht="19" customHeight="1">
      <x:c r="A6" s="30" t="str">
        <x:v>VST</x:v>
      </x:c>
      <x:c r="B6" s="39" t="n">
        <x:v>0</x:v>
      </x:c>
      <x:c r="C6" s="39" t="n">
        <x:v>0</x:v>
      </x:c>
      <x:c r="D6" s="39" t="n">
        <x:v>0</x:v>
      </x:c>
      <x:c r="E6" s="39" t="n">
        <x:v>0</x:v>
      </x:c>
      <x:c r="F6" s="39" t="n">
        <x:v>0</x:v>
      </x:c>
      <x:c r="G6" s="39" t="n">
        <x:v>0</x:v>
      </x:c>
      <x:c r="H6" s="39" t="n">
        <x:v>1.080769288</x:v>
      </x:c>
      <x:c r="I6" s="39" t="n">
        <x:v>0</x:v>
      </x:c>
      <x:c r="J6" s="39" t="n">
        <x:v>0</x:v>
      </x:c>
      <x:c r="K6" s="39" t="n">
        <x:v>0</x:v>
      </x:c>
      <x:c r="L6" s="39" t="n">
        <x:v>0</x:v>
      </x:c>
      <x:c r="M6" s="39" t="n">
        <x:v>0</x:v>
      </x:c>
      <x:c r="N6" s="39" t="n">
        <x:v>-1.0068874921</x:v>
      </x:c>
      <x:c r="O6" s="39" t="n">
        <x:v>0</x:v>
      </x:c>
      <x:c r="P6" s="39" t="n">
        <x:v>0</x:v>
      </x:c>
      <x:c r="Q6" s="39" t="n">
        <x:v>0</x:v>
      </x:c>
      <x:c r="R6" s="39" t="n">
        <x:v>0</x:v>
      </x:c>
      <x:c r="S6" s="39" t="n">
        <x:v>0.7739386244</x:v>
      </x:c>
      <x:c r="T6" s="39" t="n">
        <x:v>0.0135364232</x:v>
      </x:c>
      <x:c r="U6" s="32" t="n">
        <x:f>'Stage risk'!R6</x:f>
        <x:v>0</x:v>
      </x:c>
      <x:c r="V6" s="32" t="n">
        <x:f>'Stage risk'!S6</x:f>
        <x:v>0</x:v>
      </x:c>
      <x:c r="W6" s="32" t="n">
        <x:f>'Stage risk'!T6</x:f>
        <x:v>0.14388305482271424</x:v>
      </x:c>
      <x:c r="X6" s="32" t="n">
        <x:f>'Stage risk'!U6</x:f>
        <x:v>0.22010845474133767</x:v>
      </x:c>
      <x:c r="Y6" s="32" t="n">
        <x:f>'Stage risk'!V6</x:f>
        <x:v>0.31202503965408057</x:v>
      </x:c>
    </x:row>
    <x:row r="7" ht="19" customHeight="1">
      <x:c r="A7" s="30" t="str">
        <x:v>VIST</x:v>
      </x:c>
      <x:c r="B7" s="39" t="n">
        <x:v>0.0958171985</x:v>
      </x:c>
      <x:c r="C7" s="39" t="n">
        <x:v>0</x:v>
      </x:c>
      <x:c r="D7" s="39" t="n">
        <x:v>0</x:v>
      </x:c>
      <x:c r="E7" s="39" t="n">
        <x:v>0</x:v>
      </x:c>
      <x:c r="F7" s="39" t="n">
        <x:v>0</x:v>
      </x:c>
      <x:c r="G7" s="39" t="n">
        <x:v>0</x:v>
      </x:c>
      <x:c r="H7" s="39" t="n">
        <x:v>-0.105158732</x:v>
      </x:c>
      <x:c r="I7" s="39" t="n">
        <x:v>0</x:v>
      </x:c>
      <x:c r="J7" s="39" t="n">
        <x:v>0</x:v>
      </x:c>
      <x:c r="K7" s="39" t="n">
        <x:v>0</x:v>
      </x:c>
      <x:c r="L7" s="39" t="n">
        <x:v>0.9012884373</x:v>
      </x:c>
      <x:c r="M7" s="39" t="n">
        <x:v>0</x:v>
      </x:c>
      <x:c r="N7" s="39" t="n">
        <x:v>-0.8508837427</x:v>
      </x:c>
      <x:c r="O7" s="39" t="n">
        <x:v>0</x:v>
      </x:c>
      <x:c r="P7" s="39" t="n">
        <x:v>0</x:v>
      </x:c>
      <x:c r="Q7" s="39" t="n">
        <x:v>0</x:v>
      </x:c>
      <x:c r="R7" s="39" t="n">
        <x:v>0</x:v>
      </x:c>
      <x:c r="S7" s="39" t="n">
        <x:v>0</x:v>
      </x:c>
      <x:c r="T7" s="39" t="n">
        <x:v>0.0368570361</x:v>
      </x:c>
      <x:c r="U7" s="32" t="n">
        <x:f>'Stage risk'!R7</x:f>
        <x:v>0.00044576001668983345</x:v>
      </x:c>
      <x:c r="V7" s="32" t="n">
        <x:f>'Stage risk'!S7</x:f>
        <x:v>0.00044576001668983345</x:v>
      </x:c>
      <x:c r="W7" s="32" t="n">
        <x:f>'Stage risk'!T7</x:f>
        <x:v>0.0016845494621908763</x:v>
      </x:c>
      <x:c r="X7" s="32" t="n">
        <x:f>'Stage risk'!U7</x:f>
        <x:v>0.28236778624127845</x:v>
      </x:c>
      <x:c r="Y7" s="32" t="n">
        <x:f>'Stage risk'!V7</x:f>
        <x:v>0.34206245510416133</x:v>
      </x:c>
    </x:row>
    <x:row r="8" ht="19" customHeight="1">
      <x:c r="A8" s="30" t="str">
        <x:v>AEP</x:v>
      </x:c>
      <x:c r="B8" s="39" t="n">
        <x:v>0</x:v>
      </x:c>
      <x:c r="C8" s="39" t="n">
        <x:v>0</x:v>
      </x:c>
      <x:c r="D8" s="39" t="n">
        <x:v>0</x:v>
      </x:c>
      <x:c r="E8" s="39" t="n">
        <x:v>0</x:v>
      </x:c>
      <x:c r="F8" s="39" t="n">
        <x:v>0.8672050187</x:v>
      </x:c>
      <x:c r="G8" s="39" t="n">
        <x:v>0</x:v>
      </x:c>
      <x:c r="H8" s="39" t="n">
        <x:v>0.0905692549</x:v>
      </x:c>
      <x:c r="I8" s="39" t="n">
        <x:v>0</x:v>
      </x:c>
      <x:c r="J8" s="39" t="n">
        <x:v>0</x:v>
      </x:c>
      <x:c r="K8" s="39" t="n">
        <x:v>0</x:v>
      </x:c>
      <x:c r="L8" s="39" t="n">
        <x:v>0</x:v>
      </x:c>
      <x:c r="M8" s="39" t="n">
        <x:v>0</x:v>
      </x:c>
      <x:c r="N8" s="39" t="n">
        <x:v>0</x:v>
      </x:c>
      <x:c r="O8" s="39" t="n">
        <x:v>-0.2676907531</x:v>
      </x:c>
      <x:c r="P8" s="39" t="n">
        <x:v>0</x:v>
      </x:c>
      <x:c r="Q8" s="39" t="n">
        <x:v>0.2145328454</x:v>
      </x:c>
      <x:c r="R8" s="39" t="n">
        <x:v>0</x:v>
      </x:c>
      <x:c r="S8" s="39" t="n">
        <x:v>0.9779296963</x:v>
      </x:c>
      <x:c r="T8" s="39" t="n">
        <x:v>0.0076455023</x:v>
      </x:c>
      <x:c r="U8" s="32" t="n">
        <x:f>'Stage risk'!R8</x:f>
        <x:v>0</x:v>
      </x:c>
      <x:c r="V8" s="32" t="n">
        <x:f>'Stage risk'!S8</x:f>
        <x:v>0.11520639652247333</x:v>
      </x:c>
      <x:c r="W8" s="32" t="n">
        <x:f>'Stage risk'!T8</x:f>
        <x:v>0.11953202273997676</x:v>
      </x:c>
      <x:c r="X8" s="32" t="n">
        <x:f>'Stage risk'!U8</x:f>
        <x:v>0.6405415271156296</x:v>
      </x:c>
      <x:c r="Y8" s="32" t="n">
        <x:f>'Stage risk'!V8</x:f>
        <x:v>0.6774505977605014</x:v>
      </x:c>
    </x:row>
    <x:row r="9" ht="19" customHeight="1">
      <x:c r="A9" s="30" t="str">
        <x:v>ETR</x:v>
      </x:c>
      <x:c r="B9" s="39" t="n">
        <x:v>0</x:v>
      </x:c>
      <x:c r="C9" s="39" t="n">
        <x:v>0</x:v>
      </x:c>
      <x:c r="D9" s="39" t="n">
        <x:v>0</x:v>
      </x:c>
      <x:c r="E9" s="39" t="n">
        <x:v>0</x:v>
      </x:c>
      <x:c r="F9" s="39" t="n">
        <x:v>0</x:v>
      </x:c>
      <x:c r="G9" s="39" t="n">
        <x:v>0</x:v>
      </x:c>
      <x:c r="H9" s="39" t="n">
        <x:v>0.355562464</x:v>
      </x:c>
      <x:c r="I9" s="39" t="n">
        <x:v>0</x:v>
      </x:c>
      <x:c r="J9" s="39" t="n">
        <x:v>0</x:v>
      </x:c>
      <x:c r="K9" s="39" t="n">
        <x:v>0</x:v>
      </x:c>
      <x:c r="L9" s="39" t="n">
        <x:v>0</x:v>
      </x:c>
      <x:c r="M9" s="39" t="n">
        <x:v>0</x:v>
      </x:c>
      <x:c r="N9" s="39" t="n">
        <x:v>0</x:v>
      </x:c>
      <x:c r="O9" s="39" t="n">
        <x:v>0</x:v>
      </x:c>
      <x:c r="P9" s="39" t="n">
        <x:v>0</x:v>
      </x:c>
      <x:c r="Q9" s="39" t="n">
        <x:v>0</x:v>
      </x:c>
      <x:c r="R9" s="39" t="n">
        <x:v>0</x:v>
      </x:c>
      <x:c r="S9" s="39" t="n">
        <x:v>0.9424741936</x:v>
      </x:c>
      <x:c r="T9" s="39" t="n">
        <x:v>0.0104151732</x:v>
      </x:c>
      <x:c r="U9" s="32" t="n">
        <x:f>'Stage risk'!R9</x:f>
        <x:v>0</x:v>
      </x:c>
      <x:c r="V9" s="32" t="n">
        <x:f>'Stage risk'!S9</x:f>
        <x:v>0</x:v>
      </x:c>
      <x:c r="W9" s="32" t="n">
        <x:f>'Stage risk'!T9</x:f>
        <x:v>0.07456035082405998</x:v>
      </x:c>
      <x:c r="X9" s="32" t="n">
        <x:f>'Stage risk'!U9</x:f>
        <x:v>0.6157607194978776</x:v>
      </x:c>
      <x:c r="Y9" s="32" t="n">
        <x:f>'Stage risk'!V9</x:f>
        <x:v>0.6157607194978776</x:v>
      </x:c>
    </x:row>
    <x:row r="10" ht="19" customHeight="1">
      <x:c r="A10" s="30" t="str">
        <x:v>DIS</x:v>
      </x:c>
      <x:c r="B10" s="39" t="n">
        <x:v>0</x:v>
      </x:c>
      <x:c r="C10" s="39" t="n">
        <x:v>0</x:v>
      </x:c>
      <x:c r="D10" s="39" t="n">
        <x:v>0</x:v>
      </x:c>
      <x:c r="E10" s="39" t="n">
        <x:v>0</x:v>
      </x:c>
      <x:c r="F10" s="39" t="n">
        <x:v>0.9479898522</x:v>
      </x:c>
      <x:c r="G10" s="39" t="n">
        <x:v>0</x:v>
      </x:c>
      <x:c r="H10" s="39" t="n">
        <x:v>1.073991686</x:v>
      </x:c>
      <x:c r="I10" s="39" t="n">
        <x:v>0.4737290522</x:v>
      </x:c>
      <x:c r="J10" s="39" t="n">
        <x:v>0</x:v>
      </x:c>
      <x:c r="K10" s="39" t="n">
        <x:v>0</x:v>
      </x:c>
      <x:c r="L10" s="39" t="n">
        <x:v>0</x:v>
      </x:c>
      <x:c r="M10" s="39" t="n">
        <x:v>0.5308730159</x:v>
      </x:c>
      <x:c r="N10" s="39" t="n">
        <x:v>-0.5348522321</x:v>
      </x:c>
      <x:c r="O10" s="39" t="n">
        <x:v>0</x:v>
      </x:c>
      <x:c r="P10" s="39" t="n">
        <x:v>0</x:v>
      </x:c>
      <x:c r="Q10" s="39" t="n">
        <x:v>0</x:v>
      </x:c>
      <x:c r="R10" s="39" t="n">
        <x:v>0</x:v>
      </x:c>
      <x:c r="S10" s="39" t="n">
        <x:v>0</x:v>
      </x:c>
      <x:c r="T10" s="39" t="n">
        <x:v>-0.0149545023</x:v>
      </x:c>
      <x:c r="U10" s="32" t="n">
        <x:f>'Stage risk'!R10</x:f>
        <x:v>0</x:v>
      </x:c>
      <x:c r="V10" s="32" t="n">
        <x:f>'Stage risk'!S10</x:f>
        <x:v>0.06324641659195862</x:v>
      </x:c>
      <x:c r="W10" s="32" t="n">
        <x:f>'Stage risk'!T10</x:f>
        <x:v>0.3426839456193439</x:v>
      </x:c>
      <x:c r="X10" s="32" t="n">
        <x:f>'Stage risk'!U10</x:f>
        <x:v>0.3688847409632078</x:v>
      </x:c>
      <x:c r="Y10" s="32" t="n">
        <x:f>'Stage risk'!V10</x:f>
        <x:v>0.4574525119818137</x:v>
      </x:c>
    </x:row>
    <x:row r="11" ht="19" customHeight="1">
      <x:c r="A11" s="30" t="str">
        <x:v>CMG</x:v>
      </x:c>
      <x:c r="B11" s="39" t="n">
        <x:v>0</x:v>
      </x:c>
      <x:c r="C11" s="39" t="n">
        <x:v>0</x:v>
      </x:c>
      <x:c r="D11" s="39" t="n">
        <x:v>0</x:v>
      </x:c>
      <x:c r="E11" s="39" t="n">
        <x:v>0</x:v>
      </x:c>
      <x:c r="F11" s="39" t="n">
        <x:v>1.0424836686</x:v>
      </x:c>
      <x:c r="G11" s="39" t="n">
        <x:v>0</x:v>
      </x:c>
      <x:c r="H11" s="39" t="n">
        <x:v>0.6580235836</x:v>
      </x:c>
      <x:c r="I11" s="39" t="n">
        <x:v>0</x:v>
      </x:c>
      <x:c r="J11" s="39" t="n">
        <x:v>0.531742343</x:v>
      </x:c>
      <x:c r="K11" s="39" t="n">
        <x:v>0</x:v>
      </x:c>
      <x:c r="L11" s="39" t="n">
        <x:v>-0.3247562354</x:v>
      </x:c>
      <x:c r="M11" s="39" t="n">
        <x:v>0</x:v>
      </x:c>
      <x:c r="N11" s="39" t="n">
        <x:v>0</x:v>
      </x:c>
      <x:c r="O11" s="39" t="n">
        <x:v>0</x:v>
      </x:c>
      <x:c r="P11" s="39" t="n">
        <x:v>0</x:v>
      </x:c>
      <x:c r="Q11" s="39" t="n">
        <x:v>0</x:v>
      </x:c>
      <x:c r="R11" s="39" t="n">
        <x:v>0</x:v>
      </x:c>
      <x:c r="S11" s="39" t="n">
        <x:v>0</x:v>
      </x:c>
      <x:c r="T11" s="39" t="n">
        <x:v>-0.0083620489</x:v>
      </x:c>
      <x:c r="U11" s="32" t="n">
        <x:f>'Stage risk'!R11</x:f>
        <x:v>0</x:v>
      </x:c>
      <x:c r="V11" s="32" t="n">
        <x:f>'Stage risk'!S11</x:f>
        <x:v>0.050226527876340854</x:v>
      </x:c>
      <x:c r="W11" s="32" t="n">
        <x:f>'Stage risk'!T11</x:f>
        <x:v>0.11911267728686226</x:v>
      </x:c>
      <x:c r="X11" s="32" t="n">
        <x:f>'Stage risk'!U11</x:f>
        <x:v>0.14252041879226807</x:v>
      </x:c>
      <x:c r="Y11" s="32" t="n">
        <x:f>'Stage risk'!V11</x:f>
        <x:v>0.19427467841586676</x:v>
      </x:c>
    </x:row>
    <x:row r="12" ht="19" customHeight="1">
      <x:c r="A12" s="30" t="str">
        <x:v>AMZN</x:v>
      </x:c>
      <x:c r="B12" s="39" t="n">
        <x:v>0</x:v>
      </x:c>
      <x:c r="C12" s="39" t="n">
        <x:v>0</x:v>
      </x:c>
      <x:c r="D12" s="39" t="n">
        <x:v>0</x:v>
      </x:c>
      <x:c r="E12" s="39" t="n">
        <x:v>0</x:v>
      </x:c>
      <x:c r="F12" s="39" t="n">
        <x:v>0</x:v>
      </x:c>
      <x:c r="G12" s="39" t="n">
        <x:v>0</x:v>
      </x:c>
      <x:c r="H12" s="39" t="n">
        <x:v>1.619582955</x:v>
      </x:c>
      <x:c r="I12" s="39" t="n">
        <x:v>0</x:v>
      </x:c>
      <x:c r="J12" s="39" t="n">
        <x:v>1.0478558483</x:v>
      </x:c>
      <x:c r="K12" s="39" t="n">
        <x:v>0</x:v>
      </x:c>
      <x:c r="L12" s="39" t="n">
        <x:v>0</x:v>
      </x:c>
      <x:c r="M12" s="39" t="n">
        <x:v>0</x:v>
      </x:c>
      <x:c r="N12" s="39" t="n">
        <x:v>0</x:v>
      </x:c>
      <x:c r="O12" s="39" t="n">
        <x:v>0</x:v>
      </x:c>
      <x:c r="P12" s="39" t="n">
        <x:v>-0.7565963893</x:v>
      </x:c>
      <x:c r="Q12" s="39" t="n">
        <x:v>0</x:v>
      </x:c>
      <x:c r="R12" s="39" t="n">
        <x:v>0</x:v>
      </x:c>
      <x:c r="S12" s="39" t="n">
        <x:v>0</x:v>
      </x:c>
      <x:c r="T12" s="39" t="n">
        <x:v>-0.0109944072</x:v>
      </x:c>
      <x:c r="U12" s="32" t="n">
        <x:f>'Stage risk'!R12</x:f>
        <x:v>0</x:v>
      </x:c>
      <x:c r="V12" s="32" t="n">
        <x:f>'Stage risk'!S12</x:f>
        <x:v>0</x:v>
      </x:c>
      <x:c r="W12" s="32" t="n">
        <x:f>'Stage risk'!T12</x:f>
        <x:v>0.5194369611521243</x:v>
      </x:c>
      <x:c r="X12" s="32" t="n">
        <x:f>'Stage risk'!U12</x:f>
        <x:v>0.6325825314995368</x:v>
      </x:c>
      <x:c r="Y12" s="32" t="n">
        <x:f>'Stage risk'!V12</x:f>
        <x:v>0.7345867741947703</x:v>
      </x:c>
    </x:row>
    <x:row r="13" ht="19" customHeight="1">
      <x:c r="A13" s="30" t="str">
        <x:v>FIX</x:v>
      </x:c>
      <x:c r="B13" s="39" t="n">
        <x:v>0</x:v>
      </x:c>
      <x:c r="C13" s="39" t="n">
        <x:v>0</x:v>
      </x:c>
      <x:c r="D13" s="39" t="n">
        <x:v>0</x:v>
      </x:c>
      <x:c r="E13" s="39" t="n">
        <x:v>0</x:v>
      </x:c>
      <x:c r="F13" s="39" t="n">
        <x:v>1.5698075109</x:v>
      </x:c>
      <x:c r="G13" s="39" t="n">
        <x:v>0</x:v>
      </x:c>
      <x:c r="H13" s="39" t="n">
        <x:v>1.1643759965</x:v>
      </x:c>
      <x:c r="I13" s="39" t="n">
        <x:v>0</x:v>
      </x:c>
      <x:c r="J13" s="39" t="n">
        <x:v>0</x:v>
      </x:c>
      <x:c r="K13" s="39" t="n">
        <x:v>0</x:v>
      </x:c>
      <x:c r="L13" s="39" t="n">
        <x:v>0</x:v>
      </x:c>
      <x:c r="M13" s="39" t="n">
        <x:v>-0.7893127305</x:v>
      </x:c>
      <x:c r="N13" s="39" t="n">
        <x:v>0</x:v>
      </x:c>
      <x:c r="O13" s="39" t="n">
        <x:v>0.6939572444</x:v>
      </x:c>
      <x:c r="P13" s="39" t="n">
        <x:v>0</x:v>
      </x:c>
      <x:c r="Q13" s="39" t="n">
        <x:v>-1.0520538314</x:v>
      </x:c>
      <x:c r="R13" s="39" t="n">
        <x:v>0</x:v>
      </x:c>
      <x:c r="S13" s="39" t="n">
        <x:v>0</x:v>
      </x:c>
      <x:c r="T13" s="39" t="n">
        <x:v>0.0354709355</x:v>
      </x:c>
      <x:c r="U13" s="32" t="n">
        <x:f>'Stage risk'!R13</x:f>
        <x:v>0</x:v>
      </x:c>
      <x:c r="V13" s="32" t="n">
        <x:f>'Stage risk'!S13</x:f>
        <x:v>0.08594575825277373</x:v>
      </x:c>
      <x:c r="W13" s="32" t="n">
        <x:f>'Stage risk'!T13</x:f>
        <x:v>0.24871505100114233</x:v>
      </x:c>
      <x:c r="X13" s="32" t="n">
        <x:f>'Stage risk'!U13</x:f>
        <x:v>0.2773949153866452</x:v>
      </x:c>
      <x:c r="Y13" s="32" t="n">
        <x:f>'Stage risk'!V13</x:f>
        <x:v>0.4179925595647416</x:v>
      </x:c>
    </x:row>
    <x:row r="14" ht="19" customHeight="1">
      <x:c r="A14" s="30" t="str">
        <x:v>STX</x:v>
      </x:c>
      <x:c r="B14" s="39" t="n">
        <x:v>0</x:v>
      </x:c>
      <x:c r="C14" s="39" t="n">
        <x:v>3.8723524064</x:v>
      </x:c>
      <x:c r="D14" s="39" t="n">
        <x:v>0</x:v>
      </x:c>
      <x:c r="E14" s="39" t="n">
        <x:v>0</x:v>
      </x:c>
      <x:c r="F14" s="39" t="n">
        <x:v>0</x:v>
      </x:c>
      <x:c r="G14" s="39" t="n">
        <x:v>0</x:v>
      </x:c>
      <x:c r="H14" s="39" t="n">
        <x:v>2.0968439244</x:v>
      </x:c>
      <x:c r="I14" s="39" t="n">
        <x:v>0</x:v>
      </x:c>
      <x:c r="J14" s="39" t="n">
        <x:v>0</x:v>
      </x:c>
      <x:c r="K14" s="39" t="n">
        <x:v>0</x:v>
      </x:c>
      <x:c r="L14" s="39" t="n">
        <x:v>0.4248873268</x:v>
      </x:c>
      <x:c r="M14" s="39" t="n">
        <x:v>0</x:v>
      </x:c>
      <x:c r="N14" s="39" t="n">
        <x:v>0</x:v>
      </x:c>
      <x:c r="O14" s="39" t="n">
        <x:v>0</x:v>
      </x:c>
      <x:c r="P14" s="39" t="n">
        <x:v>0</x:v>
      </x:c>
      <x:c r="Q14" s="39" t="n">
        <x:v>0</x:v>
      </x:c>
      <x:c r="R14" s="39" t="n">
        <x:v>2.5292281295</x:v>
      </x:c>
      <x:c r="S14" s="39" t="n">
        <x:v>0</x:v>
      </x:c>
      <x:c r="T14" s="39" t="n">
        <x:v>0.0198368741</x:v>
      </x:c>
      <x:c r="U14" s="32" t="n">
        <x:f>'Stage risk'!R14</x:f>
        <x:v>0.06882057791469198</x:v>
      </x:c>
      <x:c r="V14" s="32" t="n">
        <x:f>'Stage risk'!S14</x:f>
        <x:v>0.06882057791469198</x:v>
      </x:c>
      <x:c r="W14" s="32" t="n">
        <x:f>'Stage risk'!T14</x:f>
        <x:v>0.3177601133785206</x:v>
      </x:c>
      <x:c r="X14" s="32" t="n">
        <x:f>'Stage risk'!U14</x:f>
        <x:v>0.5443559378143932</x:v>
      </x:c>
      <x:c r="Y14" s="32" t="n">
        <x:f>'Stage risk'!V14</x:f>
        <x:v>0.5758835680552199</x:v>
      </x:c>
    </x:row>
    <x:row r="15" ht="19" customHeight="1">
      <x:c r="A15" s="30" t="str">
        <x:v>VLO</x:v>
      </x:c>
      <x:c r="B15" s="39" t="n">
        <x:v>0</x:v>
      </x:c>
      <x:c r="C15" s="39" t="n">
        <x:v>0</x:v>
      </x:c>
      <x:c r="D15" s="39" t="n">
        <x:v>0</x:v>
      </x:c>
      <x:c r="E15" s="39" t="n">
        <x:v>0</x:v>
      </x:c>
      <x:c r="F15" s="39" t="n">
        <x:v>0</x:v>
      </x:c>
      <x:c r="G15" s="39" t="n">
        <x:v>0</x:v>
      </x:c>
      <x:c r="H15" s="39" t="n">
        <x:v>-0.076131771</x:v>
      </x:c>
      <x:c r="I15" s="39" t="n">
        <x:v>0</x:v>
      </x:c>
      <x:c r="J15" s="39" t="n">
        <x:v>0</x:v>
      </x:c>
      <x:c r="K15" s="39" t="n">
        <x:v>0</x:v>
      </x:c>
      <x:c r="L15" s="39" t="n">
        <x:v>1.1936531674</x:v>
      </x:c>
      <x:c r="M15" s="39" t="n">
        <x:v>0</x:v>
      </x:c>
      <x:c r="N15" s="39" t="n">
        <x:v>0</x:v>
      </x:c>
      <x:c r="O15" s="39" t="n">
        <x:v>0</x:v>
      </x:c>
      <x:c r="P15" s="39" t="n">
        <x:v>0</x:v>
      </x:c>
      <x:c r="Q15" s="39" t="n">
        <x:v>0</x:v>
      </x:c>
      <x:c r="R15" s="39" t="n">
        <x:v>0</x:v>
      </x:c>
      <x:c r="S15" s="39" t="n">
        <x:v>0</x:v>
      </x:c>
      <x:c r="T15" s="39" t="n">
        <x:v>0.0294052553</x:v>
      </x:c>
      <x:c r="U15" s="32" t="n">
        <x:f>'Stage risk'!R15</x:f>
        <x:v>0</x:v>
      </x:c>
      <x:c r="V15" s="32" t="n">
        <x:f>'Stage risk'!S15</x:f>
        <x:v>0</x:v>
      </x:c>
      <x:c r="W15" s="32" t="n">
        <x:f>'Stage risk'!T15</x:f>
        <x:v>0.0007993508219635848</x:v>
      </x:c>
      <x:c r="X15" s="32" t="n">
        <x:f>'Stage risk'!U15</x:f>
        <x:v>0.6068988463246721</x:v>
      </x:c>
      <x:c r="Y15" s="32" t="n">
        <x:f>'Stage risk'!V15</x:f>
        <x:v>0.6068988463246721</x:v>
      </x:c>
    </x:row>
    <x:row r="16" ht="19" customHeight="1">
      <x:c r="A16" s="30" t="str">
        <x:v>CF</x:v>
      </x:c>
      <x:c r="B16" s="39" t="n">
        <x:v>0</x:v>
      </x:c>
      <x:c r="C16" s="39" t="n">
        <x:v>0</x:v>
      </x:c>
      <x:c r="D16" s="39" t="n">
        <x:v>0</x:v>
      </x:c>
      <x:c r="E16" s="39" t="n">
        <x:v>0</x:v>
      </x:c>
      <x:c r="F16" s="39" t="n">
        <x:v>0</x:v>
      </x:c>
      <x:c r="G16" s="39" t="n">
        <x:v>0</x:v>
      </x:c>
      <x:c r="H16" s="39" t="n">
        <x:v>-0.5471035191</x:v>
      </x:c>
      <x:c r="I16" s="39" t="n">
        <x:v>0</x:v>
      </x:c>
      <x:c r="J16" s="39" t="n">
        <x:v>0.7381341388</x:v>
      </x:c>
      <x:c r="K16" s="39" t="n">
        <x:v>0</x:v>
      </x:c>
      <x:c r="L16" s="39" t="n">
        <x:v>0.7883357645</x:v>
      </x:c>
      <x:c r="M16" s="39" t="n">
        <x:v>0</x:v>
      </x:c>
      <x:c r="N16" s="39" t="n">
        <x:v>0</x:v>
      </x:c>
      <x:c r="O16" s="39" t="n">
        <x:v>0</x:v>
      </x:c>
      <x:c r="P16" s="39" t="n">
        <x:v>0.542818749</x:v>
      </x:c>
      <x:c r="Q16" s="39" t="n">
        <x:v>0</x:v>
      </x:c>
      <x:c r="R16" s="39" t="n">
        <x:v>0</x:v>
      </x:c>
      <x:c r="S16" s="39" t="n">
        <x:v>0</x:v>
      </x:c>
      <x:c r="T16" s="39" t="n">
        <x:v>0.0244497447</x:v>
      </x:c>
      <x:c r="U16" s="32" t="n">
        <x:f>'Stage risk'!R16</x:f>
        <x:v>0</x:v>
      </x:c>
      <x:c r="V16" s="32" t="n">
        <x:f>'Stage risk'!S16</x:f>
        <x:v>0</x:v>
      </x:c>
      <x:c r="W16" s="32" t="n">
        <x:f>'Stage risk'!T16</x:f>
        <x:v>0.044294278421018074</x:v>
      </x:c>
      <x:c r="X16" s="32" t="n">
        <x:f>'Stage risk'!U16</x:f>
        <x:v>0.08352999050237442</x:v>
      </x:c>
      <x:c r="Y16" s="32" t="n">
        <x:f>'Stage risk'!V16</x:f>
        <x:v>0.40915517695013415</x:v>
      </x:c>
    </x:row>
    <x:row r="17" ht="19" customHeight="1">
      <x:c r="A17" s="30" t="str">
        <x:v>NTR</x:v>
      </x:c>
      <x:c r="B17" s="39" t="n">
        <x:v>0</x:v>
      </x:c>
      <x:c r="C17" s="39" t="n">
        <x:v>0</x:v>
      </x:c>
      <x:c r="D17" s="39" t="n">
        <x:v>0</x:v>
      </x:c>
      <x:c r="E17" s="39" t="n">
        <x:v>0</x:v>
      </x:c>
      <x:c r="F17" s="39" t="n">
        <x:v>0.692553488</x:v>
      </x:c>
      <x:c r="G17" s="39" t="n">
        <x:v>1.8947299428</x:v>
      </x:c>
      <x:c r="H17" s="39" t="n">
        <x:v>-0.2567541963</x:v>
      </x:c>
      <x:c r="I17" s="39" t="n">
        <x:v>0</x:v>
      </x:c>
      <x:c r="J17" s="39" t="n">
        <x:v>0</x:v>
      </x:c>
      <x:c r="K17" s="39" t="n">
        <x:v>0</x:v>
      </x:c>
      <x:c r="L17" s="39" t="n">
        <x:v>0.2836153616</x:v>
      </x:c>
      <x:c r="M17" s="39" t="n">
        <x:v>0</x:v>
      </x:c>
      <x:c r="N17" s="39" t="n">
        <x:v>0</x:v>
      </x:c>
      <x:c r="O17" s="39" t="n">
        <x:v>0</x:v>
      </x:c>
      <x:c r="P17" s="39" t="n">
        <x:v>0.4135667199</x:v>
      </x:c>
      <x:c r="Q17" s="39" t="n">
        <x:v>0</x:v>
      </x:c>
      <x:c r="R17" s="39" t="n">
        <x:v>0</x:v>
      </x:c>
      <x:c r="S17" s="39" t="n">
        <x:v>0</x:v>
      </x:c>
      <x:c r="T17" s="39" t="n">
        <x:v>0.0130556186</x:v>
      </x:c>
      <x:c r="U17" s="32" t="n">
        <x:f>'Stage risk'!R17</x:f>
        <x:v>0.13755414041294534</x:v>
      </x:c>
      <x:c r="V17" s="32" t="n">
        <x:f>'Stage risk'!S17</x:f>
        <x:v>0.17970258167243836</x:v>
      </x:c>
      <x:c r="W17" s="32" t="n">
        <x:f>'Stage risk'!T17</x:f>
        <x:v>0.19964438142708185</x:v>
      </x:c>
      <x:c r="X17" s="32" t="n">
        <x:f>'Stage risk'!U17</x:f>
        <x:v>0.24620123524493442</x:v>
      </x:c>
      <x:c r="Y17" s="32" t="n">
        <x:f>'Stage risk'!V17</x:f>
        <x:v>0.32125471498589975</x:v>
      </x:c>
    </x:row>
    <x:row r="18" ht="19" customHeight="1">
      <x:c r="A18" s="30" t="str">
        <x:v>LNN</x:v>
      </x:c>
      <x:c r="B18" s="39" t="n">
        <x:v>0</x:v>
      </x:c>
      <x:c r="C18" s="39" t="n">
        <x:v>0</x:v>
      </x:c>
      <x:c r="D18" s="39" t="n">
        <x:v>0</x:v>
      </x:c>
      <x:c r="E18" s="39" t="n">
        <x:v>0</x:v>
      </x:c>
      <x:c r="F18" s="39" t="n">
        <x:v>1.0972713827</x:v>
      </x:c>
      <x:c r="G18" s="39" t="n">
        <x:v>0</x:v>
      </x:c>
      <x:c r="H18" s="39" t="n">
        <x:v>0.1612035091</x:v>
      </x:c>
      <x:c r="I18" s="39" t="n">
        <x:v>0</x:v>
      </x:c>
      <x:c r="J18" s="39" t="n">
        <x:v>0</x:v>
      </x:c>
      <x:c r="K18" s="39" t="n">
        <x:v>0</x:v>
      </x:c>
      <x:c r="L18" s="39" t="n">
        <x:v>0</x:v>
      </x:c>
      <x:c r="M18" s="39" t="n">
        <x:v>0</x:v>
      </x:c>
      <x:c r="N18" s="39" t="n">
        <x:v>0</x:v>
      </x:c>
      <x:c r="O18" s="39" t="n">
        <x:v>0.8872330192</x:v>
      </x:c>
      <x:c r="P18" s="39" t="n">
        <x:v>0</x:v>
      </x:c>
      <x:c r="Q18" s="39" t="n">
        <x:v>0</x:v>
      </x:c>
      <x:c r="R18" s="39" t="n">
        <x:v>0</x:v>
      </x:c>
      <x:c r="S18" s="39" t="n">
        <x:v>0</x:v>
      </x:c>
      <x:c r="T18" s="39" t="n">
        <x:v>-0.0016041077</x:v>
      </x:c>
      <x:c r="U18" s="32" t="n">
        <x:f>'Stage risk'!R18</x:f>
        <x:v>0</x:v>
      </x:c>
      <x:c r="V18" s="32" t="n">
        <x:f>'Stage risk'!S18</x:f>
        <x:v>0.1044498135688976</x:v>
      </x:c>
      <x:c r="W18" s="32" t="n">
        <x:f>'Stage risk'!T18</x:f>
        <x:v>0.11221019225888562</x:v>
      </x:c>
      <x:c r="X18" s="32" t="n">
        <x:f>'Stage risk'!U18</x:f>
        <x:v>0.22881997664709075</x:v>
      </x:c>
      <x:c r="Y18" s="32" t="n">
        <x:f>'Stage risk'!V18</x:f>
        <x:v>0.22881997664709075</x:v>
      </x:c>
    </x:row>
    <x:row r="19" ht="19" customHeight="1">
      <x:c r="A19" s="30" t="str">
        <x:v>WDC</x:v>
      </x:c>
      <x:c r="B19" s="39" t="n">
        <x:v>0</x:v>
      </x:c>
      <x:c r="C19" s="39" t="n">
        <x:v>0</x:v>
      </x:c>
      <x:c r="D19" s="39" t="n">
        <x:v>0</x:v>
      </x:c>
      <x:c r="E19" s="39" t="n">
        <x:v>0</x:v>
      </x:c>
      <x:c r="F19" s="39" t="n">
        <x:v>1.8996132701</x:v>
      </x:c>
      <x:c r="G19" s="39" t="n">
        <x:v>0</x:v>
      </x:c>
      <x:c r="H19" s="39" t="n">
        <x:v>1.5918113638</x:v>
      </x:c>
      <x:c r="I19" s="39" t="n">
        <x:v>0</x:v>
      </x:c>
      <x:c r="J19" s="39" t="n">
        <x:v>0</x:v>
      </x:c>
      <x:c r="K19" s="39" t="n">
        <x:v>0</x:v>
      </x:c>
      <x:c r="L19" s="39" t="n">
        <x:v>0</x:v>
      </x:c>
      <x:c r="M19" s="39" t="n">
        <x:v>0</x:v>
      </x:c>
      <x:c r="N19" s="39" t="n">
        <x:v>0</x:v>
      </x:c>
      <x:c r="O19" s="39" t="n">
        <x:v>1.735408514</x:v>
      </x:c>
      <x:c r="P19" s="39" t="n">
        <x:v>0</x:v>
      </x:c>
      <x:c r="Q19" s="39" t="n">
        <x:v>0</x:v>
      </x:c>
      <x:c r="R19" s="39" t="n">
        <x:v>2.5892410487</x:v>
      </x:c>
      <x:c r="S19" s="39" t="n">
        <x:v>0</x:v>
      </x:c>
      <x:c r="T19" s="39" t="n">
        <x:v>0.0257022774</x:v>
      </x:c>
      <x:c r="U19" s="32" t="n">
        <x:f>'Stage risk'!R19</x:f>
        <x:v>0</x:v>
      </x:c>
      <x:c r="V19" s="32" t="n">
        <x:f>'Stage risk'!S19</x:f>
        <x:v>0.05281501280226941</x:v>
      </x:c>
      <x:c r="W19" s="32" t="n">
        <x:f>'Stage risk'!T19</x:f>
        <x:v>0.18047786757870288</x:v>
      </x:c>
      <x:c r="X19" s="32" t="n">
        <x:f>'Stage risk'!U19</x:f>
        <x:v>0.3917978408788524</x:v>
      </x:c>
      <x:c r="Y19" s="32" t="n">
        <x:f>'Stage risk'!V19</x:f>
        <x:v>0.467065856833769</x:v>
      </x:c>
    </x:row>
    <x:row r="20" ht="19" customHeight="1">
      <x:c r="A20" s="30" t="str">
        <x:v>ASND</x:v>
      </x:c>
      <x:c r="B20" s="39" t="n">
        <x:v>0</x:v>
      </x:c>
      <x:c r="C20" s="39" t="n">
        <x:v>0</x:v>
      </x:c>
      <x:c r="D20" s="39" t="n">
        <x:v>0.7807794261</x:v>
      </x:c>
      <x:c r="E20" s="39" t="n">
        <x:v>0</x:v>
      </x:c>
      <x:c r="F20" s="39" t="n">
        <x:v>0</x:v>
      </x:c>
      <x:c r="G20" s="39" t="n">
        <x:v>0</x:v>
      </x:c>
      <x:c r="H20" s="39" t="n">
        <x:v>0.3045576325</x:v>
      </x:c>
      <x:c r="I20" s="39" t="n">
        <x:v>0</x:v>
      </x:c>
      <x:c r="J20" s="39" t="n">
        <x:v>0</x:v>
      </x:c>
      <x:c r="K20" s="39" t="n">
        <x:v>0</x:v>
      </x:c>
      <x:c r="L20" s="39" t="n">
        <x:v>0</x:v>
      </x:c>
      <x:c r="M20" s="39" t="n">
        <x:v>0</x:v>
      </x:c>
      <x:c r="N20" s="39" t="n">
        <x:v>0.3183935032</x:v>
      </x:c>
      <x:c r="O20" s="39" t="n">
        <x:v>0</x:v>
      </x:c>
      <x:c r="P20" s="39" t="n">
        <x:v>0</x:v>
      </x:c>
      <x:c r="Q20" s="39" t="n">
        <x:v>0</x:v>
      </x:c>
      <x:c r="R20" s="39" t="n">
        <x:v>0</x:v>
      </x:c>
      <x:c r="S20" s="39" t="n">
        <x:v>0</x:v>
      </x:c>
      <x:c r="T20" s="39" t="n">
        <x:v>0.0065097708</x:v>
      </x:c>
      <x:c r="U20" s="32" t="n">
        <x:f>'Stage risk'!R20</x:f>
        <x:v>0.01971908450920845</x:v>
      </x:c>
      <x:c r="V20" s="32" t="n">
        <x:f>'Stage risk'!S20</x:f>
        <x:v>0.01971908450920845</x:v>
      </x:c>
      <x:c r="W20" s="32" t="n">
        <x:f>'Stage risk'!T20</x:f>
        <x:v>0.03403587777644845</x:v>
      </x:c>
      <x:c r="X20" s="32" t="n">
        <x:f>'Stage risk'!U20</x:f>
        <x:v>0.04555245902357896</x:v>
      </x:c>
      <x:c r="Y20" s="32" t="n">
        <x:f>'Stage risk'!V20</x:f>
        <x:v>0.04555245902357896</x:v>
      </x:c>
    </x:row>
    <x:row r="21" ht="19" customHeight="1">
      <x:c r="A21" s="30" t="str">
        <x:v>DOCN</x:v>
      </x:c>
      <x:c r="B21" s="39" t="n">
        <x:v>0</x:v>
      </x:c>
      <x:c r="C21" s="39" t="n">
        <x:v>0</x:v>
      </x:c>
      <x:c r="D21" s="39" t="n">
        <x:v>0</x:v>
      </x:c>
      <x:c r="E21" s="39" t="n">
        <x:v>0</x:v>
      </x:c>
      <x:c r="F21" s="39" t="n">
        <x:v>0</x:v>
      </x:c>
      <x:c r="G21" s="39" t="n">
        <x:v>0</x:v>
      </x:c>
      <x:c r="H21" s="39" t="n">
        <x:v>1.5461896107</x:v>
      </x:c>
      <x:c r="I21" s="39" t="n">
        <x:v>0</x:v>
      </x:c>
      <x:c r="J21" s="39" t="n">
        <x:v>0</x:v>
      </x:c>
      <x:c r="K21" s="39" t="n">
        <x:v>0</x:v>
      </x:c>
      <x:c r="L21" s="39" t="n">
        <x:v>0.7941591511</x:v>
      </x:c>
      <x:c r="M21" s="39" t="n">
        <x:v>0</x:v>
      </x:c>
      <x:c r="N21" s="39" t="n">
        <x:v>0</x:v>
      </x:c>
      <x:c r="O21" s="39" t="n">
        <x:v>0</x:v>
      </x:c>
      <x:c r="P21" s="39" t="n">
        <x:v>0</x:v>
      </x:c>
      <x:c r="Q21" s="39" t="n">
        <x:v>0</x:v>
      </x:c>
      <x:c r="R21" s="39" t="n">
        <x:v>2.4233237917</x:v>
      </x:c>
      <x:c r="S21" s="39" t="n">
        <x:v>0</x:v>
      </x:c>
      <x:c r="T21" s="39" t="n">
        <x:v>0.0040454914</x:v>
      </x:c>
      <x:c r="U21" s="32" t="n">
        <x:f>'Stage risk'!R21</x:f>
        <x:v>0</x:v>
      </x:c>
      <x:c r="V21" s="32" t="n">
        <x:f>'Stage risk'!S21</x:f>
        <x:v>0</x:v>
      </x:c>
      <x:c r="W21" s="32" t="n">
        <x:f>'Stage risk'!T21</x:f>
        <x:v>0.10425831377165296</x:v>
      </x:c>
      <x:c r="X21" s="32" t="n">
        <x:f>'Stage risk'!U21</x:f>
        <x:v>0.2620161824141547</x:v>
      </x:c>
      <x:c r="Y21" s="32" t="n">
        <x:f>'Stage risk'!V21</x:f>
        <x:v>0.3410558287142992</x:v>
      </x:c>
    </x:row>
    <x:row r="22" ht="19" customHeight="1">
      <x:c r="A22" s="30" t="str">
        <x:v>CME</x:v>
      </x:c>
      <x:c r="B22" s="39" t="n">
        <x:v>0</x:v>
      </x:c>
      <x:c r="C22" s="39" t="n">
        <x:v>0</x:v>
      </x:c>
      <x:c r="D22" s="39" t="n">
        <x:v>0</x:v>
      </x:c>
      <x:c r="E22" s="39" t="n">
        <x:v>0</x:v>
      </x:c>
      <x:c r="F22" s="39" t="n">
        <x:v>0.686428376</x:v>
      </x:c>
      <x:c r="G22" s="39" t="n">
        <x:v>0</x:v>
      </x:c>
      <x:c r="H22" s="39" t="n">
        <x:v>-0.0470719436</x:v>
      </x:c>
      <x:c r="I22" s="39" t="n">
        <x:v>0</x:v>
      </x:c>
      <x:c r="J22" s="39" t="n">
        <x:v>0</x:v>
      </x:c>
      <x:c r="K22" s="39" t="n">
        <x:v>0.4999942678</x:v>
      </x:c>
      <x:c r="L22" s="39" t="n">
        <x:v>0.1893777611</x:v>
      </x:c>
      <x:c r="M22" s="39" t="n">
        <x:v>-0.209276036</x:v>
      </x:c>
      <x:c r="N22" s="39" t="n">
        <x:v>0</x:v>
      </x:c>
      <x:c r="O22" s="39" t="n">
        <x:v>0</x:v>
      </x:c>
      <x:c r="P22" s="39" t="n">
        <x:v>0</x:v>
      </x:c>
      <x:c r="Q22" s="39" t="n">
        <x:v>0</x:v>
      </x:c>
      <x:c r="R22" s="39" t="n">
        <x:v>0</x:v>
      </x:c>
      <x:c r="S22" s="39" t="n">
        <x:v>0</x:v>
      </x:c>
      <x:c r="T22" s="39" t="n">
        <x:v>0.0090799897</x:v>
      </x:c>
      <x:c r="U22" s="32" t="n">
        <x:f>'Stage risk'!R22</x:f>
        <x:v>0</x:v>
      </x:c>
      <x:c r="V22" s="32" t="n">
        <x:f>'Stage risk'!S22</x:f>
        <x:v>0.06840199596322794</x:v>
      </x:c>
      <x:c r="W22" s="32" t="n">
        <x:f>'Stage risk'!T22</x:f>
        <x:v>0.06950927383260519</x:v>
      </x:c>
      <x:c r="X22" s="32" t="n">
        <x:f>'Stage risk'!U22</x:f>
        <x:v>0.08154936189460249</x:v>
      </x:c>
      <x:c r="Y22" s="32" t="n">
        <x:f>'Stage risk'!V22</x:f>
        <x:v>0.213000296897066</x:v>
      </x:c>
    </x:row>
    <x:row r="23" ht="19" customHeight="1">
      <x:c r="A23" s="30" t="str">
        <x:v>NET</x:v>
      </x:c>
      <x:c r="B23" s="39" t="n">
        <x:v>0</x:v>
      </x:c>
      <x:c r="C23" s="39" t="n">
        <x:v>0</x:v>
      </x:c>
      <x:c r="D23" s="39" t="n">
        <x:v>0</x:v>
      </x:c>
      <x:c r="E23" s="39" t="n">
        <x:v>0</x:v>
      </x:c>
      <x:c r="F23" s="39" t="n">
        <x:v>0</x:v>
      </x:c>
      <x:c r="G23" s="39" t="n">
        <x:v>0</x:v>
      </x:c>
      <x:c r="H23" s="39" t="n">
        <x:v>1.4112480817</x:v>
      </x:c>
      <x:c r="I23" s="39" t="n">
        <x:v>0</x:v>
      </x:c>
      <x:c r="J23" s="39" t="n">
        <x:v>1.460140591</x:v>
      </x:c>
      <x:c r="K23" s="39" t="n">
        <x:v>-0.9366118657</x:v>
      </x:c>
      <x:c r="L23" s="39" t="n">
        <x:v>0.4220604667</x:v>
      </x:c>
      <x:c r="M23" s="39" t="n">
        <x:v>0</x:v>
      </x:c>
      <x:c r="N23" s="39" t="n">
        <x:v>0</x:v>
      </x:c>
      <x:c r="O23" s="39" t="n">
        <x:v>0</x:v>
      </x:c>
      <x:c r="P23" s="39" t="n">
        <x:v>0</x:v>
      </x:c>
      <x:c r="Q23" s="39" t="n">
        <x:v>0</x:v>
      </x:c>
      <x:c r="R23" s="39" t="n">
        <x:v>0.1615574261</x:v>
      </x:c>
      <x:c r="S23" s="39" t="n">
        <x:v>0</x:v>
      </x:c>
      <x:c r="T23" s="39" t="n">
        <x:v>0.0115212812</x:v>
      </x:c>
      <x:c r="U23" s="32" t="n">
        <x:f>'Stage risk'!R23</x:f>
        <x:v>0</x:v>
      </x:c>
      <x:c r="V23" s="32" t="n">
        <x:f>'Stage risk'!S23</x:f>
        <x:v>0</x:v>
      </x:c>
      <x:c r="W23" s="32" t="n">
        <x:f>'Stage risk'!T23</x:f>
        <x:v>0.14660589568142257</x:v>
      </x:c>
      <x:c r="X23" s="32" t="n">
        <x:f>'Stage risk'!U23</x:f>
        <x:v>0.14780791811697513</x:v>
      </x:c>
      <x:c r="Y23" s="32" t="n">
        <x:f>'Stage risk'!V23</x:f>
        <x:v>0.3092920933199491</x:v>
      </x:c>
    </x:row>
    <x:row r="24" ht="19" customHeight="1">
      <x:c r="A24" s="30" t="str">
        <x:v>MRNA</x:v>
      </x:c>
      <x:c r="B24" s="39" t="n">
        <x:v>0</x:v>
      </x:c>
      <x:c r="C24" s="39" t="n">
        <x:v>0</x:v>
      </x:c>
      <x:c r="D24" s="39" t="n">
        <x:v>0</x:v>
      </x:c>
      <x:c r="E24" s="39" t="n">
        <x:v>0</x:v>
      </x:c>
      <x:c r="F24" s="39" t="n">
        <x:v>2.6742103247</x:v>
      </x:c>
      <x:c r="G24" s="39" t="n">
        <x:v>0</x:v>
      </x:c>
      <x:c r="H24" s="39" t="n">
        <x:v>0.0177044129</x:v>
      </x:c>
      <x:c r="I24" s="39" t="n">
        <x:v>0</x:v>
      </x:c>
      <x:c r="J24" s="39" t="n">
        <x:v>0</x:v>
      </x:c>
      <x:c r="K24" s="39" t="n">
        <x:v>0</x:v>
      </x:c>
      <x:c r="L24" s="39" t="n">
        <x:v>0</x:v>
      </x:c>
      <x:c r="M24" s="39" t="n">
        <x:v>0</x:v>
      </x:c>
      <x:c r="N24" s="39" t="n">
        <x:v>0.5614454448</x:v>
      </x:c>
      <x:c r="O24" s="39" t="n">
        <x:v>0</x:v>
      </x:c>
      <x:c r="P24" s="39" t="n">
        <x:v>0</x:v>
      </x:c>
      <x:c r="Q24" s="39" t="n">
        <x:v>0</x:v>
      </x:c>
      <x:c r="R24" s="39" t="n">
        <x:v>0</x:v>
      </x:c>
      <x:c r="S24" s="39" t="n">
        <x:v>0</x:v>
      </x:c>
      <x:c r="T24" s="39" t="n">
        <x:v>-0.004840114</x:v>
      </x:c>
      <x:c r="U24" s="32" t="n">
        <x:f>'Stage risk'!R24</x:f>
        <x:v>0</x:v>
      </x:c>
      <x:c r="V24" s="32" t="n">
        <x:f>'Stage risk'!S24</x:f>
        <x:v>0.09620208469152836</x:v>
      </x:c>
      <x:c r="W24" s="32" t="n">
        <x:f>'Stage risk'!T24</x:f>
        <x:v>0.09621659928870308</x:v>
      </x:c>
      <x:c r="X24" s="32" t="n">
        <x:f>'Stage risk'!U24</x:f>
        <x:v>0.10696023281209754</x:v>
      </x:c>
      <x:c r="Y24" s="32" t="n">
        <x:f>'Stage risk'!V24</x:f>
        <x:v>0.10696023281209754</x:v>
      </x:c>
    </x:row>
    <x:row r="25" ht="19" customHeight="1">
      <x:c r="A25" s="30" t="str">
        <x:v>AXON</x:v>
      </x:c>
      <x:c r="B25" s="39" t="n">
        <x:v>0</x:v>
      </x:c>
      <x:c r="C25" s="39" t="n">
        <x:v>0</x:v>
      </x:c>
      <x:c r="D25" s="39" t="n">
        <x:v>0</x:v>
      </x:c>
      <x:c r="E25" s="39" t="n">
        <x:v>0</x:v>
      </x:c>
      <x:c r="F25" s="39" t="n">
        <x:v>0</x:v>
      </x:c>
      <x:c r="G25" s="39" t="n">
        <x:v>0</x:v>
      </x:c>
      <x:c r="H25" s="39" t="n">
        <x:v>0.9661221578</x:v>
      </x:c>
      <x:c r="I25" s="39" t="n">
        <x:v>0</x:v>
      </x:c>
      <x:c r="J25" s="39" t="n">
        <x:v>0.9069166273</x:v>
      </x:c>
      <x:c r="K25" s="39" t="n">
        <x:v>0</x:v>
      </x:c>
      <x:c r="L25" s="39" t="n">
        <x:v>0</x:v>
      </x:c>
      <x:c r="M25" s="39" t="n">
        <x:v>0</x:v>
      </x:c>
      <x:c r="N25" s="39" t="n">
        <x:v>0</x:v>
      </x:c>
      <x:c r="O25" s="39" t="n">
        <x:v>1.4632267417</x:v>
      </x:c>
      <x:c r="P25" s="39" t="n">
        <x:v>0</x:v>
      </x:c>
      <x:c r="Q25" s="39" t="n">
        <x:v>0</x:v>
      </x:c>
      <x:c r="R25" s="39" t="n">
        <x:v>0</x:v>
      </x:c>
      <x:c r="S25" s="39" t="n">
        <x:v>0</x:v>
      </x:c>
      <x:c r="T25" s="39" t="n">
        <x:v>0.0099829132</x:v>
      </x:c>
      <x:c r="U25" s="32" t="n">
        <x:f>'Stage risk'!R25</x:f>
        <x:v>0</x:v>
      </x:c>
      <x:c r="V25" s="32" t="n">
        <x:f>'Stage risk'!S25</x:f>
        <x:v>0</x:v>
      </x:c>
      <x:c r="W25" s="32" t="n">
        <x:f>'Stage risk'!T25</x:f>
        <x:v>0.08784186793245141</x:v>
      </x:c>
      <x:c r="X25" s="32" t="n">
        <x:f>'Stage risk'!U25</x:f>
        <x:v>0.18779269955655353</x:v>
      </x:c>
      <x:c r="Y25" s="32" t="n">
        <x:f>'Stage risk'!V25</x:f>
        <x:v>0.22807184344454778</x:v>
      </x:c>
    </x:row>
    <x:row r="26" ht="19" customHeight="1">
      <x:c r="A26" s="30" t="str">
        <x:v>NFLX</x:v>
      </x:c>
      <x:c r="B26" s="39" t="n">
        <x:v>0</x:v>
      </x:c>
      <x:c r="C26" s="39" t="n">
        <x:v>0</x:v>
      </x:c>
      <x:c r="D26" s="39" t="n">
        <x:v>0</x:v>
      </x:c>
      <x:c r="E26" s="39" t="n">
        <x:v>0</x:v>
      </x:c>
      <x:c r="F26" s="39" t="n">
        <x:v>0</x:v>
      </x:c>
      <x:c r="G26" s="39" t="n">
        <x:v>0</x:v>
      </x:c>
      <x:c r="H26" s="39" t="n">
        <x:v>1.0663640408</x:v>
      </x:c>
      <x:c r="I26" s="39" t="n">
        <x:v>1.1105102517</x:v>
      </x:c>
      <x:c r="J26" s="39" t="n">
        <x:v>0</x:v>
      </x:c>
      <x:c r="K26" s="39" t="n">
        <x:v>0</x:v>
      </x:c>
      <x:c r="L26" s="39" t="n">
        <x:v>0</x:v>
      </x:c>
      <x:c r="M26" s="39" t="n">
        <x:v>0</x:v>
      </x:c>
      <x:c r="N26" s="39" t="n">
        <x:v>0</x:v>
      </x:c>
      <x:c r="O26" s="39" t="n">
        <x:v>0</x:v>
      </x:c>
      <x:c r="P26" s="39" t="n">
        <x:v>0</x:v>
      </x:c>
      <x:c r="Q26" s="39" t="n">
        <x:v>0</x:v>
      </x:c>
      <x:c r="R26" s="39" t="n">
        <x:v>0.7763186822</x:v>
      </x:c>
      <x:c r="S26" s="39" t="n">
        <x:v>0.5817997911</x:v>
      </x:c>
      <x:c r="T26" s="39" t="n">
        <x:v>-0.0067501931</x:v>
      </x:c>
      <x:c r="U26" s="32" t="n">
        <x:f>'Stage risk'!R26</x:f>
        <x:v>0</x:v>
      </x:c>
      <x:c r="V26" s="32" t="n">
        <x:f>'Stage risk'!S26</x:f>
        <x:v>0</x:v>
      </x:c>
      <x:c r="W26" s="32" t="n">
        <x:f>'Stage risk'!T26</x:f>
        <x:v>0.1440992165295285</x:v>
      </x:c>
      <x:c r="X26" s="32" t="n">
        <x:f>'Stage risk'!U26</x:f>
        <x:v>0.2194117634782926</x:v>
      </x:c>
      <x:c r="Y26" s="32" t="n">
        <x:f>'Stage risk'!V26</x:f>
        <x:v>0.3115056121555896</x:v>
      </x:c>
    </x:row>
    <x:row r="27" ht="19" customHeight="1">
      <x:c r="A27" s="30" t="str">
        <x:v>CMCSA</x:v>
      </x:c>
      <x:c r="B27" s="39" t="n">
        <x:v>0</x:v>
      </x:c>
      <x:c r="C27" s="39" t="n">
        <x:v>0</x:v>
      </x:c>
      <x:c r="D27" s="39" t="n">
        <x:v>0</x:v>
      </x:c>
      <x:c r="E27" s="39" t="n">
        <x:v>0</x:v>
      </x:c>
      <x:c r="F27" s="39" t="n">
        <x:v>1.39722225</x:v>
      </x:c>
      <x:c r="G27" s="39" t="n">
        <x:v>0</x:v>
      </x:c>
      <x:c r="H27" s="39" t="n">
        <x:v>0.1224961828</x:v>
      </x:c>
      <x:c r="I27" s="39" t="n">
        <x:v>1.0423479818</x:v>
      </x:c>
      <x:c r="J27" s="39" t="n">
        <x:v>0</x:v>
      </x:c>
      <x:c r="K27" s="39" t="n">
        <x:v>0.3921653459</x:v>
      </x:c>
      <x:c r="L27" s="39" t="n">
        <x:v>0.2703462484</x:v>
      </x:c>
      <x:c r="M27" s="39" t="n">
        <x:v>0</x:v>
      </x:c>
      <x:c r="N27" s="39" t="n">
        <x:v>0</x:v>
      </x:c>
      <x:c r="O27" s="39" t="n">
        <x:v>0</x:v>
      </x:c>
      <x:c r="P27" s="39" t="n">
        <x:v>0</x:v>
      </x:c>
      <x:c r="Q27" s="39" t="n">
        <x:v>0</x:v>
      </x:c>
      <x:c r="R27" s="39" t="n">
        <x:v>0</x:v>
      </x:c>
      <x:c r="S27" s="39" t="n">
        <x:v>0</x:v>
      </x:c>
      <x:c r="T27" s="39" t="n">
        <x:v>-0.006625605</x:v>
      </x:c>
      <x:c r="U27" s="32" t="n">
        <x:f>'Stage risk'!R27</x:f>
        <x:v>0</x:v>
      </x:c>
      <x:c r="V27" s="32" t="n">
        <x:f>'Stage risk'!S27</x:f>
        <x:v>0.18723419654021478</x:v>
      </x:c>
      <x:c r="W27" s="32" t="n">
        <x:f>'Stage risk'!T27</x:f>
        <x:v>0.1921881710912291</x:v>
      </x:c>
      <x:c r="X27" s="32" t="n">
        <x:f>'Stage risk'!U27</x:f>
        <x:v>0.3650525680455583</x:v>
      </x:c>
      <x:c r="Y27" s="32" t="n">
        <x:f>'Stage risk'!V27</x:f>
        <x:v>0.4704375107886448</x:v>
      </x:c>
    </x:row>
    <x:row r="28" ht="19" customHeight="1">
      <x:c r="A28" s="30" t="str">
        <x:v>MU</x:v>
      </x:c>
      <x:c r="B28" s="39" t="n">
        <x:v>0</x:v>
      </x:c>
      <x:c r="C28" s="39" t="n">
        <x:v>0</x:v>
      </x:c>
      <x:c r="D28" s="39" t="n">
        <x:v>0</x:v>
      </x:c>
      <x:c r="E28" s="39" t="n">
        <x:v>0</x:v>
      </x:c>
      <x:c r="F28" s="39" t="n">
        <x:v>2.1006307407</x:v>
      </x:c>
      <x:c r="G28" s="39" t="n">
        <x:v>0</x:v>
      </x:c>
      <x:c r="H28" s="39" t="n">
        <x:v>1.5482668275</x:v>
      </x:c>
      <x:c r="I28" s="39" t="n">
        <x:v>0</x:v>
      </x:c>
      <x:c r="J28" s="39" t="n">
        <x:v>-1.3541680665</x:v>
      </x:c>
      <x:c r="K28" s="39" t="n">
        <x:v>0</x:v>
      </x:c>
      <x:c r="L28" s="39" t="n">
        <x:v>0</x:v>
      </x:c>
      <x:c r="M28" s="39" t="n">
        <x:v>0</x:v>
      </x:c>
      <x:c r="N28" s="39" t="n">
        <x:v>0</x:v>
      </x:c>
      <x:c r="O28" s="39" t="n">
        <x:v>0</x:v>
      </x:c>
      <x:c r="P28" s="39" t="n">
        <x:v>0</x:v>
      </x:c>
      <x:c r="Q28" s="39" t="n">
        <x:v>0</x:v>
      </x:c>
      <x:c r="R28" s="39" t="n">
        <x:v>2.5726467442</x:v>
      </x:c>
      <x:c r="S28" s="39" t="n">
        <x:v>0</x:v>
      </x:c>
      <x:c r="T28" s="39" t="n">
        <x:v>0.0282238609</x:v>
      </x:c>
      <x:c r="U28" s="32" t="n">
        <x:f>'Stage risk'!R28</x:f>
        <x:v>0</x:v>
      </x:c>
      <x:c r="V28" s="32" t="n">
        <x:f>'Stage risk'!S28</x:f>
        <x:v>0.06316812072341482</x:v>
      </x:c>
      <x:c r="W28" s="32" t="n">
        <x:f>'Stage risk'!T28</x:f>
        <x:v>0.18129384757252198</x:v>
      </x:c>
      <x:c r="X28" s="32" t="n">
        <x:f>'Stage risk'!U28</x:f>
        <x:v>0.38533953491296513</x:v>
      </x:c>
      <x:c r="Y28" s="32" t="n">
        <x:f>'Stage risk'!V28</x:f>
        <x:v>0.4323620693893697</x:v>
      </x:c>
    </x:row>
    <x:row r="29" ht="19" customHeight="1">
      <x:c r="A29" s="30" t="str">
        <x:v>NEM</x:v>
      </x:c>
      <x:c r="B29" s="39" t="n">
        <x:v>0</x:v>
      </x:c>
      <x:c r="C29" s="39" t="n">
        <x:v>0</x:v>
      </x:c>
      <x:c r="D29" s="39" t="n">
        <x:v>0</x:v>
      </x:c>
      <x:c r="E29" s="39" t="n">
        <x:v>0</x:v>
      </x:c>
      <x:c r="F29" s="39" t="n">
        <x:v>3.4605771185</x:v>
      </x:c>
      <x:c r="G29" s="39" t="n">
        <x:v>0</x:v>
      </x:c>
      <x:c r="H29" s="39" t="n">
        <x:v>-0.1044804315</x:v>
      </x:c>
      <x:c r="I29" s="39" t="n">
        <x:v>0</x:v>
      </x:c>
      <x:c r="J29" s="39" t="n">
        <x:v>0</x:v>
      </x:c>
      <x:c r="K29" s="39" t="n">
        <x:v>0</x:v>
      </x:c>
      <x:c r="L29" s="39" t="n">
        <x:v>0</x:v>
      </x:c>
      <x:c r="M29" s="39" t="n">
        <x:v>0</x:v>
      </x:c>
      <x:c r="N29" s="39" t="n">
        <x:v>0</x:v>
      </x:c>
      <x:c r="O29" s="39" t="n">
        <x:v>0</x:v>
      </x:c>
      <x:c r="P29" s="39" t="n">
        <x:v>0.490383411</x:v>
      </x:c>
      <x:c r="Q29" s="39" t="n">
        <x:v>0</x:v>
      </x:c>
      <x:c r="R29" s="39" t="n">
        <x:v>0</x:v>
      </x:c>
      <x:c r="S29" s="39" t="n">
        <x:v>0</x:v>
      </x:c>
      <x:c r="T29" s="39" t="n">
        <x:v>0.0152427566</x:v>
      </x:c>
      <x:c r="U29" s="32" t="n">
        <x:f>'Stage risk'!R29</x:f>
        <x:v>0</x:v>
      </x:c>
      <x:c r="V29" s="32" t="n">
        <x:f>'Stage risk'!S29</x:f>
        <x:v>0.3724494913471714</x:v>
      </x:c>
      <x:c r="W29" s="32" t="n">
        <x:f>'Stage risk'!T29</x:f>
        <x:v>0.37361816912140666</x:v>
      </x:c>
      <x:c r="X29" s="32" t="n">
        <x:f>'Stage risk'!U29</x:f>
        <x:v>0.39678461790490394</x:v>
      </x:c>
      <x:c r="Y29" s="32" t="n">
        <x:f>'Stage risk'!V29</x:f>
        <x:v>0.39678461790490394</x:v>
      </x:c>
    </x:row>
    <x:row r="30" ht="19" customHeight="1">
      <x:c r="A30" s="30" t="str">
        <x:v>PGR</x:v>
      </x:c>
      <x:c r="B30" s="39" t="n">
        <x:v>0</x:v>
      </x:c>
      <x:c r="C30" s="39" t="n">
        <x:v>0</x:v>
      </x:c>
      <x:c r="D30" s="39" t="n">
        <x:v>0</x:v>
      </x:c>
      <x:c r="E30" s="39" t="n">
        <x:v>0</x:v>
      </x:c>
      <x:c r="F30" s="39" t="n">
        <x:v>0</x:v>
      </x:c>
      <x:c r="G30" s="39" t="n">
        <x:v>0</x:v>
      </x:c>
      <x:c r="H30" s="39" t="n">
        <x:v>0.2419406017</x:v>
      </x:c>
      <x:c r="I30" s="39" t="n">
        <x:v>0</x:v>
      </x:c>
      <x:c r="J30" s="39" t="n">
        <x:v>0</x:v>
      </x:c>
      <x:c r="K30" s="39" t="n">
        <x:v>0.5644152562</x:v>
      </x:c>
      <x:c r="L30" s="39" t="n">
        <x:v>0</x:v>
      </x:c>
      <x:c r="M30" s="39" t="n">
        <x:v>0.5520263251</x:v>
      </x:c>
      <x:c r="N30" s="39" t="n">
        <x:v>0</x:v>
      </x:c>
      <x:c r="O30" s="39" t="n">
        <x:v>0</x:v>
      </x:c>
      <x:c r="P30" s="39" t="n">
        <x:v>0</x:v>
      </x:c>
      <x:c r="Q30" s="39" t="n">
        <x:v>0</x:v>
      </x:c>
      <x:c r="R30" s="39" t="n">
        <x:v>0</x:v>
      </x:c>
      <x:c r="S30" s="39" t="n">
        <x:v>0</x:v>
      </x:c>
      <x:c r="T30" s="39" t="n">
        <x:v>0.0086580407</x:v>
      </x:c>
      <x:c r="U30" s="32" t="n">
        <x:f>'Stage risk'!R30</x:f>
        <x:v>0</x:v>
      </x:c>
      <x:c r="V30" s="32" t="n">
        <x:f>'Stage risk'!S30</x:f>
        <x:v>0</x:v>
      </x:c>
      <x:c r="W30" s="32" t="n">
        <x:f>'Stage risk'!T30</x:f>
        <x:v>0.033234978007053884</x:v>
      </x:c>
      <x:c r="X30" s="32" t="n">
        <x:f>'Stage risk'!U30</x:f>
        <x:v>0.12841711224947527</x:v>
      </x:c>
      <x:c r="Y30" s="32" t="n">
        <x:f>'Stage risk'!V30</x:f>
        <x:v>0.23869755842086338</x:v>
      </x:c>
    </x:row>
    <x:row r="31" ht="19" customHeight="1">
      <x:c r="A31" s="30" t="str">
        <x:v>ORKA</x:v>
      </x:c>
      <x:c r="B31" s="39" t="n">
        <x:v>0</x:v>
      </x:c>
      <x:c r="C31" s="39" t="n">
        <x:v>0</x:v>
      </x:c>
      <x:c r="D31" s="39" t="n">
        <x:v>0</x:v>
      </x:c>
      <x:c r="E31" s="39" t="n">
        <x:v>0</x:v>
      </x:c>
      <x:c r="F31" s="39" t="n">
        <x:v>0</x:v>
      </x:c>
      <x:c r="G31" s="39" t="n">
        <x:v>0</x:v>
      </x:c>
      <x:c r="H31" s="39" t="n">
        <x:v>0.2488757707</x:v>
      </x:c>
      <x:c r="I31" s="39" t="n">
        <x:v>-1.8184953455</x:v>
      </x:c>
      <x:c r="J31" s="39" t="n">
        <x:v>0</x:v>
      </x:c>
      <x:c r="K31" s="39" t="n">
        <x:v>0</x:v>
      </x:c>
      <x:c r="L31" s="39" t="n">
        <x:v>0</x:v>
      </x:c>
      <x:c r="M31" s="39" t="n">
        <x:v>0</x:v>
      </x:c>
      <x:c r="N31" s="39" t="n">
        <x:v>-0.7427199939</x:v>
      </x:c>
      <x:c r="O31" s="39" t="n">
        <x:v>0</x:v>
      </x:c>
      <x:c r="P31" s="39" t="n">
        <x:v>0</x:v>
      </x:c>
      <x:c r="Q31" s="39" t="n">
        <x:v>0</x:v>
      </x:c>
      <x:c r="R31" s="39" t="n">
        <x:v>0</x:v>
      </x:c>
      <x:c r="S31" s="39" t="n">
        <x:v>0</x:v>
      </x:c>
      <x:c r="T31" s="39" t="n">
        <x:v>0.0268337088</x:v>
      </x:c>
      <x:c r="U31" s="32" t="n">
        <x:f>'Stage risk'!R31</x:f>
        <x:v>0</x:v>
      </x:c>
      <x:c r="V31" s="32" t="n">
        <x:f>'Stage risk'!S31</x:f>
        <x:v>0</x:v>
      </x:c>
      <x:c r="W31" s="32" t="n">
        <x:f>'Stage risk'!T31</x:f>
        <x:v>0.0025423680977875174</x:v>
      </x:c>
      <x:c r="X31" s="32" t="n">
        <x:f>'Stage risk'!U31</x:f>
        <x:v>0.019207615261679578</x:v>
      </x:c>
      <x:c r="Y31" s="32" t="n">
        <x:f>'Stage risk'!V31</x:f>
        <x:v>0.08462137988551588</x:v>
      </x:c>
    </x:row>
    <x:row r="32" ht="19" customHeight="1">
      <x:c r="A32" s="30" t="str">
        <x:v>UPST</x:v>
      </x:c>
      <x:c r="B32" s="39" t="n">
        <x:v>0</x:v>
      </x:c>
      <x:c r="C32" s="39" t="n">
        <x:v>0</x:v>
      </x:c>
      <x:c r="D32" s="39" t="n">
        <x:v>0</x:v>
      </x:c>
      <x:c r="E32" s="39" t="n">
        <x:v>0</x:v>
      </x:c>
      <x:c r="F32" s="39" t="n">
        <x:v>0</x:v>
      </x:c>
      <x:c r="G32" s="39" t="n">
        <x:v>0</x:v>
      </x:c>
      <x:c r="H32" s="39" t="n">
        <x:v>2.6062368075</x:v>
      </x:c>
      <x:c r="I32" s="39" t="n">
        <x:v>0</x:v>
      </x:c>
      <x:c r="J32" s="39" t="n">
        <x:v>0</x:v>
      </x:c>
      <x:c r="K32" s="39" t="n">
        <x:v>0</x:v>
      </x:c>
      <x:c r="L32" s="39" t="n">
        <x:v>0</x:v>
      </x:c>
      <x:c r="M32" s="39" t="n">
        <x:v>1.8477220607</x:v>
      </x:c>
      <x:c r="N32" s="39" t="n">
        <x:v>-1.7303510564</x:v>
      </x:c>
      <x:c r="O32" s="39" t="n">
        <x:v>0</x:v>
      </x:c>
      <x:c r="P32" s="39" t="n">
        <x:v>0</x:v>
      </x:c>
      <x:c r="Q32" s="39" t="n">
        <x:v>0</x:v>
      </x:c>
      <x:c r="R32" s="39" t="n">
        <x:v>0</x:v>
      </x:c>
      <x:c r="S32" s="39" t="n">
        <x:v>0</x:v>
      </x:c>
      <x:c r="T32" s="39" t="n">
        <x:v>-0.041467172</x:v>
      </x:c>
      <x:c r="U32" s="32" t="n">
        <x:f>'Stage risk'!R32</x:f>
        <x:v>0</x:v>
      </x:c>
      <x:c r="V32" s="32" t="n">
        <x:f>'Stage risk'!S32</x:f>
        <x:v>0</x:v>
      </x:c>
      <x:c r="W32" s="32" t="n">
        <x:f>'Stage risk'!T32</x:f>
        <x:v>0.15783583102247856</x:v>
      </x:c>
      <x:c r="X32" s="32" t="n">
        <x:f>'Stage risk'!U32</x:f>
        <x:v>0.20013101175825176</x:v>
      </x:c>
      <x:c r="Y32" s="32" t="n">
        <x:f>'Stage risk'!V32</x:f>
        <x:v>0.251489506281405</x:v>
      </x:c>
    </x:row>
    <x:row r="33" ht="19" customHeight="1">
      <x:c r="A33" s="30" t="str">
        <x:v>PG</x:v>
      </x:c>
      <x:c r="B33" s="39" t="n">
        <x:v>0</x:v>
      </x:c>
      <x:c r="C33" s="39" t="n">
        <x:v>0</x:v>
      </x:c>
      <x:c r="D33" s="39" t="n">
        <x:v>0</x:v>
      </x:c>
      <x:c r="E33" s="39" t="n">
        <x:v>0</x:v>
      </x:c>
      <x:c r="F33" s="39" t="n">
        <x:v>0.8518735607</x:v>
      </x:c>
      <x:c r="G33" s="39" t="n">
        <x:v>0</x:v>
      </x:c>
      <x:c r="H33" s="39" t="n">
        <x:v>0.3060964077</x:v>
      </x:c>
      <x:c r="I33" s="39" t="n">
        <x:v>0</x:v>
      </x:c>
      <x:c r="J33" s="39" t="n">
        <x:v>0</x:v>
      </x:c>
      <x:c r="K33" s="39" t="n">
        <x:v>0.9601534605</x:v>
      </x:c>
      <x:c r="L33" s="39" t="n">
        <x:v>-0.1736471485</x:v>
      </x:c>
      <x:c r="M33" s="39" t="n">
        <x:v>0</x:v>
      </x:c>
      <x:c r="N33" s="39" t="n">
        <x:v>0</x:v>
      </x:c>
      <x:c r="O33" s="39" t="n">
        <x:v>0</x:v>
      </x:c>
      <x:c r="P33" s="39" t="n">
        <x:v>0</x:v>
      </x:c>
      <x:c r="Q33" s="39" t="n">
        <x:v>0</x:v>
      </x:c>
      <x:c r="R33" s="39" t="n">
        <x:v>0</x:v>
      </x:c>
      <x:c r="S33" s="39" t="n">
        <x:v>0</x:v>
      </x:c>
      <x:c r="T33" s="39" t="n">
        <x:v>-0.0017889322</x:v>
      </x:c>
      <x:c r="U33" s="32" t="n">
        <x:f>'Stage risk'!R33</x:f>
        <x:v>0</x:v>
      </x:c>
      <x:c r="V33" s="32" t="n">
        <x:f>'Stage risk'!S33</x:f>
        <x:v>0.1293936107097713</x:v>
      </x:c>
      <x:c r="W33" s="32" t="n">
        <x:f>'Stage risk'!T33</x:f>
        <x:v>0.18690228846737766</x:v>
      </x:c>
      <x:c r="X33" s="32" t="n">
        <x:f>'Stage risk'!U33</x:f>
        <x:v>0.5319040770734653</x:v>
      </x:c>
      <x:c r="Y33" s="32" t="n">
        <x:f>'Stage risk'!V33</x:f>
        <x:v>0.5889906986977</x:v>
      </x:c>
    </x:row>
    <x:row r="34" ht="19" customHeight="1">
      <x:c r="A34" s="30" t="str">
        <x:v>F</x:v>
      </x:c>
      <x:c r="B34" s="39" t="n">
        <x:v>0</x:v>
      </x:c>
      <x:c r="C34" s="39" t="n">
        <x:v>0</x:v>
      </x:c>
      <x:c r="D34" s="39" t="n">
        <x:v>0</x:v>
      </x:c>
      <x:c r="E34" s="39" t="n">
        <x:v>0</x:v>
      </x:c>
      <x:c r="F34" s="39" t="n">
        <x:v>2.0246441532</x:v>
      </x:c>
      <x:c r="G34" s="39" t="n">
        <x:v>0</x:v>
      </x:c>
      <x:c r="H34" s="39" t="n">
        <x:v>0.8753034666</x:v>
      </x:c>
      <x:c r="I34" s="39" t="n">
        <x:v>0</x:v>
      </x:c>
      <x:c r="J34" s="39" t="n">
        <x:v>0.4715679877</x:v>
      </x:c>
      <x:c r="K34" s="39" t="n">
        <x:v>0</x:v>
      </x:c>
      <x:c r="L34" s="39" t="n">
        <x:v>0</x:v>
      </x:c>
      <x:c r="M34" s="39" t="n">
        <x:v>0</x:v>
      </x:c>
      <x:c r="N34" s="39" t="n">
        <x:v>0</x:v>
      </x:c>
      <x:c r="O34" s="39" t="n">
        <x:v>0</x:v>
      </x:c>
      <x:c r="P34" s="39" t="n">
        <x:v>0</x:v>
      </x:c>
      <x:c r="Q34" s="39" t="n">
        <x:v>0</x:v>
      </x:c>
      <x:c r="R34" s="39" t="n">
        <x:v>0</x:v>
      </x:c>
      <x:c r="S34" s="39" t="n">
        <x:v>0</x:v>
      </x:c>
      <x:c r="T34" s="39" t="n">
        <x:v>-0.0004040129</x:v>
      </x:c>
      <x:c r="U34" s="32" t="n">
        <x:f>'Stage risk'!R34</x:f>
        <x:v>0</x:v>
      </x:c>
      <x:c r="V34" s="32" t="n">
        <x:f>'Stage risk'!S34</x:f>
        <x:v>0.18259032364476457</x:v>
      </x:c>
      <x:c r="W34" s="32" t="n">
        <x:f>'Stage risk'!T34</x:f>
        <x:v>0.30006709463471226</x:v>
      </x:c>
      <x:c r="X34" s="32" t="n">
        <x:f>'Stage risk'!U34</x:f>
        <x:v>0.31781027181229504</x:v>
      </x:c>
      <x:c r="Y34" s="32" t="n">
        <x:f>'Stage risk'!V34</x:f>
        <x:v>0.31781027181229504</x:v>
      </x:c>
    </x:row>
    <x:row r="35" ht="19" customHeight="1">
      <x:c r="A35" s="30" t="str">
        <x:v>HPE</x:v>
      </x:c>
      <x:c r="B35" s="39" t="n">
        <x:v>0</x:v>
      </x:c>
      <x:c r="C35" s="39" t="n">
        <x:v>0</x:v>
      </x:c>
      <x:c r="D35" s="39" t="n">
        <x:v>0</x:v>
      </x:c>
      <x:c r="E35" s="39" t="n">
        <x:v>0</x:v>
      </x:c>
      <x:c r="F35" s="39" t="n">
        <x:v>0</x:v>
      </x:c>
      <x:c r="G35" s="39" t="n">
        <x:v>0</x:v>
      </x:c>
      <x:c r="H35" s="39" t="n">
        <x:v>1.2852879621</x:v>
      </x:c>
      <x:c r="I35" s="39" t="n">
        <x:v>-0.9491421166</x:v>
      </x:c>
      <x:c r="J35" s="39" t="n">
        <x:v>0</x:v>
      </x:c>
      <x:c r="K35" s="39" t="n">
        <x:v>0</x:v>
      </x:c>
      <x:c r="L35" s="39" t="n">
        <x:v>0.2843849791</x:v>
      </x:c>
      <x:c r="M35" s="39" t="n">
        <x:v>1.0629680777</x:v>
      </x:c>
      <x:c r="N35" s="39" t="n">
        <x:v>0</x:v>
      </x:c>
      <x:c r="O35" s="39" t="n">
        <x:v>0</x:v>
      </x:c>
      <x:c r="P35" s="39" t="n">
        <x:v>0</x:v>
      </x:c>
      <x:c r="Q35" s="39" t="n">
        <x:v>-0.636646429</x:v>
      </x:c>
      <x:c r="R35" s="39" t="n">
        <x:v>1.2533752245</x:v>
      </x:c>
      <x:c r="S35" s="39" t="n">
        <x:v>0</x:v>
      </x:c>
      <x:c r="T35" s="39" t="n">
        <x:v>0.0136453296</x:v>
      </x:c>
      <x:c r="U35" s="32" t="n">
        <x:f>'Stage risk'!R35</x:f>
        <x:v>0</x:v>
      </x:c>
      <x:c r="V35" s="32" t="n">
        <x:f>'Stage risk'!S35</x:f>
        <x:v>0</x:v>
      </x:c>
      <x:c r="W35" s="32" t="n">
        <x:f>'Stage risk'!T35</x:f>
        <x:v>0.20175225805144892</x:v>
      </x:c>
      <x:c r="X35" s="32" t="n">
        <x:f>'Stage risk'!U35</x:f>
        <x:v>0.32178340876611666</x:v>
      </x:c>
      <x:c r="Y35" s="32" t="n">
        <x:f>'Stage risk'!V35</x:f>
        <x:v>0.5182310819683251</x:v>
      </x:c>
    </x:row>
    <x:row r="36" ht="19" customHeight="1">
      <x:c r="A36" s="30" t="str">
        <x:v>BA</x:v>
      </x:c>
      <x:c r="B36" s="39" t="n">
        <x:v>0</x:v>
      </x:c>
      <x:c r="C36" s="39" t="n">
        <x:v>0</x:v>
      </x:c>
      <x:c r="D36" s="39" t="n">
        <x:v>0</x:v>
      </x:c>
      <x:c r="E36" s="39" t="n">
        <x:v>0</x:v>
      </x:c>
      <x:c r="F36" s="39" t="n">
        <x:v>2.0229612897</x:v>
      </x:c>
      <x:c r="G36" s="39" t="n">
        <x:v>0</x:v>
      </x:c>
      <x:c r="H36" s="39" t="n">
        <x:v>0.655105692</x:v>
      </x:c>
      <x:c r="I36" s="39" t="n">
        <x:v>0</x:v>
      </x:c>
      <x:c r="J36" s="39" t="n">
        <x:v>0</x:v>
      </x:c>
      <x:c r="K36" s="39" t="n">
        <x:v>0</x:v>
      </x:c>
      <x:c r="L36" s="39" t="n">
        <x:v>-0.3072857084</x:v>
      </x:c>
      <x:c r="M36" s="39" t="n">
        <x:v>0</x:v>
      </x:c>
      <x:c r="N36" s="39" t="n">
        <x:v>0</x:v>
      </x:c>
      <x:c r="O36" s="39" t="n">
        <x:v>0.3642692186</x:v>
      </x:c>
      <x:c r="P36" s="39" t="n">
        <x:v>0</x:v>
      </x:c>
      <x:c r="Q36" s="39" t="n">
        <x:v>0</x:v>
      </x:c>
      <x:c r="R36" s="39" t="n">
        <x:v>0</x:v>
      </x:c>
      <x:c r="S36" s="39" t="n">
        <x:v>0</x:v>
      </x:c>
      <x:c r="T36" s="39" t="n">
        <x:v>-0.0056236328</x:v>
      </x:c>
      <x:c r="U36" s="32" t="n">
        <x:f>'Stage risk'!R36</x:f>
        <x:v>0</x:v>
      </x:c>
      <x:c r="V36" s="32" t="n">
        <x:f>'Stage risk'!S36</x:f>
        <x:v>0.214204217813743</x:v>
      </x:c>
      <x:c r="W36" s="32" t="n">
        <x:f>'Stage risk'!T36</x:f>
        <x:v>0.2915310071503642</x:v>
      </x:c>
      <x:c r="X36" s="32" t="n">
        <x:f>'Stage risk'!U36</x:f>
        <x:v>0.303390820170895</x:v>
      </x:c>
      <x:c r="Y36" s="32" t="n">
        <x:f>'Stage risk'!V36</x:f>
        <x:v>0.35586843238952226</x:v>
      </x:c>
    </x:row>
    <x:row r="37" ht="19" customHeight="1">
      <x:c r="A37" s="30" t="str">
        <x:v>HII</x:v>
      </x:c>
      <x:c r="B37" s="39" t="n">
        <x:v>0</x:v>
      </x:c>
      <x:c r="C37" s="39" t="n">
        <x:v>0</x:v>
      </x:c>
      <x:c r="D37" s="39" t="n">
        <x:v>0</x:v>
      </x:c>
      <x:c r="E37" s="39" t="n">
        <x:v>0</x:v>
      </x:c>
      <x:c r="F37" s="39" t="n">
        <x:v>1.7449135935</x:v>
      </x:c>
      <x:c r="G37" s="39" t="n">
        <x:v>0</x:v>
      </x:c>
      <x:c r="H37" s="39" t="n">
        <x:v>-0.3645910783</x:v>
      </x:c>
      <x:c r="I37" s="39" t="n">
        <x:v>0</x:v>
      </x:c>
      <x:c r="J37" s="39" t="n">
        <x:v>0</x:v>
      </x:c>
      <x:c r="K37" s="39" t="n">
        <x:v>0</x:v>
      </x:c>
      <x:c r="L37" s="39" t="n">
        <x:v>0</x:v>
      </x:c>
      <x:c r="M37" s="39" t="n">
        <x:v>0</x:v>
      </x:c>
      <x:c r="N37" s="39" t="n">
        <x:v>0</x:v>
      </x:c>
      <x:c r="O37" s="39" t="n">
        <x:v>0.8169778171</x:v>
      </x:c>
      <x:c r="P37" s="39" t="n">
        <x:v>0</x:v>
      </x:c>
      <x:c r="Q37" s="39" t="n">
        <x:v>0</x:v>
      </x:c>
      <x:c r="R37" s="39" t="n">
        <x:v>0</x:v>
      </x:c>
      <x:c r="S37" s="39" t="n">
        <x:v>0</x:v>
      </x:c>
      <x:c r="T37" s="39" t="n">
        <x:v>0.0138402785</x:v>
      </x:c>
      <x:c r="U37" s="32" t="n">
        <x:f>'Stage risk'!R37</x:f>
        <x:v>0</x:v>
      </x:c>
      <x:c r="V37" s="32" t="n">
        <x:f>'Stage risk'!S37</x:f>
        <x:v>0.1654567797962927</x:v>
      </x:c>
      <x:c r="W37" s="32" t="n">
        <x:f>'Stage risk'!T37</x:f>
        <x:v>0.19032262145330947</x:v>
      </x:c>
      <x:c r="X37" s="32" t="n">
        <x:f>'Stage risk'!U37</x:f>
        <x:v>0.2522577822790001</x:v>
      </x:c>
      <x:c r="Y37" s="32" t="n">
        <x:f>'Stage risk'!V37</x:f>
        <x:v>0.2522577822790001</x:v>
      </x:c>
    </x:row>
    <x:row r="38" ht="19" customHeight="1">
      <x:c r="A38" s="30" t="str">
        <x:v>AMD</x:v>
      </x:c>
      <x:c r="B38" s="39" t="n">
        <x:v>0</x:v>
      </x:c>
      <x:c r="C38" s="39" t="n">
        <x:v>0</x:v>
      </x:c>
      <x:c r="D38" s="39" t="n">
        <x:v>0</x:v>
      </x:c>
      <x:c r="E38" s="39" t="n">
        <x:v>0</x:v>
      </x:c>
      <x:c r="F38" s="39" t="n">
        <x:v>1.7601711292</x:v>
      </x:c>
      <x:c r="G38" s="39" t="n">
        <x:v>0</x:v>
      </x:c>
      <x:c r="H38" s="39" t="n">
        <x:v>2.1608518519</x:v>
      </x:c>
      <x:c r="I38" s="39" t="n">
        <x:v>0</x:v>
      </x:c>
      <x:c r="J38" s="39" t="n">
        <x:v>0</x:v>
      </x:c>
      <x:c r="K38" s="39" t="n">
        <x:v>0</x:v>
      </x:c>
      <x:c r="L38" s="39" t="n">
        <x:v>0</x:v>
      </x:c>
      <x:c r="M38" s="39" t="n">
        <x:v>0</x:v>
      </x:c>
      <x:c r="N38" s="39" t="n">
        <x:v>0</x:v>
      </x:c>
      <x:c r="O38" s="39" t="n">
        <x:v>0</x:v>
      </x:c>
      <x:c r="P38" s="39" t="n">
        <x:v>0</x:v>
      </x:c>
      <x:c r="Q38" s="39" t="n">
        <x:v>0</x:v>
      </x:c>
      <x:c r="R38" s="39" t="n">
        <x:v>2.8617308391</x:v>
      </x:c>
      <x:c r="S38" s="39" t="n">
        <x:v>0</x:v>
      </x:c>
      <x:c r="T38" s="39" t="n">
        <x:v>0.004429944</x:v>
      </x:c>
      <x:c r="U38" s="32" t="n">
        <x:f>'Stage risk'!R38</x:f>
        <x:v>0</x:v>
      </x:c>
      <x:c r="V38" s="32" t="n">
        <x:f>'Stage risk'!S38</x:f>
        <x:v>0.05251648833838107</x:v>
      </x:c>
      <x:c r="W38" s="32" t="n">
        <x:f>'Stage risk'!T38</x:f>
        <x:v>0.3249686277701048</x:v>
      </x:c>
      <x:c r="X38" s="32" t="n">
        <x:f>'Stage risk'!U38</x:f>
        <x:v>0.6239279076117715</x:v>
      </x:c>
      <x:c r="Y38" s="32" t="n">
        <x:f>'Stage risk'!V38</x:f>
        <x:v>0.6239279076117715</x:v>
      </x:c>
    </x:row>
    <x:row r="39" ht="19" customHeight="1">
      <x:c r="A39" s="30" t="str">
        <x:v>LLY</x:v>
      </x:c>
      <x:c r="B39" s="39" t="n">
        <x:v>0</x:v>
      </x:c>
      <x:c r="C39" s="39" t="n">
        <x:v>0</x:v>
      </x:c>
      <x:c r="D39" s="39" t="n">
        <x:v>0</x:v>
      </x:c>
      <x:c r="E39" s="39" t="n">
        <x:v>0</x:v>
      </x:c>
      <x:c r="F39" s="39" t="n">
        <x:v>0</x:v>
      </x:c>
      <x:c r="G39" s="39" t="n">
        <x:v>0</x:v>
      </x:c>
      <x:c r="H39" s="39" t="n">
        <x:v>0.4170006213</x:v>
      </x:c>
      <x:c r="I39" s="39" t="n">
        <x:v>0</x:v>
      </x:c>
      <x:c r="J39" s="39" t="n">
        <x:v>0</x:v>
      </x:c>
      <x:c r="K39" s="39" t="n">
        <x:v>0</x:v>
      </x:c>
      <x:c r="L39" s="39" t="n">
        <x:v>0</x:v>
      </x:c>
      <x:c r="M39" s="39" t="n">
        <x:v>0</x:v>
      </x:c>
      <x:c r="N39" s="39" t="n">
        <x:v>1.3772468691</x:v>
      </x:c>
      <x:c r="O39" s="39" t="n">
        <x:v>0</x:v>
      </x:c>
      <x:c r="P39" s="39" t="n">
        <x:v>0</x:v>
      </x:c>
      <x:c r="Q39" s="39" t="n">
        <x:v>0</x:v>
      </x:c>
      <x:c r="R39" s="39" t="n">
        <x:v>0.7570750371</x:v>
      </x:c>
      <x:c r="S39" s="39" t="n">
        <x:v>0</x:v>
      </x:c>
      <x:c r="T39" s="39" t="n">
        <x:v>0.0193120832</x:v>
      </x:c>
      <x:c r="U39" s="32" t="n">
        <x:f>'Stage risk'!R39</x:f>
        <x:v>0</x:v>
      </x:c>
      <x:c r="V39" s="32" t="n">
        <x:f>'Stage risk'!S39</x:f>
        <x:v>0</x:v>
      </x:c>
      <x:c r="W39" s="32" t="n">
        <x:f>'Stage risk'!T39</x:f>
        <x:v>0.036091987895640276</x:v>
      </x:c>
      <x:c r="X39" s="32" t="n">
        <x:f>'Stage risk'!U39</x:f>
        <x:v>0.3258592561421777</x:v>
      </x:c>
      <x:c r="Y39" s="32" t="n">
        <x:f>'Stage risk'!V39</x:f>
        <x:v>0.40028608132940835</x:v>
      </x:c>
    </x:row>
    <x:row r="40" ht="19" customHeight="1">
      <x:c r="A40" s="30" t="str">
        <x:v>WELL</x:v>
      </x:c>
      <x:c r="B40" s="39" t="n">
        <x:v>0</x:v>
      </x:c>
      <x:c r="C40" s="39" t="n">
        <x:v>0</x:v>
      </x:c>
      <x:c r="D40" s="39" t="n">
        <x:v>0</x:v>
      </x:c>
      <x:c r="E40" s="39" t="n">
        <x:v>0</x:v>
      </x:c>
      <x:c r="F40" s="39" t="n">
        <x:v>1.2466373392</x:v>
      </x:c>
      <x:c r="G40" s="39" t="n">
        <x:v>0</x:v>
      </x:c>
      <x:c r="H40" s="39" t="n">
        <x:v>0.3689608673</x:v>
      </x:c>
      <x:c r="I40" s="39" t="n">
        <x:v>0</x:v>
      </x:c>
      <x:c r="J40" s="39" t="n">
        <x:v>0</x:v>
      </x:c>
      <x:c r="K40" s="39" t="n">
        <x:v>0</x:v>
      </x:c>
      <x:c r="L40" s="39" t="n">
        <x:v>0</x:v>
      </x:c>
      <x:c r="M40" s="39" t="n">
        <x:v>0</x:v>
      </x:c>
      <x:c r="N40" s="39" t="n">
        <x:v>0</x:v>
      </x:c>
      <x:c r="O40" s="39" t="n">
        <x:v>0</x:v>
      </x:c>
      <x:c r="P40" s="39" t="n">
        <x:v>-0.3848135838</x:v>
      </x:c>
      <x:c r="Q40" s="39" t="n">
        <x:v>0.9029098857</x:v>
      </x:c>
      <x:c r="R40" s="39" t="n">
        <x:v>-0.5799529552</x:v>
      </x:c>
      <x:c r="S40" s="39" t="n">
        <x:v>0</x:v>
      </x:c>
      <x:c r="T40" s="39" t="n">
        <x:v>0.017020383</x:v>
      </x:c>
      <x:c r="U40" s="32" t="n">
        <x:f>'Stage risk'!R40</x:f>
        <x:v>0</x:v>
      </x:c>
      <x:c r="V40" s="32" t="n">
        <x:f>'Stage risk'!S40</x:f>
        <x:v>0.1426701123388956</x:v>
      </x:c>
      <x:c r="W40" s="32" t="n">
        <x:f>'Stage risk'!T40</x:f>
        <x:v>0.1856898432679065</x:v>
      </x:c>
      <x:c r="X40" s="32" t="n">
        <x:f>'Stage risk'!U40</x:f>
        <x:v>0.37850445158493384</x:v>
      </x:c>
      <x:c r="Y40" s="32" t="n">
        <x:f>'Stage risk'!V40</x:f>
        <x:v>0.4871108168091537</x:v>
      </x:c>
    </x:row>
    <x:row r="41" ht="19" customHeight="1">
      <x:c r="A41" s="30" t="str">
        <x:v>NOK</x:v>
      </x:c>
      <x:c r="B41" s="39" t="n">
        <x:v>0</x:v>
      </x:c>
      <x:c r="C41" s="39" t="n">
        <x:v>0</x:v>
      </x:c>
      <x:c r="D41" s="39" t="n">
        <x:v>0</x:v>
      </x:c>
      <x:c r="E41" s="39" t="n">
        <x:v>0.3739468287</x:v>
      </x:c>
      <x:c r="F41" s="39" t="n">
        <x:v>0</x:v>
      </x:c>
      <x:c r="G41" s="39" t="n">
        <x:v>0</x:v>
      </x:c>
      <x:c r="H41" s="39" t="n">
        <x:v>0.9715928689</x:v>
      </x:c>
      <x:c r="I41" s="39" t="n">
        <x:v>0</x:v>
      </x:c>
      <x:c r="J41" s="39" t="n">
        <x:v>0</x:v>
      </x:c>
      <x:c r="K41" s="39" t="n">
        <x:v>0</x:v>
      </x:c>
      <x:c r="L41" s="39" t="n">
        <x:v>0.3927158483</x:v>
      </x:c>
      <x:c r="M41" s="39" t="n">
        <x:v>0</x:v>
      </x:c>
      <x:c r="N41" s="39" t="n">
        <x:v>0</x:v>
      </x:c>
      <x:c r="O41" s="39" t="n">
        <x:v>0</x:v>
      </x:c>
      <x:c r="P41" s="39" t="n">
        <x:v>0</x:v>
      </x:c>
      <x:c r="Q41" s="39" t="n">
        <x:v>0</x:v>
      </x:c>
      <x:c r="R41" s="39" t="n">
        <x:v>1.5276014886</x:v>
      </x:c>
      <x:c r="S41" s="39" t="n">
        <x:v>0</x:v>
      </x:c>
      <x:c r="T41" s="39" t="n">
        <x:v>0.0050157489</x:v>
      </x:c>
      <x:c r="U41" s="32" t="n">
        <x:f>'Stage risk'!R41</x:f>
        <x:v>0.002855010363419397</x:v>
      </x:c>
      <x:c r="V41" s="32" t="n">
        <x:f>'Stage risk'!S41</x:f>
        <x:v>0.002855010363419397</x:v>
      </x:c>
      <x:c r="W41" s="32" t="n">
        <x:f>'Stage risk'!T41</x:f>
        <x:v>0.09187489714565955</x:v>
      </x:c>
      <x:c r="X41" s="32" t="n">
        <x:f>'Stage risk'!U41</x:f>
        <x:v>0.22954916593805008</x:v>
      </x:c>
      <x:c r="Y41" s="32" t="n">
        <x:f>'Stage risk'!V41</x:f>
        <x:v>0.2744089697400105</x:v>
      </x:c>
    </x:row>
    <x:row r="42" ht="19" customHeight="1">
      <x:c r="A42" s="30" t="str">
        <x:v>MSFT</x:v>
      </x:c>
      <x:c r="B42" s="39" t="n">
        <x:v>0</x:v>
      </x:c>
      <x:c r="C42" s="39" t="n">
        <x:v>0</x:v>
      </x:c>
      <x:c r="D42" s="39" t="n">
        <x:v>0</x:v>
      </x:c>
      <x:c r="E42" s="39" t="n">
        <x:v>0</x:v>
      </x:c>
      <x:c r="F42" s="39" t="n">
        <x:v>0</x:v>
      </x:c>
      <x:c r="G42" s="39" t="n">
        <x:v>0</x:v>
      </x:c>
      <x:c r="H42" s="39" t="n">
        <x:v>1.3538794643</x:v>
      </x:c>
      <x:c r="I42" s="39" t="n">
        <x:v>0</x:v>
      </x:c>
      <x:c r="J42" s="39" t="n">
        <x:v>0</x:v>
      </x:c>
      <x:c r="K42" s="39" t="n">
        <x:v>0</x:v>
      </x:c>
      <x:c r="L42" s="39" t="n">
        <x:v>0</x:v>
      </x:c>
      <x:c r="M42" s="39" t="n">
        <x:v>0</x:v>
      </x:c>
      <x:c r="N42" s="39" t="n">
        <x:v>0</x:v>
      </x:c>
      <x:c r="O42" s="39" t="n">
        <x:v>-0.5828445957</x:v>
      </x:c>
      <x:c r="P42" s="39" t="n">
        <x:v>0</x:v>
      </x:c>
      <x:c r="Q42" s="39" t="n">
        <x:v>0</x:v>
      </x:c>
      <x:c r="R42" s="39" t="n">
        <x:v>0.3887020383</x:v>
      </x:c>
      <x:c r="S42" s="39" t="n">
        <x:v>0</x:v>
      </x:c>
      <x:c r="T42" s="39" t="n">
        <x:v>-0.0062915665</x:v>
      </x:c>
      <x:c r="U42" s="32" t="n">
        <x:f>'Stage risk'!R42</x:f>
        <x:v>0</x:v>
      </x:c>
      <x:c r="V42" s="32" t="n">
        <x:f>'Stage risk'!S42</x:f>
        <x:v>0</x:v>
      </x:c>
      <x:c r="W42" s="32" t="n">
        <x:f>'Stage risk'!T42</x:f>
        <x:v>0.45787649224662885</x:v>
      </x:c>
      <x:c r="X42" s="32" t="n">
        <x:f>'Stage risk'!U42</x:f>
        <x:v>0.4814886790756887</x:v>
      </x:c>
      <x:c r="Y42" s="32" t="n">
        <x:f>'Stage risk'!V42</x:f>
        <x:v>0.5235826169430532</x:v>
      </x:c>
    </x:row>
    <x:row r="43" ht="19" customHeight="1">
      <x:c r="A43" s="30" t="str">
        <x:v>GOOGL</x:v>
      </x:c>
      <x:c r="B43" s="39" t="n">
        <x:v>0</x:v>
      </x:c>
      <x:c r="C43" s="39" t="n">
        <x:v>0</x:v>
      </x:c>
      <x:c r="D43" s="39" t="n">
        <x:v>0</x:v>
      </x:c>
      <x:c r="E43" s="39" t="n">
        <x:v>0</x:v>
      </x:c>
      <x:c r="F43" s="39" t="n">
        <x:v>1.0817910482</x:v>
      </x:c>
      <x:c r="G43" s="39" t="n">
        <x:v>0</x:v>
      </x:c>
      <x:c r="H43" s="39" t="n">
        <x:v>1.1343325751</x:v>
      </x:c>
      <x:c r="I43" s="39" t="n">
        <x:v>0.6948169015</x:v>
      </x:c>
      <x:c r="J43" s="39" t="n">
        <x:v>0</x:v>
      </x:c>
      <x:c r="K43" s="39" t="n">
        <x:v>0</x:v>
      </x:c>
      <x:c r="L43" s="39" t="n">
        <x:v>0</x:v>
      </x:c>
      <x:c r="M43" s="39" t="n">
        <x:v>0</x:v>
      </x:c>
      <x:c r="N43" s="39" t="n">
        <x:v>0</x:v>
      </x:c>
      <x:c r="O43" s="39" t="n">
        <x:v>0</x:v>
      </x:c>
      <x:c r="P43" s="39" t="n">
        <x:v>-0.9690721817</x:v>
      </x:c>
      <x:c r="Q43" s="39" t="n">
        <x:v>-0.5916014975</x:v>
      </x:c>
      <x:c r="R43" s="39" t="n">
        <x:v>0</x:v>
      </x:c>
      <x:c r="S43" s="39" t="n">
        <x:v>0</x:v>
      </x:c>
      <x:c r="T43" s="39" t="n">
        <x:v>0.0059053524</x:v>
      </x:c>
      <x:c r="U43" s="32" t="n">
        <x:f>'Stage risk'!R43</x:f>
        <x:v>0</x:v>
      </x:c>
      <x:c r="V43" s="32" t="n">
        <x:f>'Stage risk'!S43</x:f>
        <x:v>0.0630983390190395</x:v>
      </x:c>
      <x:c r="W43" s="32" t="n">
        <x:f>'Stage risk'!T43</x:f>
        <x:v>0.30191593420239893</x:v>
      </x:c>
      <x:c r="X43" s="32" t="n">
        <x:f>'Stage risk'!U43</x:f>
        <x:v>0.3450974434582481</x:v>
      </x:c>
      <x:c r="Y43" s="32" t="n">
        <x:f>'Stage risk'!V43</x:f>
        <x:v>0.5505559462015925</x:v>
      </x:c>
    </x:row>
    <x:row r="44" ht="19" customHeight="1">
      <x:c r="A44" s="30" t="str">
        <x:v>COST</x:v>
      </x:c>
      <x:c r="B44" s="39" t="n">
        <x:v>0</x:v>
      </x:c>
      <x:c r="C44" s="39" t="n">
        <x:v>0</x:v>
      </x:c>
      <x:c r="D44" s="39" t="n">
        <x:v>0</x:v>
      </x:c>
      <x:c r="E44" s="39" t="n">
        <x:v>0</x:v>
      </x:c>
      <x:c r="F44" s="39" t="n">
        <x:v>0.822183447</x:v>
      </x:c>
      <x:c r="G44" s="39" t="n">
        <x:v>0</x:v>
      </x:c>
      <x:c r="H44" s="39" t="n">
        <x:v>0.4623996283</x:v>
      </x:c>
      <x:c r="I44" s="39" t="n">
        <x:v>0</x:v>
      </x:c>
      <x:c r="J44" s="39" t="n">
        <x:v>0.4746443369</x:v>
      </x:c>
      <x:c r="K44" s="39" t="n">
        <x:v>0.5982103317</x:v>
      </x:c>
      <x:c r="L44" s="39" t="n">
        <x:v>0</x:v>
      </x:c>
      <x:c r="M44" s="39" t="n">
        <x:v>-0.3544011755</x:v>
      </x:c>
      <x:c r="N44" s="39" t="n">
        <x:v>0</x:v>
      </x:c>
      <x:c r="O44" s="39" t="n">
        <x:v>0</x:v>
      </x:c>
      <x:c r="P44" s="39" t="n">
        <x:v>0</x:v>
      </x:c>
      <x:c r="Q44" s="39" t="n">
        <x:v>0</x:v>
      </x:c>
      <x:c r="R44" s="39" t="n">
        <x:v>0</x:v>
      </x:c>
      <x:c r="S44" s="39" t="n">
        <x:v>0</x:v>
      </x:c>
      <x:c r="T44" s="39" t="n">
        <x:v>0.0069499879</x:v>
      </x:c>
      <x:c r="U44" s="32" t="n">
        <x:f>'Stage risk'!R44</x:f>
        <x:v>0</x:v>
      </x:c>
      <x:c r="V44" s="32" t="n">
        <x:f>'Stage risk'!S44</x:f>
        <x:v>0.09576211368889331</x:v>
      </x:c>
      <x:c r="W44" s="32" t="n">
        <x:f>'Stage risk'!T44</x:f>
        <x:v>0.20002879887787506</x:v>
      </x:c>
      <x:c r="X44" s="32" t="n">
        <x:f>'Stage risk'!U44</x:f>
        <x:v>0.3064287874974344</x:v>
      </x:c>
      <x:c r="Y44" s="32" t="n">
        <x:f>'Stage risk'!V44</x:f>
        <x:v>0.39729157389513947</x:v>
      </x:c>
    </x:row>
    <x:row r="45" ht="19" customHeight="1">
      <x:c r="A45" s="30" t="str">
        <x:v>HD</x:v>
      </x:c>
      <x:c r="B45" s="39" t="n">
        <x:v>0</x:v>
      </x:c>
      <x:c r="C45" s="39" t="n">
        <x:v>0</x:v>
      </x:c>
      <x:c r="D45" s="39" t="n">
        <x:v>0</x:v>
      </x:c>
      <x:c r="E45" s="39" t="n">
        <x:v>0</x:v>
      </x:c>
      <x:c r="F45" s="39" t="n">
        <x:v>0.8889662542</x:v>
      </x:c>
      <x:c r="G45" s="39" t="n">
        <x:v>0</x:v>
      </x:c>
      <x:c r="H45" s="39" t="n">
        <x:v>0.7244144274</x:v>
      </x:c>
      <x:c r="I45" s="39" t="n">
        <x:v>0</x:v>
      </x:c>
      <x:c r="J45" s="39" t="n">
        <x:v>0.6540202296</x:v>
      </x:c>
      <x:c r="K45" s="39" t="n">
        <x:v>0</x:v>
      </x:c>
      <x:c r="L45" s="39" t="n">
        <x:v>0</x:v>
      </x:c>
      <x:c r="M45" s="39" t="n">
        <x:v>0</x:v>
      </x:c>
      <x:c r="N45" s="39" t="n">
        <x:v>0</x:v>
      </x:c>
      <x:c r="O45" s="39" t="n">
        <x:v>0.6224067564</x:v>
      </x:c>
      <x:c r="P45" s="39" t="n">
        <x:v>0</x:v>
      </x:c>
      <x:c r="Q45" s="39" t="n">
        <x:v>0</x:v>
      </x:c>
      <x:c r="R45" s="39" t="n">
        <x:v>0</x:v>
      </x:c>
      <x:c r="S45" s="39" t="n">
        <x:v>0</x:v>
      </x:c>
      <x:c r="T45" s="39" t="n">
        <x:v>-0.0060140695</x:v>
      </x:c>
      <x:c r="U45" s="32" t="n">
        <x:f>'Stage risk'!R45</x:f>
        <x:v>0</x:v>
      </x:c>
      <x:c r="V45" s="32" t="n">
        <x:f>'Stage risk'!S45</x:f>
        <x:v>0.07525671920623478</x:v>
      </x:c>
      <x:c r="W45" s="32" t="n">
        <x:f>'Stage risk'!T45</x:f>
        <x:v>0.2472863462794228</x:v>
      </x:c>
      <x:c r="X45" s="32" t="n">
        <x:f>'Stage risk'!U45</x:f>
        <x:v>0.3202521660179285</x:v>
      </x:c>
      <x:c r="Y45" s="32" t="n">
        <x:f>'Stage risk'!V45</x:f>
        <x:v>0.38324676861822526</x:v>
      </x:c>
    </x:row>
    <x:row r="46" ht="19" customHeight="1">
      <x:c r="A46" s="30" t="str">
        <x:v>KO</x:v>
      </x:c>
      <x:c r="B46" s="39" t="n">
        <x:v>0</x:v>
      </x:c>
      <x:c r="C46" s="39" t="n">
        <x:v>0</x:v>
      </x:c>
      <x:c r="D46" s="39" t="n">
        <x:v>0</x:v>
      </x:c>
      <x:c r="E46" s="39" t="n">
        <x:v>0</x:v>
      </x:c>
      <x:c r="F46" s="39" t="n">
        <x:v>0.9641718478</x:v>
      </x:c>
      <x:c r="G46" s="39" t="n">
        <x:v>0</x:v>
      </x:c>
      <x:c r="H46" s="39" t="n">
        <x:v>0.0696436653</x:v>
      </x:c>
      <x:c r="I46" s="39" t="n">
        <x:v>-0.2829501986</x:v>
      </x:c>
      <x:c r="J46" s="39" t="n">
        <x:v>-0.3946391309</x:v>
      </x:c>
      <x:c r="K46" s="39" t="n">
        <x:v>0.8927283605</x:v>
      </x:c>
      <x:c r="L46" s="39" t="n">
        <x:v>0</x:v>
      </x:c>
      <x:c r="M46" s="39" t="n">
        <x:v>0</x:v>
      </x:c>
      <x:c r="N46" s="39" t="n">
        <x:v>0</x:v>
      </x:c>
      <x:c r="O46" s="39" t="n">
        <x:v>0</x:v>
      </x:c>
      <x:c r="P46" s="39" t="n">
        <x:v>-0.2217799258</x:v>
      </x:c>
      <x:c r="Q46" s="39" t="n">
        <x:v>0</x:v>
      </x:c>
      <x:c r="R46" s="39" t="n">
        <x:v>0</x:v>
      </x:c>
      <x:c r="S46" s="39" t="n">
        <x:v>0</x:v>
      </x:c>
      <x:c r="T46" s="39" t="n">
        <x:v>0.0097006046</x:v>
      </x:c>
      <x:c r="U46" s="32" t="n">
        <x:f>'Stage risk'!R46</x:f>
        <x:v>0</x:v>
      </x:c>
      <x:c r="V46" s="32" t="n">
        <x:f>'Stage risk'!S46</x:f>
        <x:v>0.19867028626167882</x:v>
      </x:c>
      <x:c r="W46" s="32" t="n">
        <x:f>'Stage risk'!T46</x:f>
        <x:v>0.20223842660976976</x:v>
      </x:c>
      <x:c r="X46" s="32" t="n">
        <x:f>'Stage risk'!U46</x:f>
        <x:v>0.5597089010531882</x:v>
      </x:c>
      <x:c r="Y46" s="32" t="n">
        <x:f>'Stage risk'!V46</x:f>
        <x:v>0.680272064285016</x:v>
      </x:c>
    </x:row>
    <x:row r="47" ht="19" customHeight="1">
      <x:c r="A47" s="30" t="str">
        <x:v>JNJ</x:v>
      </x:c>
      <x:c r="B47" s="39" t="n">
        <x:v>0</x:v>
      </x:c>
      <x:c r="C47" s="39" t="n">
        <x:v>0</x:v>
      </x:c>
      <x:c r="D47" s="39" t="n">
        <x:v>0</x:v>
      </x:c>
      <x:c r="E47" s="39" t="n">
        <x:v>0</x:v>
      </x:c>
      <x:c r="F47" s="39" t="n">
        <x:v>0.5952548324</x:v>
      </x:c>
      <x:c r="G47" s="39" t="n">
        <x:v>0</x:v>
      </x:c>
      <x:c r="H47" s="39" t="n">
        <x:v>-0.0863880314</x:v>
      </x:c>
      <x:c r="I47" s="39" t="n">
        <x:v>0</x:v>
      </x:c>
      <x:c r="J47" s="39" t="n">
        <x:v>0</x:v>
      </x:c>
      <x:c r="K47" s="39" t="n">
        <x:v>0.3110106434</x:v>
      </x:c>
      <x:c r="L47" s="39" t="n">
        <x:v>0</x:v>
      </x:c>
      <x:c r="M47" s="39" t="n">
        <x:v>0</x:v>
      </x:c>
      <x:c r="N47" s="39" t="n">
        <x:v>1.0026934415</x:v>
      </x:c>
      <x:c r="O47" s="39" t="n">
        <x:v>0</x:v>
      </x:c>
      <x:c r="P47" s="39" t="n">
        <x:v>0</x:v>
      </x:c>
      <x:c r="Q47" s="39" t="n">
        <x:v>0</x:v>
      </x:c>
      <x:c r="R47" s="39" t="n">
        <x:v>0</x:v>
      </x:c>
      <x:c r="S47" s="39" t="n">
        <x:v>0</x:v>
      </x:c>
      <x:c r="T47" s="39" t="n">
        <x:v>0.0128007138</x:v>
      </x:c>
      <x:c r="U47" s="32" t="n">
        <x:f>'Stage risk'!R47</x:f>
        <x:v>0</x:v>
      </x:c>
      <x:c r="V47" s="32" t="n">
        <x:f>'Stage risk'!S47</x:f>
        <x:v>0.06098034227827309</x:v>
      </x:c>
      <x:c r="W47" s="32" t="n">
        <x:f>'Stage risk'!T47</x:f>
        <x:v>0.06540159701481862</x:v>
      </x:c>
      <x:c r="X47" s="32" t="n">
        <x:f>'Stage risk'!U47</x:f>
        <x:v>0.503794011284322</x:v>
      </x:c>
      <x:c r="Y47" s="32" t="n">
        <x:f>'Stage risk'!V47</x:f>
        <x:v>0.5387331352578861</x:v>
      </x:c>
    </x:row>
    <x:row r="48" ht="19" customHeight="1">
      <x:c r="A48" s="30" t="str">
        <x:v>BRK-B</x:v>
      </x:c>
      <x:c r="B48" s="39" t="n">
        <x:v>0</x:v>
      </x:c>
      <x:c r="C48" s="39" t="n">
        <x:v>0</x:v>
      </x:c>
      <x:c r="D48" s="39" t="n">
        <x:v>0</x:v>
      </x:c>
      <x:c r="E48" s="39" t="n">
        <x:v>0</x:v>
      </x:c>
      <x:c r="F48" s="39" t="n">
        <x:v>0.5832712543</x:v>
      </x:c>
      <x:c r="G48" s="39" t="n">
        <x:v>0</x:v>
      </x:c>
      <x:c r="H48" s="39" t="n">
        <x:v>0.2065087484</x:v>
      </x:c>
      <x:c r="I48" s="39" t="n">
        <x:v>0</x:v>
      </x:c>
      <x:c r="J48" s="39" t="n">
        <x:v>0</x:v>
      </x:c>
      <x:c r="K48" s="39" t="n">
        <x:v>0</x:v>
      </x:c>
      <x:c r="L48" s="39" t="n">
        <x:v>0</x:v>
      </x:c>
      <x:c r="M48" s="39" t="n">
        <x:v>0.4812557533</x:v>
      </x:c>
      <x:c r="N48" s="39" t="n">
        <x:v>0.3602894991</x:v>
      </x:c>
      <x:c r="O48" s="39" t="n">
        <x:v>0</x:v>
      </x:c>
      <x:c r="P48" s="39" t="n">
        <x:v>0</x:v>
      </x:c>
      <x:c r="Q48" s="39" t="n">
        <x:v>0</x:v>
      </x:c>
      <x:c r="R48" s="39" t="n">
        <x:v>0</x:v>
      </x:c>
      <x:c r="S48" s="39" t="n">
        <x:v>0</x:v>
      </x:c>
      <x:c r="T48" s="39" t="n">
        <x:v>0.0078423603</x:v>
      </x:c>
      <x:c r="U48" s="32" t="n">
        <x:f>'Stage risk'!R48</x:f>
        <x:v>0</x:v>
      </x:c>
      <x:c r="V48" s="32" t="n">
        <x:f>'Stage risk'!S48</x:f>
        <x:v>0.09505387281995714</x:v>
      </x:c>
      <x:c r="W48" s="32" t="n">
        <x:f>'Stage risk'!T48</x:f>
        <x:v>0.13607049687056927</x:v>
      </x:c>
      <x:c r="X48" s="32" t="n">
        <x:f>'Stage risk'!U48</x:f>
        <x:v>0.2586147259569169</x:v>
      </x:c>
      <x:c r="Y48" s="32" t="n">
        <x:f>'Stage risk'!V48</x:f>
        <x:v>0.350506057792188</x:v>
      </x:c>
    </x:row>
  </x:sheetData>
  <x:pageMargins left="0.7" right="0.7" top="0.75" bottom="0.75" header="0.3" footer="0.3"/>
</x:worksheet>
</file>

<file path=xl/worksheets/sheet3.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43" hidden="0" customWidth="1"/>
    <x:col min="4" max="4" width="16" hidden="0" customWidth="1"/>
    <x:col min="5" max="5" width="16"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42" hidden="0" customWidth="1"/>
    <x:col min="15" max="15" width="42" hidden="0" customWidth="1"/>
    <x:col min="16" max="16" width="23" hidden="0" customWidth="1"/>
  </x:cols>
  <x:sheetData>
    <x:row r="1" ht="19" customHeight="1">
      <x:c r="A1" s="24"/>
      <x:c r="B1" s="24"/>
      <x:c r="C1" s="24"/>
      <x:c r="D1" s="24"/>
      <x:c r="E1" s="24"/>
      <x:c r="F1" s="24"/>
      <x:c r="G1" s="24"/>
      <x:c r="H1" s="24"/>
      <x:c r="I1" s="24"/>
      <x:c r="J1" s="24"/>
      <x:c r="K1" s="24"/>
      <x:c r="L1" s="24"/>
      <x:c r="M1" s="24"/>
      <x:c r="N1" s="24"/>
      <x:c r="O1" s="24"/>
      <x:c r="P1" s="24"/>
    </x:row>
    <x:row r="2" ht="19" customHeight="1">
      <x:c r="A2" s="35" t="str">
        <x:v>Stock fit diagnostics</x:v>
      </x:c>
      <x:c r="B2" s="24"/>
      <x:c r="C2" s="24"/>
      <x:c r="D2" s="24"/>
      <x:c r="E2" s="24"/>
      <x:c r="F2" s="24"/>
      <x:c r="G2" s="24"/>
      <x:c r="H2" s="24"/>
      <x:c r="I2" s="24"/>
      <x:c r="J2" s="24"/>
      <x:c r="K2" s="24"/>
      <x:c r="L2" s="24"/>
      <x:c r="M2" s="24"/>
      <x:c r="N2" s="24"/>
      <x:c r="O2" s="24"/>
      <x:c r="P2" s="24"/>
    </x:row>
    <x:row r="3" ht="19" customHeight="1">
      <x:c r="A3" s="28"/>
      <x:c r="B3" s="24"/>
      <x:c r="C3" s="24"/>
      <x:c r="D3" s="24"/>
      <x:c r="E3" s="24"/>
      <x:c r="F3" s="24"/>
      <x:c r="G3" s="24"/>
      <x:c r="H3" s="24"/>
      <x:c r="I3" s="24"/>
      <x:c r="J3" s="24"/>
      <x:c r="K3" s="24"/>
      <x:c r="L3" s="24"/>
      <x:c r="M3" s="24"/>
      <x:c r="N3" s="24"/>
      <x:c r="O3" s="24"/>
      <x:c r="P3" s="24"/>
    </x:row>
    <x:row r="4" ht="19" customHeight="1">
      <x:c r="A4" s="24"/>
      <x:c r="B4" s="24"/>
      <x:c r="C4" s="24"/>
      <x:c r="D4" s="24"/>
      <x:c r="E4" s="24"/>
      <x:c r="F4" s="24"/>
      <x:c r="G4" s="24"/>
      <x:c r="H4" s="24"/>
      <x:c r="I4" s="24"/>
      <x:c r="J4" s="24"/>
      <x:c r="K4" s="24"/>
      <x:c r="L4" s="24"/>
      <x:c r="M4" s="24"/>
      <x:c r="N4" s="24"/>
      <x:c r="O4" s="24"/>
      <x:c r="P4" s="24"/>
    </x:row>
    <x:row r="5" ht="42" customHeight="1">
      <x:c r="A5" s="36" t="str">
        <x:v>stagger</x:v>
      </x:c>
      <x:c r="B5" s="36" t="str">
        <x:v>ticker</x:v>
      </x:c>
      <x:c r="C5" s="36" t="str">
        <x:v>company</x:v>
      </x:c>
      <x:c r="D5" s="36" t="str">
        <x:v>currency</x:v>
      </x:c>
      <x:c r="E5" s="36" t="str">
        <x:v>primary_sector</x:v>
      </x:c>
      <x:c r="F5" s="36" t="str">
        <x:v>observations</x:v>
      </x:c>
      <x:c r="G5" s="36" t="str">
        <x:v>start</x:v>
      </x:c>
      <x:c r="H5" s="36" t="str">
        <x:v>end</x:v>
      </x:c>
      <x:c r="I5" s="36" t="str">
        <x:v>original_std</x:v>
      </x:c>
      <x:c r="J5" s="36" t="str">
        <x:v>residual_std</x:v>
      </x:c>
      <x:c r="K5" s="36" t="str">
        <x:v>std_reduction</x:v>
      </x:c>
      <x:c r="L5" s="36" t="str">
        <x:v>variance_reduction</x:v>
      </x:c>
      <x:c r="M5" s="36" t="str">
        <x:v>reconstruction_r_squared</x:v>
      </x:c>
      <x:c r="N5" s="36" t="str">
        <x:v>retained_fx</x:v>
      </x:c>
      <x:c r="O5" s="36" t="str">
        <x:v>additional_sectors</x:v>
      </x:c>
      <x:c r="P5" s="36" t="str">
        <x:v>reconstruction_error</x:v>
      </x:c>
    </x:row>
    <x:row r="6" ht="19" customHeight="1">
      <x:c r="A6" s="30" t="str">
        <x:v>stagger_1</x:v>
      </x:c>
      <x:c r="B6" s="39" t="str">
        <x:v>VST</x:v>
      </x:c>
      <x:c r="C6" s="39" t="str">
        <x:v>Vistra Corp.</x:v>
      </x:c>
      <x:c r="D6" s="39" t="str">
        <x:v>USD</x:v>
      </x:c>
      <x:c r="E6" s="39" t="str">
        <x:v>XLU</x:v>
      </x:c>
      <x:c r="F6" s="31" t="n">
        <x:v>80</x:v>
      </x:c>
      <x:c r="G6" s="40" t="d">
        <x:v>2020-07-20T00:00:00.000Z</x:v>
      </x:c>
      <x:c r="H6" s="40" t="d">
        <x:v>2026-08-10T00:00:00.000Z</x:v>
      </x:c>
      <x:c r="I6" s="39" t="n">
        <x:v>0.1163561701</x:v>
      </x:c>
      <x:c r="J6" s="39" t="n">
        <x:v>0.0965107596</x:v>
      </x:c>
      <x:c r="K6" s="32" t="n">
        <x:f>1-J6/I6</x:f>
        <x:v>0.170557439996042</x:v>
      </x:c>
      <x:c r="L6" s="32" t="n">
        <x:f>1-(J6/I6)^2</x:f>
        <x:v>0.31202503965408057</x:v>
      </x:c>
      <x:c r="M6" s="32" t="n">
        <x:v>0.3120250388</x:v>
      </x:c>
      <x:c r="N6" s="39"/>
      <x:c r="O6" s="39" t="str">
        <x:v>XLV</x:v>
      </x:c>
      <x:c r="P6" s="39" t="n">
        <x:v>5.551115123e-17</x:v>
      </x:c>
    </x:row>
    <x:row r="7" ht="19" customHeight="1">
      <x:c r="A7" s="30" t="str">
        <x:v>stagger_1</x:v>
      </x:c>
      <x:c r="B7" s="39" t="str">
        <x:v>VIST</x:v>
      </x:c>
      <x:c r="C7" s="39" t="str">
        <x:v>Vista Energy, S.A.B. de C.V.</x:v>
      </x:c>
      <x:c r="D7" s="39" t="str">
        <x:v>MXN</x:v>
      </x:c>
      <x:c r="E7" s="39" t="str">
        <x:v>XLE</x:v>
      </x:c>
      <x:c r="F7" s="31" t="n">
        <x:v>80</x:v>
      </x:c>
      <x:c r="G7" s="40" t="d">
        <x:v>2020-07-20T00:00:00.000Z</x:v>
      </x:c>
      <x:c r="H7" s="40" t="d">
        <x:v>2026-08-10T00:00:00.000Z</x:v>
      </x:c>
      <x:c r="I7" s="39" t="n">
        <x:v>0.122013495</x:v>
      </x:c>
      <x:c r="J7" s="39" t="n">
        <x:v>0.0989692325</x:v>
      </x:c>
      <x:c r="K7" s="32" t="n">
        <x:f>1-J7/I7</x:f>
        <x:v>0.1888665061188518</x:v>
      </x:c>
      <x:c r="L7" s="32" t="n">
        <x:f>1-(J7/I7)^2</x:f>
        <x:v>0.34206245510416133</x:v>
      </x:c>
      <x:c r="M7" s="32" t="n">
        <x:v>0.3420624548</x:v>
      </x:c>
      <x:c r="N7" s="39"/>
      <x:c r="O7" s="39" t="str">
        <x:v>XLV</x:v>
      </x:c>
      <x:c r="P7" s="39" t="n">
        <x:v>5.551115123e-17</x:v>
      </x:c>
    </x:row>
    <x:row r="8" ht="19" customHeight="1">
      <x:c r="A8" s="30" t="str">
        <x:v>stagger_1</x:v>
      </x:c>
      <x:c r="B8" s="39" t="str">
        <x:v>AEP</x:v>
      </x:c>
      <x:c r="C8" s="39" t="str">
        <x:v>American Electric Power Company, Inc.</x:v>
      </x:c>
      <x:c r="D8" s="39" t="str">
        <x:v>USD</x:v>
      </x:c>
      <x:c r="E8" s="39" t="str">
        <x:v>XLU</x:v>
      </x:c>
      <x:c r="F8" s="31" t="n">
        <x:v>80</x:v>
      </x:c>
      <x:c r="G8" s="40" t="d">
        <x:v>2020-07-20T00:00:00.000Z</x:v>
      </x:c>
      <x:c r="H8" s="40" t="d">
        <x:v>2026-08-10T00:00:00.000Z</x:v>
      </x:c>
      <x:c r="I8" s="39" t="n">
        <x:v>0.0562364065</x:v>
      </x:c>
      <x:c r="J8" s="39" t="n">
        <x:v>0.0319385858</x:v>
      </x:c>
      <x:c r="K8" s="32" t="n">
        <x:f>1-J8/I8</x:f>
        <x:v>0.4320656708390498</x:v>
      </x:c>
      <x:c r="L8" s="32" t="n">
        <x:f>1-(J8/I8)^2</x:f>
        <x:v>0.6774505977605014</x:v>
      </x:c>
      <x:c r="M8" s="32" t="n">
        <x:v>0.6774505966</x:v>
      </x:c>
      <x:c r="N8" s="39" t="str">
        <x:v>AUD/USD</x:v>
      </x:c>
      <x:c r="O8" s="39" t="str">
        <x:v>XLRE,XLI</x:v>
      </x:c>
      <x:c r="P8" s="39" t="n">
        <x:v>1.387778781e-17</x:v>
      </x:c>
    </x:row>
    <x:row r="9" ht="19" customHeight="1">
      <x:c r="A9" s="30" t="str">
        <x:v>stagger_1</x:v>
      </x:c>
      <x:c r="B9" s="39" t="str">
        <x:v>ETR</x:v>
      </x:c>
      <x:c r="C9" s="39" t="str">
        <x:v>Entergy Corporation</x:v>
      </x:c>
      <x:c r="D9" s="39" t="str">
        <x:v>USD</x:v>
      </x:c>
      <x:c r="E9" s="39" t="str">
        <x:v>XLU</x:v>
      </x:c>
      <x:c r="F9" s="31" t="n">
        <x:v>80</x:v>
      </x:c>
      <x:c r="G9" s="40" t="d">
        <x:v>2020-07-20T00:00:00.000Z</x:v>
      </x:c>
      <x:c r="H9" s="40" t="d">
        <x:v>2026-08-10T00:00:00.000Z</x:v>
      </x:c>
      <x:c r="I9" s="39" t="n">
        <x:v>0.0531769197</x:v>
      </x:c>
      <x:c r="J9" s="39" t="n">
        <x:v>0.0329627971</x:v>
      </x:c>
      <x:c r="K9" s="32" t="n">
        <x:f>1-J9/I9</x:f>
        <x:v>0.38012962604902434</x:v>
      </x:c>
      <x:c r="L9" s="32" t="n">
        <x:f>1-(J9/I9)^2</x:f>
        <x:v>0.6157607194978776</x:v>
      </x:c>
      <x:c r="M9" s="32" t="n">
        <x:v>0.615760719</x:v>
      </x:c>
      <x:c r="N9" s="39"/>
      <x:c r="O9" s="39"/>
      <x:c r="P9" s="39" t="n">
        <x:v>1.387778781e-17</x:v>
      </x:c>
    </x:row>
    <x:row r="10" ht="19" customHeight="1">
      <x:c r="A10" s="30" t="str">
        <x:v>stagger_1</x:v>
      </x:c>
      <x:c r="B10" s="39" t="str">
        <x:v>DIS</x:v>
      </x:c>
      <x:c r="C10" s="39" t="str">
        <x:v>The Walt Disney Company</x:v>
      </x:c>
      <x:c r="D10" s="39" t="str">
        <x:v>USD</x:v>
      </x:c>
      <x:c r="E10" s="39" t="str">
        <x:v>XLC</x:v>
      </x:c>
      <x:c r="F10" s="31" t="n">
        <x:v>80</x:v>
      </x:c>
      <x:c r="G10" s="40" t="d">
        <x:v>2020-07-20T00:00:00.000Z</x:v>
      </x:c>
      <x:c r="H10" s="40" t="d">
        <x:v>2026-08-10T00:00:00.000Z</x:v>
      </x:c>
      <x:c r="I10" s="39" t="n">
        <x:v>0.0829697536</x:v>
      </x:c>
      <x:c r="J10" s="39" t="n">
        <x:v>0.0611137142</x:v>
      </x:c>
      <x:c r="K10" s="32" t="n">
        <x:f>1-J10/I10</x:f>
        <x:v>0.26342177060533056</x:v>
      </x:c>
      <x:c r="L10" s="32" t="n">
        <x:f>1-(J10/I10)^2</x:f>
        <x:v>0.4574525119818137</x:v>
      </x:c>
      <x:c r="M10" s="32" t="n">
        <x:v>0.4574525125</x:v>
      </x:c>
      <x:c r="N10" s="39" t="str">
        <x:v>AUD/USD</x:v>
      </x:c>
      <x:c r="O10" s="39" t="str">
        <x:v>XLV,XLF</x:v>
      </x:c>
      <x:c r="P10" s="39" t="n">
        <x:v>2.775557562e-17</x:v>
      </x:c>
    </x:row>
    <x:row r="11" ht="19" customHeight="1">
      <x:c r="A11" s="30" t="str">
        <x:v>stagger_1</x:v>
      </x:c>
      <x:c r="B11" s="39" t="str">
        <x:v>CMG</x:v>
      </x:c>
      <x:c r="C11" s="39" t="str">
        <x:v>Chipotle Mexican Grill, Inc.</x:v>
      </x:c>
      <x:c r="D11" s="39" t="str">
        <x:v>USD</x:v>
      </x:c>
      <x:c r="E11" s="39" t="str">
        <x:v>XLY</x:v>
      </x:c>
      <x:c r="F11" s="31" t="n">
        <x:v>80</x:v>
      </x:c>
      <x:c r="G11" s="40" t="d">
        <x:v>2020-07-20T00:00:00.000Z</x:v>
      </x:c>
      <x:c r="H11" s="40" t="d">
        <x:v>2026-08-10T00:00:00.000Z</x:v>
      </x:c>
      <x:c r="I11" s="39" t="n">
        <x:v>0.1023850984</x:v>
      </x:c>
      <x:c r="J11" s="39" t="n">
        <x:v>0.0919031206</x:v>
      </x:c>
      <x:c r="K11" s="32" t="n">
        <x:f>1-J11/I11</x:f>
        <x:v>0.1023779628462026</x:v>
      </x:c>
      <x:c r="L11" s="32" t="n">
        <x:f>1-(J11/I11)^2</x:f>
        <x:v>0.19427467841586676</x:v>
      </x:c>
      <x:c r="M11" s="32" t="n">
        <x:v>0.1942746789</x:v>
      </x:c>
      <x:c r="N11" s="39" t="str">
        <x:v>AUD/USD</x:v>
      </x:c>
      <x:c r="O11" s="39" t="str">
        <x:v>XLE</x:v>
      </x:c>
      <x:c r="P11" s="39" t="n">
        <x:v>5.551115123e-17</x:v>
      </x:c>
    </x:row>
    <x:row r="12" ht="19" customHeight="1">
      <x:c r="A12" s="30" t="str">
        <x:v>stagger_1</x:v>
      </x:c>
      <x:c r="B12" s="39" t="str">
        <x:v>AMZN</x:v>
      </x:c>
      <x:c r="C12" s="39" t="str">
        <x:v>Amazon.com, Inc.</x:v>
      </x:c>
      <x:c r="D12" s="39" t="str">
        <x:v>USD</x:v>
      </x:c>
      <x:c r="E12" s="39" t="str">
        <x:v>XLY</x:v>
      </x:c>
      <x:c r="F12" s="31" t="n">
        <x:v>80</x:v>
      </x:c>
      <x:c r="G12" s="40" t="d">
        <x:v>2020-07-20T00:00:00.000Z</x:v>
      </x:c>
      <x:c r="H12" s="40" t="d">
        <x:v>2026-08-10T00:00:00.000Z</x:v>
      </x:c>
      <x:c r="I12" s="39" t="n">
        <x:v>0.0917694272</x:v>
      </x:c>
      <x:c r="J12" s="39" t="n">
        <x:v>0.0472780223</x:v>
      </x:c>
      <x:c r="K12" s="32" t="n">
        <x:f>1-J12/I12</x:f>
        <x:v>0.4848172889107888</x:v>
      </x:c>
      <x:c r="L12" s="32" t="n">
        <x:f>1-(J12/I12)^2</x:f>
        <x:v>0.7345867741947703</x:v>
      </x:c>
      <x:c r="M12" s="32" t="n">
        <x:v>0.7345867744</x:v>
      </x:c>
      <x:c r="N12" s="39"/>
      <x:c r="O12" s="39" t="str">
        <x:v>XLB</x:v>
      </x:c>
      <x:c r="P12" s="39" t="n">
        <x:v>2.775557562e-17</x:v>
      </x:c>
    </x:row>
    <x:row r="13" ht="19" customHeight="1">
      <x:c r="A13" s="30" t="str">
        <x:v>stagger_1</x:v>
      </x:c>
      <x:c r="B13" s="39" t="str">
        <x:v>FIX</x:v>
      </x:c>
      <x:c r="C13" s="39" t="str">
        <x:v>Comfort Systems USA, Inc.</x:v>
      </x:c>
      <x:c r="D13" s="39" t="str">
        <x:v>USD</x:v>
      </x:c>
      <x:c r="E13" s="39" t="str">
        <x:v>XLI</x:v>
      </x:c>
      <x:c r="F13" s="31" t="n">
        <x:v>80</x:v>
      </x:c>
      <x:c r="G13" s="40" t="d">
        <x:v>2020-07-20T00:00:00.000Z</x:v>
      </x:c>
      <x:c r="H13" s="40" t="d">
        <x:v>2026-08-10T00:00:00.000Z</x:v>
      </x:c>
      <x:c r="I13" s="39" t="n">
        <x:v>0.1178604928</x:v>
      </x:c>
      <x:c r="J13" s="39" t="n">
        <x:v>0.0899150771</x:v>
      </x:c>
      <x:c r="K13" s="32" t="n">
        <x:f>1-J13/I13</x:f>
        <x:v>0.2371058786205923</x:v>
      </x:c>
      <x:c r="L13" s="32" t="n">
        <x:f>1-(J13/I13)^2</x:f>
        <x:v>0.4179925595647416</x:v>
      </x:c>
      <x:c r="M13" s="32" t="n">
        <x:v>0.4179925592</x:v>
      </x:c>
      <x:c r="N13" s="39" t="str">
        <x:v>AUD/USD</x:v>
      </x:c>
      <x:c r="O13" s="39" t="str">
        <x:v>XLRE,XLF</x:v>
      </x:c>
      <x:c r="P13" s="39" t="n">
        <x:v>4.163336342e-17</x:v>
      </x:c>
    </x:row>
    <x:row r="14" ht="19" customHeight="1">
      <x:c r="A14" s="30" t="str">
        <x:v>stagger_1</x:v>
      </x:c>
      <x:c r="B14" s="39" t="str">
        <x:v>STX</x:v>
      </x:c>
      <x:c r="C14" s="39" t="str">
        <x:v>Seagate Technology Holdings plc</x:v>
      </x:c>
      <x:c r="D14" s="39" t="str">
        <x:v>SGD</x:v>
      </x:c>
      <x:c r="E14" s="39" t="str">
        <x:v>XLK</x:v>
      </x:c>
      <x:c r="F14" s="31" t="n">
        <x:v>80</x:v>
      </x:c>
      <x:c r="G14" s="40" t="d">
        <x:v>2020-07-20T00:00:00.000Z</x:v>
      </x:c>
      <x:c r="H14" s="40" t="d">
        <x:v>2026-08-10T00:00:00.000Z</x:v>
      </x:c>
      <x:c r="I14" s="39" t="n">
        <x:v>0.1716249469</x:v>
      </x:c>
      <x:c r="J14" s="39" t="n">
        <x:v>0.1117694118</x:v>
      </x:c>
      <x:c r="K14" s="32" t="n">
        <x:f>1-J14/I14</x:f>
        <x:v>0.348757777823965</x:v>
      </x:c>
      <x:c r="L14" s="32" t="n">
        <x:f>1-(J14/I14)^2</x:f>
        <x:v>0.5758835680552199</x:v>
      </x:c>
      <x:c r="M14" s="32" t="n">
        <x:v>0.5758835684</x:v>
      </x:c>
      <x:c r="N14" s="39"/>
      <x:c r="O14" s="39" t="str">
        <x:v>XLE</x:v>
      </x:c>
      <x:c r="P14" s="39" t="n">
        <x:v>8.326672685e-17</x:v>
      </x:c>
    </x:row>
    <x:row r="15" ht="19" customHeight="1">
      <x:c r="A15" s="30" t="str">
        <x:v>stagger_1</x:v>
      </x:c>
      <x:c r="B15" s="39" t="str">
        <x:v>VLO</x:v>
      </x:c>
      <x:c r="C15" s="39" t="str">
        <x:v>Valero Energy Corporation</x:v>
      </x:c>
      <x:c r="D15" s="39" t="str">
        <x:v>USD</x:v>
      </x:c>
      <x:c r="E15" s="39" t="str">
        <x:v>XLE</x:v>
      </x:c>
      <x:c r="F15" s="31" t="n">
        <x:v>80</x:v>
      </x:c>
      <x:c r="G15" s="40" t="d">
        <x:v>2020-07-20T00:00:00.000Z</x:v>
      </x:c>
      <x:c r="H15" s="40" t="d">
        <x:v>2026-08-10T00:00:00.000Z</x:v>
      </x:c>
      <x:c r="I15" s="39" t="n">
        <x:v>0.1099660181</x:v>
      </x:c>
      <x:c r="J15" s="39" t="n">
        <x:v>0.0689462514</x:v>
      </x:c>
      <x:c r="K15" s="32" t="n">
        <x:f>1-J15/I15</x:f>
        <x:v>0.3730222063937767</x:v>
      </x:c>
      <x:c r="L15" s="32" t="n">
        <x:f>1-(J15/I15)^2</x:f>
        <x:v>0.6068988463246721</x:v>
      </x:c>
      <x:c r="M15" s="32" t="n">
        <x:v>0.6068988469</x:v>
      </x:c>
      <x:c r="N15" s="39"/>
      <x:c r="O15" s="39"/>
      <x:c r="P15" s="39" t="n">
        <x:v>2.775557562e-17</x:v>
      </x:c>
    </x:row>
    <x:row r="16" ht="19" customHeight="1">
      <x:c r="A16" s="30" t="str">
        <x:v>stagger_1</x:v>
      </x:c>
      <x:c r="B16" s="39" t="str">
        <x:v>CF</x:v>
      </x:c>
      <x:c r="C16" s="39" t="str">
        <x:v>CF Industries Holdings, Inc.</x:v>
      </x:c>
      <x:c r="D16" s="39" t="str">
        <x:v>USD</x:v>
      </x:c>
      <x:c r="E16" s="39" t="str">
        <x:v>XLB</x:v>
      </x:c>
      <x:c r="F16" s="31" t="n">
        <x:v>80</x:v>
      </x:c>
      <x:c r="G16" s="40" t="d">
        <x:v>2020-07-20T00:00:00.000Z</x:v>
      </x:c>
      <x:c r="H16" s="40" t="d">
        <x:v>2026-08-10T00:00:00.000Z</x:v>
      </x:c>
      <x:c r="I16" s="39" t="n">
        <x:v>0.1061590311</x:v>
      </x:c>
      <x:c r="J16" s="39" t="n">
        <x:v>0.0816006585</x:v>
      </x:c>
      <x:c r="K16" s="32" t="n">
        <x:f>1-J16/I16</x:f>
        <x:v>0.23133568897088386</x:v>
      </x:c>
      <x:c r="L16" s="32" t="n">
        <x:f>1-(J16/I16)^2</x:f>
        <x:v>0.40915517695013415</x:v>
      </x:c>
      <x:c r="M16" s="32" t="n">
        <x:v>0.4091551763</x:v>
      </x:c>
      <x:c r="N16" s="39"/>
      <x:c r="O16" s="39" t="str">
        <x:v>XLE,XLY</x:v>
      </x:c>
      <x:c r="P16" s="39" t="n">
        <x:v>5.551115123e-17</x:v>
      </x:c>
    </x:row>
    <x:row r="17" ht="19" customHeight="1">
      <x:c r="A17" s="30" t="str">
        <x:v>stagger_1</x:v>
      </x:c>
      <x:c r="B17" s="39" t="str">
        <x:v>NTR</x:v>
      </x:c>
      <x:c r="C17" s="39" t="str">
        <x:v>Nutrien Ltd.</x:v>
      </x:c>
      <x:c r="D17" s="39" t="str">
        <x:v>CAD</x:v>
      </x:c>
      <x:c r="E17" s="39" t="str">
        <x:v>XLB</x:v>
      </x:c>
      <x:c r="F17" s="31" t="n">
        <x:v>80</x:v>
      </x:c>
      <x:c r="G17" s="40" t="d">
        <x:v>2020-07-20T00:00:00.000Z</x:v>
      </x:c>
      <x:c r="H17" s="40" t="d">
        <x:v>2026-08-10T00:00:00.000Z</x:v>
      </x:c>
      <x:c r="I17" s="39" t="n">
        <x:v>0.0742500309</x:v>
      </x:c>
      <x:c r="J17" s="39" t="n">
        <x:v>0.0611716298</x:v>
      </x:c>
      <x:c r="K17" s="32" t="n">
        <x:f>1-J17/I17</x:f>
        <x:v>0.1761400088521714</x:v>
      </x:c>
      <x:c r="L17" s="32" t="n">
        <x:f>1-(J17/I17)^2</x:f>
        <x:v>0.32125471498589975</x:v>
      </x:c>
      <x:c r="M17" s="32" t="n">
        <x:v>0.3212547156</x:v>
      </x:c>
      <x:c r="N17" s="39" t="str">
        <x:v>AUD/USD</x:v>
      </x:c>
      <x:c r="O17" s="39" t="str">
        <x:v>XLE</x:v>
      </x:c>
      <x:c r="P17" s="39" t="n">
        <x:v>2.775557562e-17</x:v>
      </x:c>
    </x:row>
    <x:row r="18" ht="19" customHeight="1">
      <x:c r="A18" s="30" t="str">
        <x:v>stagger_1</x:v>
      </x:c>
      <x:c r="B18" s="39" t="str">
        <x:v>LNN</x:v>
      </x:c>
      <x:c r="C18" s="39" t="str">
        <x:v>Lindsay Corporation</x:v>
      </x:c>
      <x:c r="D18" s="39" t="str">
        <x:v>USD</x:v>
      </x:c>
      <x:c r="E18" s="39" t="str">
        <x:v>XLI</x:v>
      </x:c>
      <x:c r="F18" s="31" t="n">
        <x:v>80</x:v>
      </x:c>
      <x:c r="G18" s="40" t="d">
        <x:v>2020-07-20T00:00:00.000Z</x:v>
      </x:c>
      <x:c r="H18" s="40" t="d">
        <x:v>2026-08-10T00:00:00.000Z</x:v>
      </x:c>
      <x:c r="I18" s="39" t="n">
        <x:v>0.0747298805</x:v>
      </x:c>
      <x:c r="J18" s="39" t="n">
        <x:v>0.0656254317</x:v>
      </x:c>
      <x:c r="K18" s="32" t="n">
        <x:f>1-J18/I18</x:f>
        <x:v>0.12183143796141893</x:v>
      </x:c>
      <x:c r="L18" s="32" t="n">
        <x:f>1-(J18/I18)^2</x:f>
        <x:v>0.22881997664709075</x:v>
      </x:c>
      <x:c r="M18" s="32" t="n">
        <x:v>0.2288199769</x:v>
      </x:c>
      <x:c r="N18" s="39" t="str">
        <x:v>AUD/USD</x:v>
      </x:c>
      <x:c r="O18" s="39"/>
      <x:c r="P18" s="39" t="n">
        <x:v>2.775557562e-17</x:v>
      </x:c>
    </x:row>
    <x:row r="19" ht="19" customHeight="1">
      <x:c r="A19" s="30" t="str">
        <x:v>stagger_1</x:v>
      </x:c>
      <x:c r="B19" s="39" t="str">
        <x:v>WDC</x:v>
      </x:c>
      <x:c r="C19" s="39" t="str">
        <x:v>Western Digital Corporation</x:v>
      </x:c>
      <x:c r="D19" s="39" t="str">
        <x:v>USD</x:v>
      </x:c>
      <x:c r="E19" s="39" t="str">
        <x:v>XLK</x:v>
      </x:c>
      <x:c r="F19" s="31" t="n">
        <x:v>80</x:v>
      </x:c>
      <x:c r="G19" s="40" t="d">
        <x:v>2020-07-20T00:00:00.000Z</x:v>
      </x:c>
      <x:c r="H19" s="40" t="d">
        <x:v>2026-08-10T00:00:00.000Z</x:v>
      </x:c>
      <x:c r="I19" s="39" t="n">
        <x:v>0.1819368091</x:v>
      </x:c>
      <x:c r="J19" s="39" t="n">
        <x:v>0.1328181253</x:v>
      </x:c>
      <x:c r="K19" s="32" t="n">
        <x:f>1-J19/I19</x:f>
        <x:v>0.2699766146442766</x:v>
      </x:c>
      <x:c r="L19" s="32" t="n">
        <x:f>1-(J19/I19)^2</x:f>
        <x:v>0.467065856833769</x:v>
      </x:c>
      <x:c r="M19" s="32" t="n">
        <x:v>0.4670658569</x:v>
      </x:c>
      <x:c r="N19" s="39" t="str">
        <x:v>AUD/USD</x:v>
      </x:c>
      <x:c r="O19" s="39" t="str">
        <x:v>XLI</x:v>
      </x:c>
      <x:c r="P19" s="39" t="n">
        <x:v>5.551115123e-17</x:v>
      </x:c>
    </x:row>
    <x:row r="20" ht="19" customHeight="1">
      <x:c r="A20" s="30" t="str">
        <x:v>stagger_1</x:v>
      </x:c>
      <x:c r="B20" s="39" t="str">
        <x:v>ASND</x:v>
      </x:c>
      <x:c r="C20" s="39" t="str">
        <x:v>Ascendis Pharma A/S</x:v>
      </x:c>
      <x:c r="D20" s="39" t="str">
        <x:v>DKK</x:v>
      </x:c>
      <x:c r="E20" s="39" t="str">
        <x:v>XLV</x:v>
      </x:c>
      <x:c r="F20" s="31" t="n">
        <x:v>80</x:v>
      </x:c>
      <x:c r="G20" s="40" t="d">
        <x:v>2020-07-20T00:00:00.000Z</x:v>
      </x:c>
      <x:c r="H20" s="40" t="d">
        <x:v>2026-08-10T00:00:00.000Z</x:v>
      </x:c>
      <x:c r="I20" s="39" t="n">
        <x:v>0.1039460161</x:v>
      </x:c>
      <x:c r="J20" s="39" t="n">
        <x:v>0.1015509243</x:v>
      </x:c>
      <x:c r="K20" s="32" t="n">
        <x:f>1-J20/I20</x:f>
        <x:v>0.023041689233147977</x:v>
      </x:c>
      <x:c r="L20" s="32" t="n">
        <x:f>1-(J20/I20)^2</x:f>
        <x:v>0.04555245902357896</x:v>
      </x:c>
      <x:c r="M20" s="32" t="n">
        <x:v>0.0455524589</x:v>
      </x:c>
      <x:c r="N20" s="39"/>
      <x:c r="O20" s="39"/>
      <x:c r="P20" s="39" t="n">
        <x:v>5.551115123e-17</x:v>
      </x:c>
    </x:row>
    <x:row r="21" ht="19" customHeight="1">
      <x:c r="A21" s="30" t="str">
        <x:v>stagger_1</x:v>
      </x:c>
      <x:c r="B21" s="39" t="str">
        <x:v>DOCN</x:v>
      </x:c>
      <x:c r="C21" s="39" t="str">
        <x:v>DigitalOcean Holdings, Inc.</x:v>
      </x:c>
      <x:c r="D21" s="39" t="str">
        <x:v>USD</x:v>
      </x:c>
      <x:c r="E21" s="39" t="str">
        <x:v>XLK</x:v>
      </x:c>
      <x:c r="F21" s="31" t="n">
        <x:v>70</x:v>
      </x:c>
      <x:c r="G21" s="40" t="d">
        <x:v>2021-04-26T00:00:00.000Z</x:v>
      </x:c>
      <x:c r="H21" s="40" t="d">
        <x:v>2026-08-10T00:00:00.000Z</x:v>
      </x:c>
      <x:c r="I21" s="39" t="n">
        <x:v>0.2071760013</x:v>
      </x:c>
      <x:c r="J21" s="39" t="n">
        <x:v>0.1681758986</x:v>
      </x:c>
      <x:c r="K21" s="32" t="n">
        <x:f>1-J21/I21</x:f>
        <x:v>0.18824623728269618</x:v>
      </x:c>
      <x:c r="L21" s="32" t="n">
        <x:f>1-(J21/I21)^2</x:f>
        <x:v>0.3410558287142992</x:v>
      </x:c>
      <x:c r="M21" s="32" t="n">
        <x:v>0.3410558289</x:v>
      </x:c>
      <x:c r="N21" s="39"/>
      <x:c r="O21" s="39" t="str">
        <x:v>XLE</x:v>
      </x:c>
      <x:c r="P21" s="39" t="n">
        <x:v>4.163336342e-17</x:v>
      </x:c>
    </x:row>
    <x:row r="22" ht="19" customHeight="1">
      <x:c r="A22" s="30" t="str">
        <x:v>stagger_1</x:v>
      </x:c>
      <x:c r="B22" s="39" t="str">
        <x:v>CME</x:v>
      </x:c>
      <x:c r="C22" s="39" t="str">
        <x:v>CME Group Inc.</x:v>
      </x:c>
      <x:c r="D22" s="39" t="str">
        <x:v>USD</x:v>
      </x:c>
      <x:c r="E22" s="39" t="str">
        <x:v>XLF</x:v>
      </x:c>
      <x:c r="F22" s="31" t="n">
        <x:v>80</x:v>
      </x:c>
      <x:c r="G22" s="40" t="d">
        <x:v>2020-07-20T00:00:00.000Z</x:v>
      </x:c>
      <x:c r="H22" s="40" t="d">
        <x:v>2026-08-10T00:00:00.000Z</x:v>
      </x:c>
      <x:c r="I22" s="39" t="n">
        <x:v>0.0577690082</x:v>
      </x:c>
      <x:c r="J22" s="39" t="n">
        <x:v>0.0512486224</x:v>
      </x:c>
      <x:c r="K22" s="32" t="n">
        <x:f>1-J22/I22</x:f>
        <x:v>0.11286996268701732</x:v>
      </x:c>
      <x:c r="L22" s="32" t="n">
        <x:f>1-(J22/I22)^2</x:f>
        <x:v>0.213000296897066</x:v>
      </x:c>
      <x:c r="M22" s="32" t="n">
        <x:v>0.2130002975</x:v>
      </x:c>
      <x:c r="N22" s="39" t="str">
        <x:v>AUD/USD</x:v>
      </x:c>
      <x:c r="O22" s="39" t="str">
        <x:v>XLP,XLE</x:v>
      </x:c>
      <x:c r="P22" s="39" t="n">
        <x:v>5.551115123e-17</x:v>
      </x:c>
    </x:row>
    <x:row r="23" ht="19" customHeight="1">
      <x:c r="A23" s="30" t="str">
        <x:v>stagger_1</x:v>
      </x:c>
      <x:c r="B23" s="39" t="str">
        <x:v>NET</x:v>
      </x:c>
      <x:c r="C23" s="39" t="str">
        <x:v>Cloudflare, Inc.</x:v>
      </x:c>
      <x:c r="D23" s="39" t="str">
        <x:v>USD</x:v>
      </x:c>
      <x:c r="E23" s="39" t="str">
        <x:v>XLK</x:v>
      </x:c>
      <x:c r="F23" s="31" t="n">
        <x:v>80</x:v>
      </x:c>
      <x:c r="G23" s="40" t="d">
        <x:v>2020-07-20T00:00:00.000Z</x:v>
      </x:c>
      <x:c r="H23" s="40" t="d">
        <x:v>2026-08-10T00:00:00.000Z</x:v>
      </x:c>
      <x:c r="I23" s="39" t="n">
        <x:v>0.1505181581</x:v>
      </x:c>
      <x:c r="J23" s="39" t="n">
        <x:v>0.1250938932</x:v>
      </x:c>
      <x:c r="K23" s="32" t="n">
        <x:f>1-J23/I23</x:f>
        <x:v>0.16891161319625525</x:v>
      </x:c>
      <x:c r="L23" s="32" t="n">
        <x:f>1-(J23/I23)^2</x:f>
        <x:v>0.3092920933199491</x:v>
      </x:c>
      <x:c r="M23" s="32" t="n">
        <x:v>0.3092920932</x:v>
      </x:c>
      <x:c r="N23" s="39"/>
      <x:c r="O23" s="39" t="str">
        <x:v>XLY,XLP,XLE</x:v>
      </x:c>
      <x:c r="P23" s="39" t="n">
        <x:v>5.551115123e-17</x:v>
      </x:c>
    </x:row>
    <x:row r="24" ht="19" customHeight="1">
      <x:c r="A24" s="30" t="str">
        <x:v>stagger_1</x:v>
      </x:c>
      <x:c r="B24" s="39" t="str">
        <x:v>MRNA</x:v>
      </x:c>
      <x:c r="C24" s="39" t="str">
        <x:v>Moderna, Inc.</x:v>
      </x:c>
      <x:c r="D24" s="39" t="str">
        <x:v>USD</x:v>
      </x:c>
      <x:c r="E24" s="39" t="str">
        <x:v>XLV</x:v>
      </x:c>
      <x:c r="F24" s="31" t="n">
        <x:v>80</x:v>
      </x:c>
      <x:c r="G24" s="40" t="d">
        <x:v>2020-07-20T00:00:00.000Z</x:v>
      </x:c>
      <x:c r="H24" s="40" t="d">
        <x:v>2026-08-10T00:00:00.000Z</x:v>
      </x:c>
      <x:c r="I24" s="39" t="n">
        <x:v>0.1897742975</x:v>
      </x:c>
      <x:c r="J24" s="39" t="n">
        <x:v>0.1793381939</x:v>
      </x:c>
      <x:c r="K24" s="32" t="n">
        <x:f>1-J24/I24</x:f>
        <x:v>0.05499218670536776</x:v>
      </x:c>
      <x:c r="L24" s="32" t="n">
        <x:f>1-(J24/I24)^2</x:f>
        <x:v>0.10696023281209754</x:v>
      </x:c>
      <x:c r="M24" s="32" t="n">
        <x:v>0.1069602325</x:v>
      </x:c>
      <x:c r="N24" s="39" t="str">
        <x:v>AUD/USD</x:v>
      </x:c>
      <x:c r="O24" s="39"/>
      <x:c r="P24" s="39" t="n">
        <x:v>5.551115123e-17</x:v>
      </x:c>
    </x:row>
    <x:row r="25" ht="19" customHeight="1">
      <x:c r="A25" s="30" t="str">
        <x:v>stagger_1</x:v>
      </x:c>
      <x:c r="B25" s="39" t="str">
        <x:v>AXON</x:v>
      </x:c>
      <x:c r="C25" s="39" t="str">
        <x:v>Axon Enterprise Inc</x:v>
      </x:c>
      <x:c r="D25" s="39" t="str">
        <x:v>USD</x:v>
      </x:c>
      <x:c r="E25" s="39" t="str">
        <x:v>XLI</x:v>
      </x:c>
      <x:c r="F25" s="31" t="n">
        <x:v>80</x:v>
      </x:c>
      <x:c r="G25" s="40" t="d">
        <x:v>2020-07-20T00:00:00.000Z</x:v>
      </x:c>
      <x:c r="H25" s="40" t="d">
        <x:v>2026-08-10T00:00:00.000Z</x:v>
      </x:c>
      <x:c r="I25" s="39" t="n">
        <x:v>0.1331197547</x:v>
      </x:c>
      <x:c r="J25" s="39" t="n">
        <x:v>0.1169582738</x:v>
      </x:c>
      <x:c r="K25" s="32" t="n">
        <x:f>1-J25/I25</x:f>
        <x:v>0.12140557903236593</x:v>
      </x:c>
      <x:c r="L25" s="32" t="n">
        <x:f>1-(J25/I25)^2</x:f>
        <x:v>0.22807184344454778</x:v>
      </x:c>
      <x:c r="M25" s="32" t="n">
        <x:v>0.2280718436</x:v>
      </x:c>
      <x:c r="N25" s="39"/>
      <x:c r="O25" s="39" t="str">
        <x:v>XLY</x:v>
      </x:c>
      <x:c r="P25" s="39" t="n">
        <x:v>2.775557562e-17</x:v>
      </x:c>
    </x:row>
    <x:row r="26" ht="19" customHeight="1">
      <x:c r="A26" s="30" t="str">
        <x:v>stagger_1</x:v>
      </x:c>
      <x:c r="B26" s="39" t="str">
        <x:v>NFLX</x:v>
      </x:c>
      <x:c r="C26" s="39" t="str">
        <x:v>Netflix, Inc.</x:v>
      </x:c>
      <x:c r="D26" s="39" t="str">
        <x:v>USD</x:v>
      </x:c>
      <x:c r="E26" s="39" t="str">
        <x:v>XLC</x:v>
      </x:c>
      <x:c r="F26" s="31" t="n">
        <x:v>80</x:v>
      </x:c>
      <x:c r="G26" s="40" t="d">
        <x:v>2020-07-20T00:00:00.000Z</x:v>
      </x:c>
      <x:c r="H26" s="40" t="d">
        <x:v>2026-08-10T00:00:00.000Z</x:v>
      </x:c>
      <x:c r="I26" s="39" t="n">
        <x:v>0.1147191527</x:v>
      </x:c>
      <x:c r="J26" s="39" t="n">
        <x:v>0.0951888616</x:v>
      </x:c>
      <x:c r="K26" s="32" t="n">
        <x:f>1-J26/I26</x:f>
        <x:v>0.1702443806490911</x:v>
      </x:c>
      <x:c r="L26" s="32" t="n">
        <x:f>1-(J26/I26)^2</x:f>
        <x:v>0.3115056121555896</x:v>
      </x:c>
      <x:c r="M26" s="32" t="n">
        <x:v>0.3115056115</x:v>
      </x:c>
      <x:c r="N26" s="39"/>
      <x:c r="O26" s="39" t="str">
        <x:v>XLU,XLK</x:v>
      </x:c>
      <x:c r="P26" s="39" t="n">
        <x:v>5.551115123e-17</x:v>
      </x:c>
    </x:row>
    <x:row r="27" ht="19" customHeight="1">
      <x:c r="A27" s="30" t="str">
        <x:v>stagger_1</x:v>
      </x:c>
      <x:c r="B27" s="39" t="str">
        <x:v>CMCSA</x:v>
      </x:c>
      <x:c r="C27" s="39" t="str">
        <x:v>Comcast Corp</x:v>
      </x:c>
      <x:c r="D27" s="39" t="str">
        <x:v>USD</x:v>
      </x:c>
      <x:c r="E27" s="39" t="str">
        <x:v>XLC</x:v>
      </x:c>
      <x:c r="F27" s="31" t="n">
        <x:v>80</x:v>
      </x:c>
      <x:c r="G27" s="40" t="d">
        <x:v>2020-07-20T00:00:00.000Z</x:v>
      </x:c>
      <x:c r="H27" s="40" t="d">
        <x:v>2026-08-10T00:00:00.000Z</x:v>
      </x:c>
      <x:c r="I27" s="39" t="n">
        <x:v>0.0710733817</x:v>
      </x:c>
      <x:c r="J27" s="39" t="n">
        <x:v>0.0517208421</x:v>
      </x:c>
      <x:c r="K27" s="32" t="n">
        <x:f>1-J27/I27</x:f>
        <x:v>0.27228955675258093</x:v>
      </x:c>
      <x:c r="L27" s="32" t="n">
        <x:f>1-(J27/I27)^2</x:f>
        <x:v>0.4704375107886448</x:v>
      </x:c>
      <x:c r="M27" s="32" t="n">
        <x:v>0.4704375112</x:v>
      </x:c>
      <x:c r="N27" s="39" t="str">
        <x:v>AUD/USD</x:v>
      </x:c>
      <x:c r="O27" s="39" t="str">
        <x:v>XLE,XLP</x:v>
      </x:c>
      <x:c r="P27" s="39" t="n">
        <x:v>2.775557562e-17</x:v>
      </x:c>
    </x:row>
    <x:row r="28" ht="19" customHeight="1">
      <x:c r="A28" s="30" t="str">
        <x:v>stagger_1</x:v>
      </x:c>
      <x:c r="B28" s="39" t="str">
        <x:v>MU</x:v>
      </x:c>
      <x:c r="C28" s="39" t="str">
        <x:v>Micron Technology, Inc.</x:v>
      </x:c>
      <x:c r="D28" s="39" t="str">
        <x:v>USD</x:v>
      </x:c>
      <x:c r="E28" s="39" t="str">
        <x:v>XLK</x:v>
      </x:c>
      <x:c r="F28" s="31" t="n">
        <x:v>80</x:v>
      </x:c>
      <x:c r="G28" s="40" t="d">
        <x:v>2020-07-20T00:00:00.000Z</x:v>
      </x:c>
      <x:c r="H28" s="40" t="d">
        <x:v>2026-08-10T00:00:00.000Z</x:v>
      </x:c>
      <x:c r="I28" s="39" t="n">
        <x:v>0.1839648327</x:v>
      </x:c>
      <x:c r="J28" s="39" t="n">
        <x:v>0.1386023245</x:v>
      </x:c>
      <x:c r="K28" s="32" t="n">
        <x:f>1-J28/I28</x:f>
        <x:v>0.2465824991343576</x:v>
      </x:c>
      <x:c r="L28" s="32" t="n">
        <x:f>1-(J28/I28)^2</x:f>
        <x:v>0.4323620693893697</x:v>
      </x:c>
      <x:c r="M28" s="32" t="n">
        <x:v>0.4323620695</x:v>
      </x:c>
      <x:c r="N28" s="39" t="str">
        <x:v>AUD/USD</x:v>
      </x:c>
      <x:c r="O28" s="39" t="str">
        <x:v>XLY</x:v>
      </x:c>
      <x:c r="P28" s="39" t="n">
        <x:v>1.110223025e-16</x:v>
      </x:c>
    </x:row>
    <x:row r="29" ht="19" customHeight="1">
      <x:c r="A29" s="30" t="str">
        <x:v>stagger_1</x:v>
      </x:c>
      <x:c r="B29" s="39" t="str">
        <x:v>NEM</x:v>
      </x:c>
      <x:c r="C29" s="39" t="str">
        <x:v>Newmont Corporation</x:v>
      </x:c>
      <x:c r="D29" s="39" t="str">
        <x:v>USD</x:v>
      </x:c>
      <x:c r="E29" s="39" t="str">
        <x:v>XLB</x:v>
      </x:c>
      <x:c r="F29" s="31" t="n">
        <x:v>80</x:v>
      </x:c>
      <x:c r="G29" s="40" t="d">
        <x:v>2020-07-20T00:00:00.000Z</x:v>
      </x:c>
      <x:c r="H29" s="40" t="d">
        <x:v>2026-08-10T00:00:00.000Z</x:v>
      </x:c>
      <x:c r="I29" s="39" t="n">
        <x:v>0.1248098645</x:v>
      </x:c>
      <x:c r="J29" s="39" t="n">
        <x:v>0.0969360046</x:v>
      </x:c>
      <x:c r="K29" s="32" t="n">
        <x:f>1-J29/I29</x:f>
        <x:v>0.223330583777695</x:v>
      </x:c>
      <x:c r="L29" s="32" t="n">
        <x:f>1-(J29/I29)^2</x:f>
        <x:v>0.39678461790490394</x:v>
      </x:c>
      <x:c r="M29" s="32" t="n">
        <x:v>0.396784618</x:v>
      </x:c>
      <x:c r="N29" s="39" t="str">
        <x:v>AUD/USD</x:v>
      </x:c>
      <x:c r="O29" s="39"/>
      <x:c r="P29" s="39" t="n">
        <x:v>5.551115123e-17</x:v>
      </x:c>
    </x:row>
    <x:row r="30" ht="19" customHeight="1">
      <x:c r="A30" s="30" t="str">
        <x:v>stagger_1</x:v>
      </x:c>
      <x:c r="B30" s="39" t="str">
        <x:v>PGR</x:v>
      </x:c>
      <x:c r="C30" s="39" t="str">
        <x:v>The Progressive Corporation</x:v>
      </x:c>
      <x:c r="D30" s="39" t="str">
        <x:v>USD</x:v>
      </x:c>
      <x:c r="E30" s="39" t="str">
        <x:v>XLF</x:v>
      </x:c>
      <x:c r="F30" s="31" t="n">
        <x:v>80</x:v>
      </x:c>
      <x:c r="G30" s="40" t="d">
        <x:v>2020-07-20T00:00:00.000Z</x:v>
      </x:c>
      <x:c r="H30" s="40" t="d">
        <x:v>2026-08-10T00:00:00.000Z</x:v>
      </x:c>
      <x:c r="I30" s="39" t="n">
        <x:v>0.054196633</x:v>
      </x:c>
      <x:c r="J30" s="39" t="n">
        <x:v>0.0472879969</x:v>
      </x:c>
      <x:c r="K30" s="32" t="n">
        <x:f>1-J30/I30</x:f>
        <x:v>0.1274735295825481</x:v>
      </x:c>
      <x:c r="L30" s="32" t="n">
        <x:f>1-(J30/I30)^2</x:f>
        <x:v>0.23869755842086338</x:v>
      </x:c>
      <x:c r="M30" s="32" t="n">
        <x:v>0.2386975584</x:v>
      </x:c>
      <x:c r="N30" s="39"/>
      <x:c r="O30" s="39" t="str">
        <x:v>XLP</x:v>
      </x:c>
      <x:c r="P30" s="39" t="n">
        <x:v>1.387778781e-17</x:v>
      </x:c>
    </x:row>
    <x:row r="31" ht="19" customHeight="1">
      <x:c r="A31" s="30" t="str">
        <x:v>stagger_1</x:v>
      </x:c>
      <x:c r="B31" s="39" t="str">
        <x:v>ORKA</x:v>
      </x:c>
      <x:c r="C31" s="39" t="str">
        <x:v>Oruka Therapeutics, Inc.</x:v>
      </x:c>
      <x:c r="D31" s="39" t="str">
        <x:v>USD</x:v>
      </x:c>
      <x:c r="E31" s="39" t="str">
        <x:v>XLV</x:v>
      </x:c>
      <x:c r="F31" s="31" t="n">
        <x:v>80</x:v>
      </x:c>
      <x:c r="G31" s="40" t="d">
        <x:v>2020-07-20T00:00:00.000Z</x:v>
      </x:c>
      <x:c r="H31" s="40" t="d">
        <x:v>2026-08-10T00:00:00.000Z</x:v>
      </x:c>
      <x:c r="I31" s="39" t="n">
        <x:v>0.2015694218</x:v>
      </x:c>
      <x:c r="J31" s="39" t="n">
        <x:v>0.1928523931</x:v>
      </x:c>
      <x:c r="K31" s="32" t="n">
        <x:f>1-J31/I31</x:f>
        <x:v>0.043245789079303765</x:v>
      </x:c>
      <x:c r="L31" s="32" t="n">
        <x:f>1-(J31/I31)^2</x:f>
        <x:v>0.08462137988551588</x:v>
      </x:c>
      <x:c r="M31" s="32" t="n">
        <x:v>0.0846213796</x:v>
      </x:c>
      <x:c r="N31" s="39"/>
      <x:c r="O31" s="39" t="str">
        <x:v>XLC</x:v>
      </x:c>
      <x:c r="P31" s="39" t="n">
        <x:v>5.551115123e-17</x:v>
      </x:c>
    </x:row>
    <x:row r="32" ht="19" customHeight="1">
      <x:c r="A32" s="30" t="str">
        <x:v>stagger_1</x:v>
      </x:c>
      <x:c r="B32" s="39" t="str">
        <x:v>UPST</x:v>
      </x:c>
      <x:c r="C32" s="39" t="str">
        <x:v>Upstart Holdings Inc.</x:v>
      </x:c>
      <x:c r="D32" s="39" t="str">
        <x:v>USD</x:v>
      </x:c>
      <x:c r="E32" s="39" t="str">
        <x:v>XLF</x:v>
      </x:c>
      <x:c r="F32" s="31" t="n">
        <x:v>73</x:v>
      </x:c>
      <x:c r="G32" s="40" t="d">
        <x:v>2021-02-01T00:00:00.000Z</x:v>
      </x:c>
      <x:c r="H32" s="40" t="d">
        <x:v>2026-08-10T00:00:00.000Z</x:v>
      </x:c>
      <x:c r="I32" s="39" t="n">
        <x:v>0.2785196281</x:v>
      </x:c>
      <x:c r="J32" s="39" t="n">
        <x:v>0.2409654367</x:v>
      </x:c>
      <x:c r="K32" s="32" t="n">
        <x:f>1-J32/I32</x:f>
        <x:v>0.13483499046794833</x:v>
      </x:c>
      <x:c r="L32" s="32" t="n">
        <x:f>1-(J32/I32)^2</x:f>
        <x:v>0.251489506281405</x:v>
      </x:c>
      <x:c r="M32" s="32" t="n">
        <x:v>0.2514895062</x:v>
      </x:c>
      <x:c r="N32" s="39"/>
      <x:c r="O32" s="39" t="str">
        <x:v>XLV</x:v>
      </x:c>
      <x:c r="P32" s="39" t="n">
        <x:v>5.551115123e-17</x:v>
      </x:c>
    </x:row>
    <x:row r="33" ht="19" customHeight="1">
      <x:c r="A33" s="30" t="str">
        <x:v>stagger_1</x:v>
      </x:c>
      <x:c r="B33" s="39" t="str">
        <x:v>PG</x:v>
      </x:c>
      <x:c r="C33" s="39" t="str">
        <x:v>The Procter &amp; Gamble Company</x:v>
      </x:c>
      <x:c r="D33" s="39" t="str">
        <x:v>USD</x:v>
      </x:c>
      <x:c r="E33" s="39" t="str">
        <x:v>XLP</x:v>
      </x:c>
      <x:c r="F33" s="31" t="n">
        <x:v>80</x:v>
      </x:c>
      <x:c r="G33" s="40" t="d">
        <x:v>2020-07-20T00:00:00.000Z</x:v>
      </x:c>
      <x:c r="H33" s="40" t="d">
        <x:v>2026-08-10T00:00:00.000Z</x:v>
      </x:c>
      <x:c r="I33" s="39" t="n">
        <x:v>0.0521258075</x:v>
      </x:c>
      <x:c r="J33" s="39" t="n">
        <x:v>0.0334178589</x:v>
      </x:c>
      <x:c r="K33" s="32" t="n">
        <x:f>1-J33/I33</x:f>
        <x:v>0.35889992879247</x:v>
      </x:c>
      <x:c r="L33" s="32" t="n">
        <x:f>1-(J33/I33)^2</x:f>
        <x:v>0.5889906986977</x:v>
      </x:c>
      <x:c r="M33" s="32" t="n">
        <x:v>0.5889906973</x:v>
      </x:c>
      <x:c r="N33" s="39" t="str">
        <x:v>AUD/USD</x:v>
      </x:c>
      <x:c r="O33" s="39" t="str">
        <x:v>XLE</x:v>
      </x:c>
      <x:c r="P33" s="39" t="n">
        <x:v>2.775557562e-17</x:v>
      </x:c>
    </x:row>
    <x:row r="34" ht="19" customHeight="1">
      <x:c r="A34" s="30" t="str">
        <x:v>stagger_1</x:v>
      </x:c>
      <x:c r="B34" s="39" t="str">
        <x:v>F</x:v>
      </x:c>
      <x:c r="C34" s="39" t="str">
        <x:v>Ford Motor Company</x:v>
      </x:c>
      <x:c r="D34" s="39" t="str">
        <x:v>USD</x:v>
      </x:c>
      <x:c r="E34" s="39" t="str">
        <x:v>XLY</x:v>
      </x:c>
      <x:c r="F34" s="31" t="n">
        <x:v>80</x:v>
      </x:c>
      <x:c r="G34" s="40" t="d">
        <x:v>2020-07-20T00:00:00.000Z</x:v>
      </x:c>
      <x:c r="H34" s="40" t="d">
        <x:v>2026-08-10T00:00:00.000Z</x:v>
      </x:c>
      <x:c r="I34" s="39" t="n">
        <x:v>0.1042902949</x:v>
      </x:c>
      <x:c r="J34" s="39" t="n">
        <x:v>0.0861383371</x:v>
      </x:c>
      <x:c r="K34" s="32" t="n">
        <x:f>1-J34/I34</x:f>
        <x:v>0.17405222429762246</x:v>
      </x:c>
      <x:c r="L34" s="32" t="n">
        <x:f>1-(J34/I34)^2</x:f>
        <x:v>0.31781027181229504</x:v>
      </x:c>
      <x:c r="M34" s="32" t="n">
        <x:v>0.3178102717</x:v>
      </x:c>
      <x:c r="N34" s="39" t="str">
        <x:v>AUD/USD</x:v>
      </x:c>
      <x:c r="O34" s="39"/>
      <x:c r="P34" s="39" t="n">
        <x:v>5.551115123e-17</x:v>
      </x:c>
    </x:row>
    <x:row r="35" ht="19" customHeight="1">
      <x:c r="A35" s="30" t="str">
        <x:v>stagger_1</x:v>
      </x:c>
      <x:c r="B35" s="39" t="str">
        <x:v>HPE</x:v>
      </x:c>
      <x:c r="C35" s="39" t="str">
        <x:v>Hewlett Packard Enterprise Company</x:v>
      </x:c>
      <x:c r="D35" s="39" t="str">
        <x:v>USD</x:v>
      </x:c>
      <x:c r="E35" s="39" t="str">
        <x:v>XLK</x:v>
      </x:c>
      <x:c r="F35" s="31" t="n">
        <x:v>80</x:v>
      </x:c>
      <x:c r="G35" s="40" t="d">
        <x:v>2020-07-20T00:00:00.000Z</x:v>
      </x:c>
      <x:c r="H35" s="40" t="d">
        <x:v>2026-08-10T00:00:00.000Z</x:v>
      </x:c>
      <x:c r="I35" s="39" t="n">
        <x:v>0.1168563953</x:v>
      </x:c>
      <x:c r="J35" s="39" t="n">
        <x:v>0.081109528</x:v>
      </x:c>
      <x:c r="K35" s="32" t="n">
        <x:f>1-J35/I35</x:f>
        <x:v>0.3059042443353548</x:v>
      </x:c>
      <x:c r="L35" s="32" t="n">
        <x:f>1-(J35/I35)^2</x:f>
        <x:v>0.5182310819683251</x:v>
      </x:c>
      <x:c r="M35" s="32" t="n">
        <x:v>0.5182310819</x:v>
      </x:c>
      <x:c r="N35" s="39"/>
      <x:c r="O35" s="39" t="str">
        <x:v>XLF,XLC,XLE,XLRE</x:v>
      </x:c>
      <x:c r="P35" s="39" t="n">
        <x:v>5.551115123e-17</x:v>
      </x:c>
    </x:row>
    <x:row r="36" ht="19" customHeight="1">
      <x:c r="A36" s="30" t="str">
        <x:v>stagger_1</x:v>
      </x:c>
      <x:c r="B36" s="39" t="str">
        <x:v>BA</x:v>
      </x:c>
      <x:c r="C36" s="39" t="str">
        <x:v>The Boeing Company</x:v>
      </x:c>
      <x:c r="D36" s="39" t="str">
        <x:v>USD</x:v>
      </x:c>
      <x:c r="E36" s="39" t="str">
        <x:v>XLI</x:v>
      </x:c>
      <x:c r="F36" s="31" t="n">
        <x:v>80</x:v>
      </x:c>
      <x:c r="G36" s="40" t="d">
        <x:v>2020-07-20T00:00:00.000Z</x:v>
      </x:c>
      <x:c r="H36" s="40" t="d">
        <x:v>2026-08-10T00:00:00.000Z</x:v>
      </x:c>
      <x:c r="I36" s="39" t="n">
        <x:v>0.0962072134</x:v>
      </x:c>
      <x:c r="J36" s="39" t="n">
        <x:v>0.0772138002</x:v>
      </x:c>
      <x:c r="K36" s="32" t="n">
        <x:f>1-J36/I36</x:f>
        <x:v>0.19742192428993066</x:v>
      </x:c>
      <x:c r="L36" s="32" t="n">
        <x:f>1-(J36/I36)^2</x:f>
        <x:v>0.35586843238952226</x:v>
      </x:c>
      <x:c r="M36" s="32" t="n">
        <x:v>0.3558684315</x:v>
      </x:c>
      <x:c r="N36" s="39" t="str">
        <x:v>AUD/USD</x:v>
      </x:c>
      <x:c r="O36" s="39" t="str">
        <x:v>XLE</x:v>
      </x:c>
      <x:c r="P36" s="39" t="n">
        <x:v>3.469446952e-17</x:v>
      </x:c>
    </x:row>
    <x:row r="37" ht="19" customHeight="1">
      <x:c r="A37" s="30" t="str">
        <x:v>stagger_1</x:v>
      </x:c>
      <x:c r="B37" s="39" t="str">
        <x:v>HII</x:v>
      </x:c>
      <x:c r="C37" s="39" t="str">
        <x:v>Huntington Ingalls Industries, Inc.</x:v>
      </x:c>
      <x:c r="D37" s="39" t="str">
        <x:v>USD</x:v>
      </x:c>
      <x:c r="E37" s="39" t="str">
        <x:v>XLI</x:v>
      </x:c>
      <x:c r="F37" s="31" t="n">
        <x:v>80</x:v>
      </x:c>
      <x:c r="G37" s="40" t="d">
        <x:v>2020-07-20T00:00:00.000Z</x:v>
      </x:c>
      <x:c r="H37" s="40" t="d">
        <x:v>2026-08-10T00:00:00.000Z</x:v>
      </x:c>
      <x:c r="I37" s="39" t="n">
        <x:v>0.0944203736</x:v>
      </x:c>
      <x:c r="J37" s="39" t="n">
        <x:v>0.0816472695</x:v>
      </x:c>
      <x:c r="K37" s="32" t="n">
        <x:f>1-J37/I37</x:f>
        <x:v>0.13527910993141845</x:v>
      </x:c>
      <x:c r="L37" s="32" t="n">
        <x:f>1-(J37/I37)^2</x:f>
        <x:v>0.2522577822790001</x:v>
      </x:c>
      <x:c r="M37" s="32" t="n">
        <x:v>0.2522577817</x:v>
      </x:c>
      <x:c r="N37" s="39" t="str">
        <x:v>AUD/USD</x:v>
      </x:c>
      <x:c r="O37" s="39"/>
      <x:c r="P37" s="39" t="n">
        <x:v>5.551115123e-17</x:v>
      </x:c>
    </x:row>
    <x:row r="38" ht="19" customHeight="1">
      <x:c r="A38" s="30" t="str">
        <x:v>stagger_1</x:v>
      </x:c>
      <x:c r="B38" s="39" t="str">
        <x:v>AMD</x:v>
      </x:c>
      <x:c r="C38" s="39" t="str">
        <x:v>Advanced Micro Devices, Inc.</x:v>
      </x:c>
      <x:c r="D38" s="39" t="str">
        <x:v>USD</x:v>
      </x:c>
      <x:c r="E38" s="39" t="str">
        <x:v>XLK</x:v>
      </x:c>
      <x:c r="F38" s="31" t="n">
        <x:v>80</x:v>
      </x:c>
      <x:c r="G38" s="40" t="d">
        <x:v>2020-07-20T00:00:00.000Z</x:v>
      </x:c>
      <x:c r="H38" s="40" t="d">
        <x:v>2026-08-10T00:00:00.000Z</x:v>
      </x:c>
      <x:c r="I38" s="39" t="n">
        <x:v>0.1690601026</x:v>
      </x:c>
      <x:c r="J38" s="39" t="n">
        <x:v>0.1036756296</x:v>
      </x:c>
      <x:c r="K38" s="32" t="n">
        <x:f>1-J38/I38</x:f>
        <x:v>0.38675282928640553</x:v>
      </x:c>
      <x:c r="L38" s="32" t="n">
        <x:f>1-(J38/I38)^2</x:f>
        <x:v>0.6239279076117715</x:v>
      </x:c>
      <x:c r="M38" s="32" t="n">
        <x:v>0.6239279076</x:v>
      </x:c>
      <x:c r="N38" s="39" t="str">
        <x:v>AUD/USD</x:v>
      </x:c>
      <x:c r="O38" s="39"/>
      <x:c r="P38" s="39" t="n">
        <x:v>5.551115123e-17</x:v>
      </x:c>
    </x:row>
    <x:row r="39" ht="19" customHeight="1">
      <x:c r="A39" s="30" t="str">
        <x:v>stagger_1</x:v>
      </x:c>
      <x:c r="B39" s="39" t="str">
        <x:v>LLY</x:v>
      </x:c>
      <x:c r="C39" s="39" t="str">
        <x:v>Eli Lilly and Company</x:v>
      </x:c>
      <x:c r="D39" s="39" t="str">
        <x:v>USD</x:v>
      </x:c>
      <x:c r="E39" s="39" t="str">
        <x:v>XLV</x:v>
      </x:c>
      <x:c r="F39" s="31" t="n">
        <x:v>80</x:v>
      </x:c>
      <x:c r="G39" s="40" t="d">
        <x:v>2020-07-20T00:00:00.000Z</x:v>
      </x:c>
      <x:c r="H39" s="40" t="d">
        <x:v>2026-08-10T00:00:00.000Z</x:v>
      </x:c>
      <x:c r="I39" s="39" t="n">
        <x:v>0.0896380793</x:v>
      </x:c>
      <x:c r="J39" s="39" t="n">
        <x:v>0.0694168027</x:v>
      </x:c>
      <x:c r="K39" s="32" t="n">
        <x:f>1-J39/I39</x:f>
        <x:v>0.22558801747997748</x:v>
      </x:c>
      <x:c r="L39" s="32" t="n">
        <x:f>1-(J39/I39)^2</x:f>
        <x:v>0.40028608132940835</x:v>
      </x:c>
      <x:c r="M39" s="32" t="n">
        <x:v>0.4002860826</x:v>
      </x:c>
      <x:c r="N39" s="39"/>
      <x:c r="O39" s="39" t="str">
        <x:v>XLK</x:v>
      </x:c>
      <x:c r="P39" s="39" t="n">
        <x:v>2.775557562e-17</x:v>
      </x:c>
    </x:row>
    <x:row r="40" ht="19" customHeight="1">
      <x:c r="A40" s="30" t="str">
        <x:v>stagger_1</x:v>
      </x:c>
      <x:c r="B40" s="39" t="str">
        <x:v>WELL</x:v>
      </x:c>
      <x:c r="C40" s="39" t="str">
        <x:v>Welltower Inc</x:v>
      </x:c>
      <x:c r="D40" s="39" t="str">
        <x:v>USD</x:v>
      </x:c>
      <x:c r="E40" s="39" t="str">
        <x:v>XLRE</x:v>
      </x:c>
      <x:c r="F40" s="31" t="n">
        <x:v>80</x:v>
      </x:c>
      <x:c r="G40" s="40" t="d">
        <x:v>2020-07-20T00:00:00.000Z</x:v>
      </x:c>
      <x:c r="H40" s="40" t="d">
        <x:v>2026-08-10T00:00:00.000Z</x:v>
      </x:c>
      <x:c r="I40" s="39" t="n">
        <x:v>0.0726453304</x:v>
      </x:c>
      <x:c r="J40" s="39" t="n">
        <x:v>0.0520258846</x:v>
      </x:c>
      <x:c r="K40" s="32" t="n">
        <x:f>1-J40/I40</x:f>
        <x:v>0.28383718108879297</x:v>
      </x:c>
      <x:c r="L40" s="32" t="n">
        <x:f>1-(J40/I40)^2</x:f>
        <x:v>0.4871108168091537</x:v>
      </x:c>
      <x:c r="M40" s="32" t="n">
        <x:v>0.4871108171</x:v>
      </x:c>
      <x:c r="N40" s="39" t="str">
        <x:v>AUD/USD</x:v>
      </x:c>
      <x:c r="O40" s="39" t="str">
        <x:v>XLB,XLK</x:v>
      </x:c>
      <x:c r="P40" s="39" t="n">
        <x:v>2.775557562e-17</x:v>
      </x:c>
    </x:row>
    <x:row r="41" ht="19" customHeight="1">
      <x:c r="A41" s="30" t="str">
        <x:v>stagger_1</x:v>
      </x:c>
      <x:c r="B41" s="39" t="str">
        <x:v>NOK</x:v>
      </x:c>
      <x:c r="C41" s="39" t="str">
        <x:v>Nokia Oyj</x:v>
      </x:c>
      <x:c r="D41" s="39" t="str">
        <x:v>EUR</x:v>
      </x:c>
      <x:c r="E41" s="39" t="str">
        <x:v>XLK</x:v>
      </x:c>
      <x:c r="F41" s="31" t="n">
        <x:v>80</x:v>
      </x:c>
      <x:c r="G41" s="40" t="d">
        <x:v>2020-07-20T00:00:00.000Z</x:v>
      </x:c>
      <x:c r="H41" s="40" t="d">
        <x:v>2026-08-10T00:00:00.000Z</x:v>
      </x:c>
      <x:c r="I41" s="39" t="n">
        <x:v>0.1329848132</x:v>
      </x:c>
      <x:c r="J41" s="39" t="n">
        <x:v>0.1132786332</x:v>
      </x:c>
      <x:c r="K41" s="32" t="n">
        <x:f>1-J41/I41</x:f>
        <x:v>0.14818368748891086</x:v>
      </x:c>
      <x:c r="L41" s="32" t="n">
        <x:f>1-(J41/I41)^2</x:f>
        <x:v>0.2744089697400105</x:v>
      </x:c>
      <x:c r="M41" s="32" t="n">
        <x:v>0.2744089698</x:v>
      </x:c>
      <x:c r="N41" s="39"/>
      <x:c r="O41" s="39" t="str">
        <x:v>XLE</x:v>
      </x:c>
      <x:c r="P41" s="39" t="n">
        <x:v>5.551115123e-17</x:v>
      </x:c>
    </x:row>
    <x:row r="42" ht="19" customHeight="1">
      <x:c r="A42" s="30" t="str">
        <x:v>stagger_1</x:v>
      </x:c>
      <x:c r="B42" s="39" t="str">
        <x:v>MSFT</x:v>
      </x:c>
      <x:c r="C42" s="39" t="str">
        <x:v>Microsoft Corporation</x:v>
      </x:c>
      <x:c r="D42" s="39" t="str">
        <x:v>USD</x:v>
      </x:c>
      <x:c r="E42" s="39" t="str">
        <x:v>XLK</x:v>
      </x:c>
      <x:c r="F42" s="31" t="n">
        <x:v>80</x:v>
      </x:c>
      <x:c r="G42" s="40" t="d">
        <x:v>2020-07-20T00:00:00.000Z</x:v>
      </x:c>
      <x:c r="H42" s="40" t="d">
        <x:v>2026-08-10T00:00:00.000Z</x:v>
      </x:c>
      <x:c r="I42" s="39" t="n">
        <x:v>0.0817084694</x:v>
      </x:c>
      <x:c r="J42" s="39" t="n">
        <x:v>0.0563976327</x:v>
      </x:c>
      <x:c r="K42" s="32" t="n">
        <x:f>1-J42/I42</x:f>
        <x:v>0.3097700505940453</x:v>
      </x:c>
      <x:c r="L42" s="32" t="n">
        <x:f>1-(J42/I42)^2</x:f>
        <x:v>0.5235826169430532</x:v>
      </x:c>
      <x:c r="M42" s="32" t="n">
        <x:v>0.5235826177</x:v>
      </x:c>
      <x:c r="N42" s="39"/>
      <x:c r="O42" s="39" t="str">
        <x:v>XLI</x:v>
      </x:c>
      <x:c r="P42" s="39" t="n">
        <x:v>5.551115123e-17</x:v>
      </x:c>
    </x:row>
    <x:row r="43" ht="19" customHeight="1">
      <x:c r="A43" s="30" t="str">
        <x:v>stagger_1</x:v>
      </x:c>
      <x:c r="B43" s="39" t="str">
        <x:v>GOOGL</x:v>
      </x:c>
      <x:c r="C43" s="39" t="str">
        <x:v>Alphabet Inc.</x:v>
      </x:c>
      <x:c r="D43" s="39" t="str">
        <x:v>USD</x:v>
      </x:c>
      <x:c r="E43" s="39" t="str">
        <x:v>XLC</x:v>
      </x:c>
      <x:c r="F43" s="31" t="n">
        <x:v>80</x:v>
      </x:c>
      <x:c r="G43" s="40" t="d">
        <x:v>2020-07-20T00:00:00.000Z</x:v>
      </x:c>
      <x:c r="H43" s="40" t="d">
        <x:v>2026-08-10T00:00:00.000Z</x:v>
      </x:c>
      <x:c r="I43" s="39" t="n">
        <x:v>0.0947913027</x:v>
      </x:c>
      <x:c r="J43" s="39" t="n">
        <x:v>0.0635486474</x:v>
      </x:c>
      <x:c r="K43" s="32" t="n">
        <x:f>1-J43/I43</x:f>
        <x:v>0.3295941126463704</x:v>
      </x:c>
      <x:c r="L43" s="32" t="n">
        <x:f>1-(J43/I43)^2</x:f>
        <x:v>0.5505559462015925</x:v>
      </x:c>
      <x:c r="M43" s="32" t="n">
        <x:v>0.5505559457</x:v>
      </x:c>
      <x:c r="N43" s="39" t="str">
        <x:v>AUD/USD</x:v>
      </x:c>
      <x:c r="O43" s="39" t="str">
        <x:v>XLB,XLRE</x:v>
      </x:c>
      <x:c r="P43" s="39" t="n">
        <x:v>6.938893904e-17</x:v>
      </x:c>
    </x:row>
    <x:row r="44" ht="19" customHeight="1">
      <x:c r="A44" s="30" t="str">
        <x:v>stagger_1</x:v>
      </x:c>
      <x:c r="B44" s="39" t="str">
        <x:v>COST</x:v>
      </x:c>
      <x:c r="C44" s="39" t="str">
        <x:v>Costco Wholesale Corporation</x:v>
      </x:c>
      <x:c r="D44" s="39" t="str">
        <x:v>USD</x:v>
      </x:c>
      <x:c r="E44" s="39" t="str">
        <x:v>XLP</x:v>
      </x:c>
      <x:c r="F44" s="31" t="n">
        <x:v>80</x:v>
      </x:c>
      <x:c r="G44" s="40" t="d">
        <x:v>2020-07-20T00:00:00.000Z</x:v>
      </x:c>
      <x:c r="H44" s="40" t="d">
        <x:v>2026-08-10T00:00:00.000Z</x:v>
      </x:c>
      <x:c r="I44" s="39" t="n">
        <x:v>0.0584798082</x:v>
      </x:c>
      <x:c r="J44" s="39" t="n">
        <x:v>0.0454003887</x:v>
      </x:c>
      <x:c r="K44" s="32" t="n">
        <x:f>1-J44/I44</x:f>
        <x:v>0.22365701773967162</x:v>
      </x:c>
      <x:c r="L44" s="32" t="n">
        <x:f>1-(J44/I44)^2</x:f>
        <x:v>0.39729157389513947</x:v>
      </x:c>
      <x:c r="M44" s="32" t="n">
        <x:v>0.3972915742</x:v>
      </x:c>
      <x:c r="N44" s="39" t="str">
        <x:v>AUD/USD</x:v>
      </x:c>
      <x:c r="O44" s="39" t="str">
        <x:v>XLY,XLF</x:v>
      </x:c>
      <x:c r="P44" s="39" t="n">
        <x:v>2.775557562e-17</x:v>
      </x:c>
    </x:row>
    <x:row r="45" ht="19" customHeight="1">
      <x:c r="A45" s="30" t="str">
        <x:v>stagger_1</x:v>
      </x:c>
      <x:c r="B45" s="39" t="str">
        <x:v>HD</x:v>
      </x:c>
      <x:c r="C45" s="39" t="str">
        <x:v>The Home Depot, Inc.</x:v>
      </x:c>
      <x:c r="D45" s="39" t="str">
        <x:v>USD</x:v>
      </x:c>
      <x:c r="E45" s="39" t="str">
        <x:v>XLY</x:v>
      </x:c>
      <x:c r="F45" s="31" t="n">
        <x:v>80</x:v>
      </x:c>
      <x:c r="G45" s="40" t="d">
        <x:v>2020-07-20T00:00:00.000Z</x:v>
      </x:c>
      <x:c r="H45" s="40" t="d">
        <x:v>2026-08-10T00:00:00.000Z</x:v>
      </x:c>
      <x:c r="I45" s="39" t="n">
        <x:v>0.07132581</x:v>
      </x:c>
      <x:c r="J45" s="39" t="n">
        <x:v>0.0560147535</x:v>
      </x:c>
      <x:c r="K45" s="32" t="n">
        <x:f>1-J45/I45</x:f>
        <x:v>0.214663618962056</x:v>
      </x:c>
      <x:c r="L45" s="32" t="n">
        <x:f>1-(J45/I45)^2</x:f>
        <x:v>0.38324676861822526</x:v>
      </x:c>
      <x:c r="M45" s="32" t="n">
        <x:v>0.3832467677</x:v>
      </x:c>
      <x:c r="N45" s="39" t="str">
        <x:v>AUD/USD</x:v>
      </x:c>
      <x:c r="O45" s="39" t="str">
        <x:v>XLI</x:v>
      </x:c>
      <x:c r="P45" s="39" t="n">
        <x:v>4.163336342e-17</x:v>
      </x:c>
    </x:row>
    <x:row r="46" ht="19" customHeight="1">
      <x:c r="A46" s="30" t="str">
        <x:v>stagger_1</x:v>
      </x:c>
      <x:c r="B46" s="39" t="str">
        <x:v>KO</x:v>
      </x:c>
      <x:c r="C46" s="39" t="str">
        <x:v>The Coca-Cola Company</x:v>
      </x:c>
      <x:c r="D46" s="39" t="str">
        <x:v>USD</x:v>
      </x:c>
      <x:c r="E46" s="39" t="str">
        <x:v>XLP</x:v>
      </x:c>
      <x:c r="F46" s="31" t="n">
        <x:v>80</x:v>
      </x:c>
      <x:c r="G46" s="40" t="d">
        <x:v>2020-07-20T00:00:00.000Z</x:v>
      </x:c>
      <x:c r="H46" s="40" t="d">
        <x:v>2026-08-10T00:00:00.000Z</x:v>
      </x:c>
      <x:c r="I46" s="39" t="n">
        <x:v>0.0476126179</x:v>
      </x:c>
      <x:c r="J46" s="39" t="n">
        <x:v>0.026922312</x:v>
      </x:c>
      <x:c r="K46" s="32" t="n">
        <x:f>1-J46/I46</x:f>
        <x:v>0.43455509931118486</x:v>
      </x:c>
      <x:c r="L46" s="32" t="n">
        <x:f>1-(J46/I46)^2</x:f>
        <x:v>0.680272064285016</x:v>
      </x:c>
      <x:c r="M46" s="32" t="n">
        <x:v>0.6802720627</x:v>
      </x:c>
      <x:c r="N46" s="39" t="str">
        <x:v>AUD/USD</x:v>
      </x:c>
      <x:c r="O46" s="39" t="str">
        <x:v>XLY,XLB,XLC</x:v>
      </x:c>
      <x:c r="P46" s="39" t="n">
        <x:v>2.602085214e-17</x:v>
      </x:c>
    </x:row>
    <x:row r="47" ht="19" customHeight="1">
      <x:c r="A47" s="30" t="str">
        <x:v>stagger_1</x:v>
      </x:c>
      <x:c r="B47" s="39" t="str">
        <x:v>JNJ</x:v>
      </x:c>
      <x:c r="C47" s="39" t="str">
        <x:v>Johnson &amp; Johnson</x:v>
      </x:c>
      <x:c r="D47" s="39" t="str">
        <x:v>USD</x:v>
      </x:c>
      <x:c r="E47" s="39" t="str">
        <x:v>XLV</x:v>
      </x:c>
      <x:c r="F47" s="31" t="n">
        <x:v>80</x:v>
      </x:c>
      <x:c r="G47" s="40" t="d">
        <x:v>2020-07-20T00:00:00.000Z</x:v>
      </x:c>
      <x:c r="H47" s="40" t="d">
        <x:v>2026-08-10T00:00:00.000Z</x:v>
      </x:c>
      <x:c r="I47" s="39" t="n">
        <x:v>0.0530569244</x:v>
      </x:c>
      <x:c r="J47" s="39" t="n">
        <x:v>0.0360344751</x:v>
      </x:c>
      <x:c r="K47" s="32" t="n">
        <x:f>1-J47/I47</x:f>
        <x:v>0.32083369875846024</x:v>
      </x:c>
      <x:c r="L47" s="32" t="n">
        <x:f>1-(J47/I47)^2</x:f>
        <x:v>0.5387331352578861</x:v>
      </x:c>
      <x:c r="M47" s="32" t="n">
        <x:v>0.5387331341</x:v>
      </x:c>
      <x:c r="N47" s="39" t="str">
        <x:v>AUD/USD</x:v>
      </x:c>
      <x:c r="O47" s="39" t="str">
        <x:v>XLP</x:v>
      </x:c>
      <x:c r="P47" s="39" t="n">
        <x:v>2.775557562e-17</x:v>
      </x:c>
    </x:row>
    <x:row r="48" ht="19" customHeight="1">
      <x:c r="A48" s="30" t="str">
        <x:v>stagger_1</x:v>
      </x:c>
      <x:c r="B48" s="39" t="str">
        <x:v>BRK-B</x:v>
      </x:c>
      <x:c r="C48" s="39" t="str">
        <x:v>Berkshire Hathaway Inc.</x:v>
      </x:c>
      <x:c r="D48" s="39" t="str">
        <x:v>USD</x:v>
      </x:c>
      <x:c r="E48" s="39" t="str">
        <x:v>XLF</x:v>
      </x:c>
      <x:c r="F48" s="31" t="n">
        <x:v>80</x:v>
      </x:c>
      <x:c r="G48" s="40" t="d">
        <x:v>2020-07-20T00:00:00.000Z</x:v>
      </x:c>
      <x:c r="H48" s="40" t="d">
        <x:v>2026-08-10T00:00:00.000Z</x:v>
      </x:c>
      <x:c r="I48" s="39" t="n">
        <x:v>0.0416408649</x:v>
      </x:c>
      <x:c r="J48" s="39" t="n">
        <x:v>0.0335588673</x:v>
      </x:c>
      <x:c r="K48" s="32" t="n">
        <x:f>1-J48/I48</x:f>
        <x:v>0.19408812999943226</x:v>
      </x:c>
      <x:c r="L48" s="32" t="n">
        <x:f>1-(J48/I48)^2</x:f>
        <x:v>0.350506057792188</x:v>
      </x:c>
      <x:c r="M48" s="32" t="n">
        <x:v>0.3505060577</x:v>
      </x:c>
      <x:c r="N48" s="39" t="str">
        <x:v>AUD/USD</x:v>
      </x:c>
      <x:c r="O48" s="39" t="str">
        <x:v>XLV</x:v>
      </x:c>
      <x:c r="P48" s="39" t="n">
        <x:v>1.387778781e-17</x:v>
      </x:c>
    </x:row>
  </x:sheetData>
  <x:pageMargins left="0.7" right="0.7" top="0.75" bottom="0.75" header="0.3" footer="0.3"/>
</x:worksheet>
</file>

<file path=xl/worksheets/sheet4.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17" max="17" width="20" hidden="0" customWidth="1"/>
    <x:col min="18" max="18" width="20" hidden="0" customWidth="1"/>
    <x:col min="19" max="19" width="20" hidden="0" customWidth="1"/>
    <x:col min="20" max="20" width="20" hidden="0" customWidth="1"/>
    <x:col min="21" max="21" width="20" hidden="0" customWidth="1"/>
    <x:col min="22" max="22" width="20"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row>
    <x:row r="2" ht="19" customHeight="1">
      <x:c r="A2" s="35" t="str">
        <x:v>Residual standard deviation by stage</x:v>
      </x:c>
      <x:c r="B2" s="24"/>
      <x:c r="C2" s="24"/>
      <x:c r="D2" s="24"/>
      <x:c r="E2" s="24"/>
      <x:c r="F2" s="24"/>
      <x:c r="G2" s="24"/>
      <x:c r="H2" s="24"/>
      <x:c r="I2" s="24"/>
      <x:c r="J2" s="24"/>
      <x:c r="K2" s="24"/>
      <x:c r="L2" s="24"/>
      <x:c r="M2" s="24"/>
      <x:c r="N2" s="24"/>
      <x:c r="O2" s="24"/>
      <x:c r="P2" s="24"/>
      <x:c r="Q2" s="24"/>
      <x:c r="R2" s="24"/>
      <x:c r="S2" s="24"/>
      <x:c r="T2" s="24"/>
      <x:c r="U2" s="24"/>
      <x:c r="V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row>
    <x:row r="5" ht="56" customHeight="1">
      <x:c r="A5" s="36" t="str">
        <x:v>Ticker</x:v>
      </x:c>
      <x:c r="B5" s="36" t="str">
        <x:v>Original</x:v>
      </x:c>
      <x:c r="C5" s="36" t="str">
        <x:v>Home FX</x:v>
      </x:c>
      <x:c r="D5" s="36" t="str">
        <x:v>Other FX</x:v>
      </x:c>
      <x:c r="E5" s="36" t="str">
        <x:v>SPY</x:v>
      </x:c>
      <x:c r="F5" s="36" t="str">
        <x:v>Primary sector</x:v>
      </x:c>
      <x:c r="G5" s="36" t="str">
        <x:v>Other sectors</x:v>
      </x:c>
      <x:c r="H5" s="36" t="str">
        <x:v>Total std reduction</x:v>
      </x:c>
      <x:c r="I5" s="38"/>
      <x:c r="J5" s="41" t="str">
        <x:v>Original / original</x:v>
      </x:c>
      <x:c r="K5" s="41" t="str">
        <x:v>Home FX / original</x:v>
      </x:c>
      <x:c r="L5" s="41" t="str">
        <x:v>Other FX / original</x:v>
      </x:c>
      <x:c r="M5" s="41" t="str">
        <x:v>SPY / original</x:v>
      </x:c>
      <x:c r="N5" s="41" t="str">
        <x:v>Primary sector / original</x:v>
      </x:c>
      <x:c r="O5" s="41" t="str">
        <x:v>Other sectors / original</x:v>
      </x:c>
      <x:c r="P5" s="38"/>
      <x:c r="Q5" s="41" t="str">
        <x:v>Cumulative R²: Original</x:v>
      </x:c>
      <x:c r="R5" s="41" t="str">
        <x:v>Cumulative R²: Home FX</x:v>
      </x:c>
      <x:c r="S5" s="41" t="str">
        <x:v>Cumulative R²: Other FX</x:v>
      </x:c>
      <x:c r="T5" s="41" t="str">
        <x:v>Cumulative R²: SPY</x:v>
      </x:c>
      <x:c r="U5" s="41" t="str">
        <x:v>Cumulative R²: Primary sector</x:v>
      </x:c>
      <x:c r="V5" s="41" t="str">
        <x:v>Cumulative R²: Other sectors</x:v>
      </x:c>
    </x:row>
    <x:row r="6" ht="19" customHeight="1">
      <x:c r="A6" s="30" t="str">
        <x:v>VST</x:v>
      </x:c>
      <x:c r="B6" s="39" t="n">
        <x:v>0.1163561701</x:v>
      </x:c>
      <x:c r="C6" s="39" t="n">
        <x:v>0.1163561701</x:v>
      </x:c>
      <x:c r="D6" s="39" t="n">
        <x:v>0.1163561701</x:v>
      </x:c>
      <x:c r="E6" s="39" t="n">
        <x:v>0.1076603939</x:v>
      </x:c>
      <x:c r="F6" s="39" t="n">
        <x:v>0.1027558424</x:v>
      </x:c>
      <x:c r="G6" s="39" t="n">
        <x:v>0.0965107596</x:v>
      </x:c>
      <x:c r="H6" s="32" t="n">
        <x:f>1-G6/B6</x:f>
        <x:v>0.170557439996042</x:v>
      </x:c>
      <x:c r="I6" s="24"/>
      <x:c r="J6" s="32" t="n">
        <x:f>B6/$B6</x:f>
        <x:v>1</x:v>
      </x:c>
      <x:c r="K6" s="32" t="n">
        <x:f>C6/$B6</x:f>
        <x:v>1</x:v>
      </x:c>
      <x:c r="L6" s="32" t="n">
        <x:f>D6/$B6</x:f>
        <x:v>1</x:v>
      </x:c>
      <x:c r="M6" s="32" t="n">
        <x:f>E6/$B6</x:f>
        <x:v>0.9252658781006061</x:v>
      </x:c>
      <x:c r="N6" s="32" t="n">
        <x:f>F6/$B6</x:f>
        <x:v>0.8831146840918581</x:v>
      </x:c>
      <x:c r="O6" s="32" t="n">
        <x:f>G6/$B6</x:f>
        <x:v>0.829442560003958</x:v>
      </x:c>
      <x:c r="P6" s="24"/>
      <x:c r="Q6" s="32" t="n">
        <x:f>1-(B6/$B6)^2</x:f>
        <x:v>0</x:v>
      </x:c>
      <x:c r="R6" s="32" t="n">
        <x:f>1-(C6/$B6)^2</x:f>
        <x:v>0</x:v>
      </x:c>
      <x:c r="S6" s="32" t="n">
        <x:f>1-(D6/$B6)^2</x:f>
        <x:v>0</x:v>
      </x:c>
      <x:c r="T6" s="32" t="n">
        <x:f>1-(E6/$B6)^2</x:f>
        <x:v>0.14388305482271424</x:v>
      </x:c>
      <x:c r="U6" s="32" t="n">
        <x:f>1-(F6/$B6)^2</x:f>
        <x:v>0.22010845474133767</x:v>
      </x:c>
      <x:c r="V6" s="32" t="n">
        <x:f>1-(G6/$B6)^2</x:f>
        <x:v>0.31202503965408057</x:v>
      </x:c>
    </x:row>
    <x:row r="7" ht="19" customHeight="1">
      <x:c r="A7" s="30" t="str">
        <x:v>VIST</x:v>
      </x:c>
      <x:c r="B7" s="39" t="n">
        <x:v>0.122013495</x:v>
      </x:c>
      <x:c r="C7" s="39" t="n">
        <x:v>0.1219862976</x:v>
      </x:c>
      <x:c r="D7" s="39" t="n">
        <x:v>0.1219862976</x:v>
      </x:c>
      <x:c r="E7" s="39" t="n">
        <x:v>0.1219106828</x:v>
      </x:c>
      <x:c r="F7" s="39" t="n">
        <x:v>0.1033615064</x:v>
      </x:c>
      <x:c r="G7" s="39" t="n">
        <x:v>0.0989692325</x:v>
      </x:c>
      <x:c r="H7" s="32" t="n">
        <x:f>1-G7/B7</x:f>
        <x:v>0.1888665061188518</x:v>
      </x:c>
      <x:c r="I7" s="24"/>
      <x:c r="J7" s="32" t="n">
        <x:f>B7/$B7</x:f>
        <x:v>1</x:v>
      </x:c>
      <x:c r="K7" s="32" t="n">
        <x:f>C7/$B7</x:f>
        <x:v>0.9997770951483687</x:v>
      </x:c>
      <x:c r="L7" s="32" t="n">
        <x:f>D7/$B7</x:f>
        <x:v>0.9997770951483687</x:v>
      </x:c>
      <x:c r="M7" s="32" t="n">
        <x:f>E7/$B7</x:f>
        <x:v>0.9991573702564622</x:v>
      </x:c>
      <x:c r="N7" s="32" t="n">
        <x:f>F7/$B7</x:f>
        <x:v>0.8471317570240898</x:v>
      </x:c>
      <x:c r="O7" s="32" t="n">
        <x:f>G7/$B7</x:f>
        <x:v>0.8111334938811482</x:v>
      </x:c>
      <x:c r="P7" s="24"/>
      <x:c r="Q7" s="32" t="n">
        <x:f>1-(B7/$B7)^2</x:f>
        <x:v>0</x:v>
      </x:c>
      <x:c r="R7" s="32" t="n">
        <x:f>1-(C7/$B7)^2</x:f>
        <x:v>0.00044576001668983345</x:v>
      </x:c>
      <x:c r="S7" s="32" t="n">
        <x:f>1-(D7/$B7)^2</x:f>
        <x:v>0.00044576001668983345</x:v>
      </x:c>
      <x:c r="T7" s="32" t="n">
        <x:f>1-(E7/$B7)^2</x:f>
        <x:v>0.0016845494621908763</x:v>
      </x:c>
      <x:c r="U7" s="32" t="n">
        <x:f>1-(F7/$B7)^2</x:f>
        <x:v>0.28236778624127845</x:v>
      </x:c>
      <x:c r="V7" s="32" t="n">
        <x:f>1-(G7/$B7)^2</x:f>
        <x:v>0.34206245510416133</x:v>
      </x:c>
    </x:row>
    <x:row r="8" ht="19" customHeight="1">
      <x:c r="A8" s="30" t="str">
        <x:v>AEP</x:v>
      </x:c>
      <x:c r="B8" s="39" t="n">
        <x:v>0.0562364065</x:v>
      </x:c>
      <x:c r="C8" s="39" t="n">
        <x:v>0.0562364065</x:v>
      </x:c>
      <x:c r="D8" s="39" t="n">
        <x:v>0.0528979143</x:v>
      </x:c>
      <x:c r="E8" s="39" t="n">
        <x:v>0.0527684508</x:v>
      </x:c>
      <x:c r="F8" s="39" t="n">
        <x:v>0.0337164564</x:v>
      </x:c>
      <x:c r="G8" s="39" t="n">
        <x:v>0.0319385858</x:v>
      </x:c>
      <x:c r="H8" s="32" t="n">
        <x:f>1-G8/B8</x:f>
        <x:v>0.4320656708390498</x:v>
      </x:c>
      <x:c r="I8" s="24"/>
      <x:c r="J8" s="32" t="n">
        <x:f>B8/$B8</x:f>
        <x:v>1</x:v>
      </x:c>
      <x:c r="K8" s="32" t="n">
        <x:f>C8/$B8</x:f>
        <x:v>1</x:v>
      </x:c>
      <x:c r="L8" s="32" t="n">
        <x:f>D8/$B8</x:f>
        <x:v>0.9406346812006916</x:v>
      </x:c>
      <x:c r="M8" s="32" t="n">
        <x:f>E8/$B8</x:f>
        <x:v>0.9383325515295861</x:v>
      </x:c>
      <x:c r="N8" s="32" t="n">
        <x:f>F8/$B8</x:f>
        <x:v>0.5995485575700857</x:v>
      </x:c>
      <x:c r="O8" s="32" t="n">
        <x:f>G8/$B8</x:f>
        <x:v>0.5679343291609502</x:v>
      </x:c>
      <x:c r="P8" s="24"/>
      <x:c r="Q8" s="32" t="n">
        <x:f>1-(B8/$B8)^2</x:f>
        <x:v>0</x:v>
      </x:c>
      <x:c r="R8" s="32" t="n">
        <x:f>1-(C8/$B8)^2</x:f>
        <x:v>0</x:v>
      </x:c>
      <x:c r="S8" s="32" t="n">
        <x:f>1-(D8/$B8)^2</x:f>
        <x:v>0.11520639652247333</x:v>
      </x:c>
      <x:c r="T8" s="32" t="n">
        <x:f>1-(E8/$B8)^2</x:f>
        <x:v>0.11953202273997676</x:v>
      </x:c>
      <x:c r="U8" s="32" t="n">
        <x:f>1-(F8/$B8)^2</x:f>
        <x:v>0.6405415271156296</x:v>
      </x:c>
      <x:c r="V8" s="32" t="n">
        <x:f>1-(G8/$B8)^2</x:f>
        <x:v>0.6774505977605014</x:v>
      </x:c>
    </x:row>
    <x:row r="9" ht="19" customHeight="1">
      <x:c r="A9" s="30" t="str">
        <x:v>ETR</x:v>
      </x:c>
      <x:c r="B9" s="39" t="n">
        <x:v>0.0531769197</x:v>
      </x:c>
      <x:c r="C9" s="39" t="n">
        <x:v>0.0531769197</x:v>
      </x:c>
      <x:c r="D9" s="39" t="n">
        <x:v>0.0531769197</x:v>
      </x:c>
      <x:c r="E9" s="39" t="n">
        <x:v>0.0511560765</x:v>
      </x:c>
      <x:c r="F9" s="39" t="n">
        <x:v>0.0329627971</x:v>
      </x:c>
      <x:c r="G9" s="39" t="n">
        <x:v>0.0329627971</x:v>
      </x:c>
      <x:c r="H9" s="32" t="n">
        <x:f>1-G9/B9</x:f>
        <x:v>0.38012962604902434</x:v>
      </x:c>
      <x:c r="I9" s="24"/>
      <x:c r="J9" s="32" t="n">
        <x:f>B9/$B9</x:f>
        <x:v>1</x:v>
      </x:c>
      <x:c r="K9" s="32" t="n">
        <x:f>C9/$B9</x:f>
        <x:v>1</x:v>
      </x:c>
      <x:c r="L9" s="32" t="n">
        <x:f>D9/$B9</x:f>
        <x:v>1</x:v>
      </x:c>
      <x:c r="M9" s="32" t="n">
        <x:f>E9/$B9</x:f>
        <x:v>0.9619977386542756</x:v>
      </x:c>
      <x:c r="N9" s="32" t="n">
        <x:f>F9/$B9</x:f>
        <x:v>0.6198703739509757</x:v>
      </x:c>
      <x:c r="O9" s="32" t="n">
        <x:f>G9/$B9</x:f>
        <x:v>0.6198703739509757</x:v>
      </x:c>
      <x:c r="P9" s="24"/>
      <x:c r="Q9" s="32" t="n">
        <x:f>1-(B9/$B9)^2</x:f>
        <x:v>0</x:v>
      </x:c>
      <x:c r="R9" s="32" t="n">
        <x:f>1-(C9/$B9)^2</x:f>
        <x:v>0</x:v>
      </x:c>
      <x:c r="S9" s="32" t="n">
        <x:f>1-(D9/$B9)^2</x:f>
        <x:v>0</x:v>
      </x:c>
      <x:c r="T9" s="32" t="n">
        <x:f>1-(E9/$B9)^2</x:f>
        <x:v>0.07456035082405998</x:v>
      </x:c>
      <x:c r="U9" s="32" t="n">
        <x:f>1-(F9/$B9)^2</x:f>
        <x:v>0.6157607194978776</x:v>
      </x:c>
      <x:c r="V9" s="32" t="n">
        <x:f>1-(G9/$B9)^2</x:f>
        <x:v>0.6157607194978776</x:v>
      </x:c>
    </x:row>
    <x:row r="10" ht="19" customHeight="1">
      <x:c r="A10" s="30" t="str">
        <x:v>DIS</x:v>
      </x:c>
      <x:c r="B10" s="39" t="n">
        <x:v>0.0829697536</x:v>
      </x:c>
      <x:c r="C10" s="39" t="n">
        <x:v>0.0829697536</x:v>
      </x:c>
      <x:c r="D10" s="39" t="n">
        <x:v>0.0803031316</x:v>
      </x:c>
      <x:c r="E10" s="39" t="n">
        <x:v>0.0672677529</x:v>
      </x:c>
      <x:c r="F10" s="39" t="n">
        <x:v>0.0659134647</x:v>
      </x:c>
      <x:c r="G10" s="39" t="n">
        <x:v>0.0611137142</x:v>
      </x:c>
      <x:c r="H10" s="32" t="n">
        <x:f>1-G10/B10</x:f>
        <x:v>0.26342177060533056</x:v>
      </x:c>
      <x:c r="I10" s="24"/>
      <x:c r="J10" s="32" t="n">
        <x:f>B10/$B10</x:f>
        <x:v>1</x:v>
      </x:c>
      <x:c r="K10" s="32" t="n">
        <x:f>C10/$B10</x:f>
        <x:v>1</x:v>
      </x:c>
      <x:c r="L10" s="32" t="n">
        <x:f>D10/$B10</x:f>
        <x:v>0.9678603119293824</x:v>
      </x:c>
      <x:c r="M10" s="32" t="n">
        <x:f>E10/$B10</x:f>
        <x:v>0.810750303349099</x:v>
      </x:c>
      <x:c r="N10" s="32" t="n">
        <x:f>F10/$B10</x:f>
        <x:v>0.7944276298296732</x:v>
      </x:c>
      <x:c r="O10" s="32" t="n">
        <x:f>G10/$B10</x:f>
        <x:v>0.7365782293946694</x:v>
      </x:c>
      <x:c r="P10" s="24"/>
      <x:c r="Q10" s="32" t="n">
        <x:f>1-(B10/$B10)^2</x:f>
        <x:v>0</x:v>
      </x:c>
      <x:c r="R10" s="32" t="n">
        <x:f>1-(C10/$B10)^2</x:f>
        <x:v>0</x:v>
      </x:c>
      <x:c r="S10" s="32" t="n">
        <x:f>1-(D10/$B10)^2</x:f>
        <x:v>0.06324641659195862</x:v>
      </x:c>
      <x:c r="T10" s="32" t="n">
        <x:f>1-(E10/$B10)^2</x:f>
        <x:v>0.3426839456193439</x:v>
      </x:c>
      <x:c r="U10" s="32" t="n">
        <x:f>1-(F10/$B10)^2</x:f>
        <x:v>0.3688847409632078</x:v>
      </x:c>
      <x:c r="V10" s="32" t="n">
        <x:f>1-(G10/$B10)^2</x:f>
        <x:v>0.4574525119818137</x:v>
      </x:c>
    </x:row>
    <x:row r="11" ht="19" customHeight="1">
      <x:c r="A11" s="30" t="str">
        <x:v>CMG</x:v>
      </x:c>
      <x:c r="B11" s="39" t="n">
        <x:v>0.1023850984</x:v>
      </x:c>
      <x:c r="C11" s="39" t="n">
        <x:v>0.1023850984</x:v>
      </x:c>
      <x:c r="D11" s="39" t="n">
        <x:v>0.0997807513</x:v>
      </x:c>
      <x:c r="E11" s="39" t="n">
        <x:v>0.0960941461</x:v>
      </x:c>
      <x:c r="F11" s="39" t="n">
        <x:v>0.0948087991</x:v>
      </x:c>
      <x:c r="G11" s="39" t="n">
        <x:v>0.0919031206</x:v>
      </x:c>
      <x:c r="H11" s="32" t="n">
        <x:f>1-G11/B11</x:f>
        <x:v>0.1023779628462026</x:v>
      </x:c>
      <x:c r="I11" s="24"/>
      <x:c r="J11" s="32" t="n">
        <x:f>B11/$B11</x:f>
        <x:v>1</x:v>
      </x:c>
      <x:c r="K11" s="32" t="n">
        <x:f>C11/$B11</x:f>
        <x:v>1</x:v>
      </x:c>
      <x:c r="L11" s="32" t="n">
        <x:f>D11/$B11</x:f>
        <x:v>0.9745632212040731</x:v>
      </x:c>
      <x:c r="M11" s="32" t="n">
        <x:f>E11/$B11</x:f>
        <x:v>0.9385559773999299</x:v>
      </x:c>
      <x:c r="N11" s="32" t="n">
        <x:f>F11/$B11</x:f>
        <x:v>0.9260019336954605</x:v>
      </x:c>
      <x:c r="O11" s="32" t="n">
        <x:f>G11/$B11</x:f>
        <x:v>0.8976220371537974</x:v>
      </x:c>
      <x:c r="P11" s="24"/>
      <x:c r="Q11" s="32" t="n">
        <x:f>1-(B11/$B11)^2</x:f>
        <x:v>0</x:v>
      </x:c>
      <x:c r="R11" s="32" t="n">
        <x:f>1-(C11/$B11)^2</x:f>
        <x:v>0</x:v>
      </x:c>
      <x:c r="S11" s="32" t="n">
        <x:f>1-(D11/$B11)^2</x:f>
        <x:v>0.050226527876340854</x:v>
      </x:c>
      <x:c r="T11" s="32" t="n">
        <x:f>1-(E11/$B11)^2</x:f>
        <x:v>0.11911267728686226</x:v>
      </x:c>
      <x:c r="U11" s="32" t="n">
        <x:f>1-(F11/$B11)^2</x:f>
        <x:v>0.14252041879226807</x:v>
      </x:c>
      <x:c r="V11" s="32" t="n">
        <x:f>1-(G11/$B11)^2</x:f>
        <x:v>0.19427467841586676</x:v>
      </x:c>
    </x:row>
    <x:row r="12" ht="19" customHeight="1">
      <x:c r="A12" s="30" t="str">
        <x:v>AMZN</x:v>
      </x:c>
      <x:c r="B12" s="39" t="n">
        <x:v>0.0917694272</x:v>
      </x:c>
      <x:c r="C12" s="39" t="n">
        <x:v>0.0917694272</x:v>
      </x:c>
      <x:c r="D12" s="39" t="n">
        <x:v>0.0917694272</x:v>
      </x:c>
      <x:c r="E12" s="39" t="n">
        <x:v>0.0636170027</x:v>
      </x:c>
      <x:c r="F12" s="39" t="n">
        <x:v>0.0556260115</x:v>
      </x:c>
      <x:c r="G12" s="39" t="n">
        <x:v>0.0472780223</x:v>
      </x:c>
      <x:c r="H12" s="32" t="n">
        <x:f>1-G12/B12</x:f>
        <x:v>0.4848172889107888</x:v>
      </x:c>
      <x:c r="I12" s="24"/>
      <x:c r="J12" s="32" t="n">
        <x:f>B12/$B12</x:f>
        <x:v>1</x:v>
      </x:c>
      <x:c r="K12" s="32" t="n">
        <x:f>C12/$B12</x:f>
        <x:v>1</x:v>
      </x:c>
      <x:c r="L12" s="32" t="n">
        <x:f>D12/$B12</x:f>
        <x:v>1</x:v>
      </x:c>
      <x:c r="M12" s="32" t="n">
        <x:f>E12/$B12</x:f>
        <x:v>0.6932265422269084</x:v>
      </x:c>
      <x:c r="N12" s="32" t="n">
        <x:f>F12/$B12</x:f>
        <x:v>0.6061497079933827</x:v>
      </x:c>
      <x:c r="O12" s="32" t="n">
        <x:f>G12/$B12</x:f>
        <x:v>0.5151827110892112</x:v>
      </x:c>
      <x:c r="P12" s="24"/>
      <x:c r="Q12" s="32" t="n">
        <x:f>1-(B12/$B12)^2</x:f>
        <x:v>0</x:v>
      </x:c>
      <x:c r="R12" s="32" t="n">
        <x:f>1-(C12/$B12)^2</x:f>
        <x:v>0</x:v>
      </x:c>
      <x:c r="S12" s="32" t="n">
        <x:f>1-(D12/$B12)^2</x:f>
        <x:v>0</x:v>
      </x:c>
      <x:c r="T12" s="32" t="n">
        <x:f>1-(E12/$B12)^2</x:f>
        <x:v>0.5194369611521243</x:v>
      </x:c>
      <x:c r="U12" s="32" t="n">
        <x:f>1-(F12/$B12)^2</x:f>
        <x:v>0.6325825314995368</x:v>
      </x:c>
      <x:c r="V12" s="32" t="n">
        <x:f>1-(G12/$B12)^2</x:f>
        <x:v>0.7345867741947703</x:v>
      </x:c>
    </x:row>
    <x:row r="13" ht="19" customHeight="1">
      <x:c r="A13" s="30" t="str">
        <x:v>FIX</x:v>
      </x:c>
      <x:c r="B13" s="39" t="n">
        <x:v>0.1178604928</x:v>
      </x:c>
      <x:c r="C13" s="39" t="n">
        <x:v>0.1178604928</x:v>
      </x:c>
      <x:c r="D13" s="39" t="n">
        <x:v>0.1126819196</x:v>
      </x:c>
      <x:c r="E13" s="39" t="n">
        <x:v>0.1021575801</x:v>
      </x:c>
      <x:c r="F13" s="39" t="n">
        <x:v>0.1001887041</x:v>
      </x:c>
      <x:c r="G13" s="39" t="n">
        <x:v>0.0899150771</x:v>
      </x:c>
      <x:c r="H13" s="32" t="n">
        <x:f>1-G13/B13</x:f>
        <x:v>0.2371058786205923</x:v>
      </x:c>
      <x:c r="I13" s="24"/>
      <x:c r="J13" s="32" t="n">
        <x:f>B13/$B13</x:f>
        <x:v>1</x:v>
      </x:c>
      <x:c r="K13" s="32" t="n">
        <x:f>C13/$B13</x:f>
        <x:v>1</x:v>
      </x:c>
      <x:c r="L13" s="32" t="n">
        <x:f>D13/$B13</x:f>
        <x:v>0.9560618399179136</x:v>
      </x:c>
      <x:c r="M13" s="32" t="n">
        <x:f>E13/$B13</x:f>
        <x:v>0.8667669519535558</x:v>
      </x:c>
      <x:c r="N13" s="32" t="n">
        <x:f>F13/$B13</x:f>
        <x:v>0.8500618122309429</x:v>
      </x:c>
      <x:c r="O13" s="32" t="n">
        <x:f>G13/$B13</x:f>
        <x:v>0.7628941213794077</x:v>
      </x:c>
      <x:c r="P13" s="24"/>
      <x:c r="Q13" s="32" t="n">
        <x:f>1-(B13/$B13)^2</x:f>
        <x:v>0</x:v>
      </x:c>
      <x:c r="R13" s="32" t="n">
        <x:f>1-(C13/$B13)^2</x:f>
        <x:v>0</x:v>
      </x:c>
      <x:c r="S13" s="32" t="n">
        <x:f>1-(D13/$B13)^2</x:f>
        <x:v>0.08594575825277373</x:v>
      </x:c>
      <x:c r="T13" s="32" t="n">
        <x:f>1-(E13/$B13)^2</x:f>
        <x:v>0.24871505100114233</x:v>
      </x:c>
      <x:c r="U13" s="32" t="n">
        <x:f>1-(F13/$B13)^2</x:f>
        <x:v>0.2773949153866452</x:v>
      </x:c>
      <x:c r="V13" s="32" t="n">
        <x:f>1-(G13/$B13)^2</x:f>
        <x:v>0.4179925595647416</x:v>
      </x:c>
    </x:row>
    <x:row r="14" ht="19" customHeight="1">
      <x:c r="A14" s="30" t="str">
        <x:v>STX</x:v>
      </x:c>
      <x:c r="B14" s="39" t="n">
        <x:v>0.1716249469</x:v>
      </x:c>
      <x:c r="C14" s="39" t="n">
        <x:v>0.1656140207</x:v>
      </x:c>
      <x:c r="D14" s="39" t="n">
        <x:v>0.1656140207</x:v>
      </x:c>
      <x:c r="E14" s="39" t="n">
        <x:v>0.1417584543</x:v>
      </x:c>
      <x:c r="F14" s="39" t="n">
        <x:v>0.1158492625</x:v>
      </x:c>
      <x:c r="G14" s="39" t="n">
        <x:v>0.1117694118</x:v>
      </x:c>
      <x:c r="H14" s="32" t="n">
        <x:f>1-G14/B14</x:f>
        <x:v>0.348757777823965</x:v>
      </x:c>
      <x:c r="I14" s="24"/>
      <x:c r="J14" s="32" t="n">
        <x:f>B14/$B14</x:f>
        <x:v>1</x:v>
      </x:c>
      <x:c r="K14" s="32" t="n">
        <x:f>C14/$B14</x:f>
        <x:v>0.964976384211193</x:v>
      </x:c>
      <x:c r="L14" s="32" t="n">
        <x:f>D14/$B14</x:f>
        <x:v>0.964976384211193</x:v>
      </x:c>
      <x:c r="M14" s="32" t="n">
        <x:f>E14/$B14</x:f>
        <x:v>0.8259781393121003</x:v>
      </x:c>
      <x:c r="N14" s="32" t="n">
        <x:f>F14/$B14</x:f>
        <x:v>0.675014119989802</x:v>
      </x:c>
      <x:c r="O14" s="32" t="n">
        <x:f>G14/$B14</x:f>
        <x:v>0.651242222176035</x:v>
      </x:c>
      <x:c r="P14" s="24"/>
      <x:c r="Q14" s="32" t="n">
        <x:f>1-(B14/$B14)^2</x:f>
        <x:v>0</x:v>
      </x:c>
      <x:c r="R14" s="32" t="n">
        <x:f>1-(C14/$B14)^2</x:f>
        <x:v>0.06882057791469198</x:v>
      </x:c>
      <x:c r="S14" s="32" t="n">
        <x:f>1-(D14/$B14)^2</x:f>
        <x:v>0.06882057791469198</x:v>
      </x:c>
      <x:c r="T14" s="32" t="n">
        <x:f>1-(E14/$B14)^2</x:f>
        <x:v>0.3177601133785206</x:v>
      </x:c>
      <x:c r="U14" s="32" t="n">
        <x:f>1-(F14/$B14)^2</x:f>
        <x:v>0.5443559378143932</x:v>
      </x:c>
      <x:c r="V14" s="32" t="n">
        <x:f>1-(G14/$B14)^2</x:f>
        <x:v>0.5758835680552199</x:v>
      </x:c>
    </x:row>
    <x:row r="15" ht="19" customHeight="1">
      <x:c r="A15" s="30" t="str">
        <x:v>VLO</x:v>
      </x:c>
      <x:c r="B15" s="39" t="n">
        <x:v>0.1099660181</x:v>
      </x:c>
      <x:c r="C15" s="39" t="n">
        <x:v>0.1099660181</x:v>
      </x:c>
      <x:c r="D15" s="39" t="n">
        <x:v>0.1099660181</x:v>
      </x:c>
      <x:c r="E15" s="39" t="n">
        <x:v>0.1099220586</x:v>
      </x:c>
      <x:c r="F15" s="39" t="n">
        <x:v>0.0689462514</x:v>
      </x:c>
      <x:c r="G15" s="39" t="n">
        <x:v>0.0689462514</x:v>
      </x:c>
      <x:c r="H15" s="32" t="n">
        <x:f>1-G15/B15</x:f>
        <x:v>0.3730222063937767</x:v>
      </x:c>
      <x:c r="I15" s="24"/>
      <x:c r="J15" s="32" t="n">
        <x:f>B15/$B15</x:f>
        <x:v>1</x:v>
      </x:c>
      <x:c r="K15" s="32" t="n">
        <x:f>C15/$B15</x:f>
        <x:v>1</x:v>
      </x:c>
      <x:c r="L15" s="32" t="n">
        <x:f>D15/$B15</x:f>
        <x:v>1</x:v>
      </x:c>
      <x:c r="M15" s="32" t="n">
        <x:f>E15/$B15</x:f>
        <x:v>0.999600244686863</x:v>
      </x:c>
      <x:c r="N15" s="32" t="n">
        <x:f>F15/$B15</x:f>
        <x:v>0.6269777936062233</x:v>
      </x:c>
      <x:c r="O15" s="32" t="n">
        <x:f>G15/$B15</x:f>
        <x:v>0.6269777936062233</x:v>
      </x:c>
      <x:c r="P15" s="24"/>
      <x:c r="Q15" s="32" t="n">
        <x:f>1-(B15/$B15)^2</x:f>
        <x:v>0</x:v>
      </x:c>
      <x:c r="R15" s="32" t="n">
        <x:f>1-(C15/$B15)^2</x:f>
        <x:v>0</x:v>
      </x:c>
      <x:c r="S15" s="32" t="n">
        <x:f>1-(D15/$B15)^2</x:f>
        <x:v>0</x:v>
      </x:c>
      <x:c r="T15" s="32" t="n">
        <x:f>1-(E15/$B15)^2</x:f>
        <x:v>0.0007993508219635848</x:v>
      </x:c>
      <x:c r="U15" s="32" t="n">
        <x:f>1-(F15/$B15)^2</x:f>
        <x:v>0.6068988463246721</x:v>
      </x:c>
      <x:c r="V15" s="32" t="n">
        <x:f>1-(G15/$B15)^2</x:f>
        <x:v>0.6068988463246721</x:v>
      </x:c>
    </x:row>
    <x:row r="16" ht="19" customHeight="1">
      <x:c r="A16" s="30" t="str">
        <x:v>CF</x:v>
      </x:c>
      <x:c r="B16" s="39" t="n">
        <x:v>0.1061590311</x:v>
      </x:c>
      <x:c r="C16" s="39" t="n">
        <x:v>0.1061590311</x:v>
      </x:c>
      <x:c r="D16" s="39" t="n">
        <x:v>0.1061590311</x:v>
      </x:c>
      <x:c r="E16" s="39" t="n">
        <x:v>0.1037812839</x:v>
      </x:c>
      <x:c r="F16" s="39" t="n">
        <x:v>0.1016286309</x:v>
      </x:c>
      <x:c r="G16" s="39" t="n">
        <x:v>0.0816006585</x:v>
      </x:c>
      <x:c r="H16" s="32" t="n">
        <x:f>1-G16/B16</x:f>
        <x:v>0.23133568897088386</x:v>
      </x:c>
      <x:c r="I16" s="24"/>
      <x:c r="J16" s="32" t="n">
        <x:f>B16/$B16</x:f>
        <x:v>1</x:v>
      </x:c>
      <x:c r="K16" s="32" t="n">
        <x:f>C16/$B16</x:f>
        <x:v>1</x:v>
      </x:c>
      <x:c r="L16" s="32" t="n">
        <x:f>D16/$B16</x:f>
        <x:v>1</x:v>
      </x:c>
      <x:c r="M16" s="32" t="n">
        <x:f>E16/$B16</x:f>
        <x:v>0.9776020261737298</x:v>
      </x:c>
      <x:c r="N16" s="32" t="n">
        <x:f>F16/$B16</x:f>
        <x:v>0.957324401390472</x:v>
      </x:c>
      <x:c r="O16" s="32" t="n">
        <x:f>G16/$B16</x:f>
        <x:v>0.7686643110291161</x:v>
      </x:c>
      <x:c r="P16" s="24"/>
      <x:c r="Q16" s="32" t="n">
        <x:f>1-(B16/$B16)^2</x:f>
        <x:v>0</x:v>
      </x:c>
      <x:c r="R16" s="32" t="n">
        <x:f>1-(C16/$B16)^2</x:f>
        <x:v>0</x:v>
      </x:c>
      <x:c r="S16" s="32" t="n">
        <x:f>1-(D16/$B16)^2</x:f>
        <x:v>0</x:v>
      </x:c>
      <x:c r="T16" s="32" t="n">
        <x:f>1-(E16/$B16)^2</x:f>
        <x:v>0.044294278421018074</x:v>
      </x:c>
      <x:c r="U16" s="32" t="n">
        <x:f>1-(F16/$B16)^2</x:f>
        <x:v>0.08352999050237442</x:v>
      </x:c>
      <x:c r="V16" s="32" t="n">
        <x:f>1-(G16/$B16)^2</x:f>
        <x:v>0.40915517695013415</x:v>
      </x:c>
    </x:row>
    <x:row r="17" ht="19" customHeight="1">
      <x:c r="A17" s="30" t="str">
        <x:v>NTR</x:v>
      </x:c>
      <x:c r="B17" s="39" t="n">
        <x:v>0.0742500309</x:v>
      </x:c>
      <x:c r="C17" s="39" t="n">
        <x:v>0.0689544914</x:v>
      </x:c>
      <x:c r="D17" s="39" t="n">
        <x:v>0.067248455</x:v>
      </x:c>
      <x:c r="E17" s="39" t="n">
        <x:v>0.0664260056</x:v>
      </x:c>
      <x:c r="F17" s="39" t="n">
        <x:v>0.0644650538</x:v>
      </x:c>
      <x:c r="G17" s="39" t="n">
        <x:v>0.0611716298</x:v>
      </x:c>
      <x:c r="H17" s="32" t="n">
        <x:f>1-G17/B17</x:f>
        <x:v>0.1761400088521714</x:v>
      </x:c>
      <x:c r="I17" s="24"/>
      <x:c r="J17" s="32" t="n">
        <x:f>B17/$B17</x:f>
        <x:v>1</x:v>
      </x:c>
      <x:c r="K17" s="32" t="n">
        <x:f>C17/$B17</x:f>
        <x:v>0.9286796323744021</x:v>
      </x:c>
      <x:c r="L17" s="32" t="n">
        <x:f>D17/$B17</x:f>
        <x:v>0.9057027207243896</x:v>
      </x:c>
      <x:c r="M17" s="32" t="n">
        <x:f>E17/$B17</x:f>
        <x:v>0.8946259657381503</x:v>
      </x:c>
      <x:c r="N17" s="32" t="n">
        <x:f>F17/$B17</x:f>
        <x:v>0.8682158514765009</x:v>
      </x:c>
      <x:c r="O17" s="32" t="n">
        <x:f>G17/$B17</x:f>
        <x:v>0.8238599911478286</x:v>
      </x:c>
      <x:c r="P17" s="24"/>
      <x:c r="Q17" s="32" t="n">
        <x:f>1-(B17/$B17)^2</x:f>
        <x:v>0</x:v>
      </x:c>
      <x:c r="R17" s="32" t="n">
        <x:f>1-(C17/$B17)^2</x:f>
        <x:v>0.13755414041294534</x:v>
      </x:c>
      <x:c r="S17" s="32" t="n">
        <x:f>1-(D17/$B17)^2</x:f>
        <x:v>0.17970258167243836</x:v>
      </x:c>
      <x:c r="T17" s="32" t="n">
        <x:f>1-(E17/$B17)^2</x:f>
        <x:v>0.19964438142708185</x:v>
      </x:c>
      <x:c r="U17" s="32" t="n">
        <x:f>1-(F17/$B17)^2</x:f>
        <x:v>0.24620123524493442</x:v>
      </x:c>
      <x:c r="V17" s="32" t="n">
        <x:f>1-(G17/$B17)^2</x:f>
        <x:v>0.32125471498589975</x:v>
      </x:c>
    </x:row>
    <x:row r="18" ht="19" customHeight="1">
      <x:c r="A18" s="30" t="str">
        <x:v>LNN</x:v>
      </x:c>
      <x:c r="B18" s="39" t="n">
        <x:v>0.0747298805</x:v>
      </x:c>
      <x:c r="C18" s="39" t="n">
        <x:v>0.0747298805</x:v>
      </x:c>
      <x:c r="D18" s="39" t="n">
        <x:v>0.0707195115</x:v>
      </x:c>
      <x:c r="E18" s="39" t="n">
        <x:v>0.0704124353</x:v>
      </x:c>
      <x:c r="F18" s="39" t="n">
        <x:v>0.0656254317</x:v>
      </x:c>
      <x:c r="G18" s="39" t="n">
        <x:v>0.0656254317</x:v>
      </x:c>
      <x:c r="H18" s="32" t="n">
        <x:f>1-G18/B18</x:f>
        <x:v>0.12183143796141893</x:v>
      </x:c>
      <x:c r="I18" s="24"/>
      <x:c r="J18" s="32" t="n">
        <x:f>B18/$B18</x:f>
        <x:v>1</x:v>
      </x:c>
      <x:c r="K18" s="32" t="n">
        <x:f>C18/$B18</x:f>
        <x:v>1</x:v>
      </x:c>
      <x:c r="L18" s="32" t="n">
        <x:f>D18/$B18</x:f>
        <x:v>0.946335134310833</x:v>
      </x:c>
      <x:c r="M18" s="32" t="n">
        <x:f>E18/$B18</x:f>
        <x:v>0.9422259854945173</x:v>
      </x:c>
      <x:c r="N18" s="32" t="n">
        <x:f>F18/$B18</x:f>
        <x:v>0.8781685620385811</x:v>
      </x:c>
      <x:c r="O18" s="32" t="n">
        <x:f>G18/$B18</x:f>
        <x:v>0.8781685620385811</x:v>
      </x:c>
      <x:c r="P18" s="24"/>
      <x:c r="Q18" s="32" t="n">
        <x:f>1-(B18/$B18)^2</x:f>
        <x:v>0</x:v>
      </x:c>
      <x:c r="R18" s="32" t="n">
        <x:f>1-(C18/$B18)^2</x:f>
        <x:v>0</x:v>
      </x:c>
      <x:c r="S18" s="32" t="n">
        <x:f>1-(D18/$B18)^2</x:f>
        <x:v>0.1044498135688976</x:v>
      </x:c>
      <x:c r="T18" s="32" t="n">
        <x:f>1-(E18/$B18)^2</x:f>
        <x:v>0.11221019225888562</x:v>
      </x:c>
      <x:c r="U18" s="32" t="n">
        <x:f>1-(F18/$B18)^2</x:f>
        <x:v>0.22881997664709075</x:v>
      </x:c>
      <x:c r="V18" s="32" t="n">
        <x:f>1-(G18/$B18)^2</x:f>
        <x:v>0.22881997664709075</x:v>
      </x:c>
    </x:row>
    <x:row r="19" ht="19" customHeight="1">
      <x:c r="A19" s="30" t="str">
        <x:v>WDC</x:v>
      </x:c>
      <x:c r="B19" s="39" t="n">
        <x:v>0.1819368091</x:v>
      </x:c>
      <x:c r="C19" s="39" t="n">
        <x:v>0.1819368091</x:v>
      </x:c>
      <x:c r="D19" s="39" t="n">
        <x:v>0.1770671416</x:v>
      </x:c>
      <x:c r="E19" s="39" t="n">
        <x:v>0.1647027752</x:v>
      </x:c>
      <x:c r="F19" s="39" t="n">
        <x:v>0.1418876358</x:v>
      </x:c>
      <x:c r="G19" s="39" t="n">
        <x:v>0.1328181253</x:v>
      </x:c>
      <x:c r="H19" s="32" t="n">
        <x:f>1-G19/B19</x:f>
        <x:v>0.2699766146442766</x:v>
      </x:c>
      <x:c r="I19" s="24"/>
      <x:c r="J19" s="32" t="n">
        <x:f>B19/$B19</x:f>
        <x:v>1</x:v>
      </x:c>
      <x:c r="K19" s="32" t="n">
        <x:f>C19/$B19</x:f>
        <x:v>1</x:v>
      </x:c>
      <x:c r="L19" s="32" t="n">
        <x:f>D19/$B19</x:f>
        <x:v>0.9732342920374983</x:v>
      </x:c>
      <x:c r="M19" s="32" t="n">
        <x:f>E19/$B19</x:f>
        <x:v>0.9052746171307893</x:v>
      </x:c>
      <x:c r="N19" s="32" t="n">
        <x:f>F19/$B19</x:f>
        <x:v>0.7798731686121453</x:v>
      </x:c>
      <x:c r="O19" s="32" t="n">
        <x:f>G19/$B19</x:f>
        <x:v>0.7300233853557234</x:v>
      </x:c>
      <x:c r="P19" s="24"/>
      <x:c r="Q19" s="32" t="n">
        <x:f>1-(B19/$B19)^2</x:f>
        <x:v>0</x:v>
      </x:c>
      <x:c r="R19" s="32" t="n">
        <x:f>1-(C19/$B19)^2</x:f>
        <x:v>0</x:v>
      </x:c>
      <x:c r="S19" s="32" t="n">
        <x:f>1-(D19/$B19)^2</x:f>
        <x:v>0.05281501280226941</x:v>
      </x:c>
      <x:c r="T19" s="32" t="n">
        <x:f>1-(E19/$B19)^2</x:f>
        <x:v>0.18047786757870288</x:v>
      </x:c>
      <x:c r="U19" s="32" t="n">
        <x:f>1-(F19/$B19)^2</x:f>
        <x:v>0.3917978408788524</x:v>
      </x:c>
      <x:c r="V19" s="32" t="n">
        <x:f>1-(G19/$B19)^2</x:f>
        <x:v>0.467065856833769</x:v>
      </x:c>
    </x:row>
    <x:row r="20" ht="19" customHeight="1">
      <x:c r="A20" s="30" t="str">
        <x:v>ASND</x:v>
      </x:c>
      <x:c r="B20" s="39" t="n">
        <x:v>0.1039460161</x:v>
      </x:c>
      <x:c r="C20" s="39" t="n">
        <x:v>0.1029160532</x:v>
      </x:c>
      <x:c r="D20" s="39" t="n">
        <x:v>0.1029160532</x:v>
      </x:c>
      <x:c r="E20" s="39" t="n">
        <x:v>0.1021617555</x:v>
      </x:c>
      <x:c r="F20" s="39" t="n">
        <x:v>0.1015509243</x:v>
      </x:c>
      <x:c r="G20" s="39" t="n">
        <x:v>0.1015509243</x:v>
      </x:c>
      <x:c r="H20" s="32" t="n">
        <x:f>1-G20/B20</x:f>
        <x:v>0.023041689233147977</x:v>
      </x:c>
      <x:c r="I20" s="24"/>
      <x:c r="J20" s="32" t="n">
        <x:f>B20/$B20</x:f>
        <x:v>1</x:v>
      </x:c>
      <x:c r="K20" s="32" t="n">
        <x:f>C20/$B20</x:f>
        <x:v>0.9900913672438476</x:v>
      </x:c>
      <x:c r="L20" s="32" t="n">
        <x:f>D20/$B20</x:f>
        <x:v>0.9900913672438476</x:v>
      </x:c>
      <x:c r="M20" s="32" t="n">
        <x:f>E20/$B20</x:f>
        <x:v>0.9828347380020466</x:v>
      </x:c>
      <x:c r="N20" s="32" t="n">
        <x:f>F20/$B20</x:f>
        <x:v>0.976958310766852</x:v>
      </x:c>
      <x:c r="O20" s="32" t="n">
        <x:f>G20/$B20</x:f>
        <x:v>0.976958310766852</x:v>
      </x:c>
      <x:c r="P20" s="24"/>
      <x:c r="Q20" s="32" t="n">
        <x:f>1-(B20/$B20)^2</x:f>
        <x:v>0</x:v>
      </x:c>
      <x:c r="R20" s="32" t="n">
        <x:f>1-(C20/$B20)^2</x:f>
        <x:v>0.01971908450920845</x:v>
      </x:c>
      <x:c r="S20" s="32" t="n">
        <x:f>1-(D20/$B20)^2</x:f>
        <x:v>0.01971908450920845</x:v>
      </x:c>
      <x:c r="T20" s="32" t="n">
        <x:f>1-(E20/$B20)^2</x:f>
        <x:v>0.03403587777644845</x:v>
      </x:c>
      <x:c r="U20" s="32" t="n">
        <x:f>1-(F20/$B20)^2</x:f>
        <x:v>0.04555245902357896</x:v>
      </x:c>
      <x:c r="V20" s="32" t="n">
        <x:f>1-(G20/$B20)^2</x:f>
        <x:v>0.04555245902357896</x:v>
      </x:c>
    </x:row>
    <x:row r="21" ht="19" customHeight="1">
      <x:c r="A21" s="30" t="str">
        <x:v>DOCN</x:v>
      </x:c>
      <x:c r="B21" s="39" t="n">
        <x:v>0.2071760013</x:v>
      </x:c>
      <x:c r="C21" s="39" t="n">
        <x:v>0.2071760013</x:v>
      </x:c>
      <x:c r="D21" s="39" t="n">
        <x:v>0.2071760013</x:v>
      </x:c>
      <x:c r="E21" s="39" t="n">
        <x:v>0.1960788899</x:v>
      </x:c>
      <x:c r="F21" s="39" t="n">
        <x:v>0.1779765836</x:v>
      </x:c>
      <x:c r="G21" s="39" t="n">
        <x:v>0.1681758986</x:v>
      </x:c>
      <x:c r="H21" s="32" t="n">
        <x:f>1-G21/B21</x:f>
        <x:v>0.18824623728269618</x:v>
      </x:c>
      <x:c r="I21" s="24"/>
      <x:c r="J21" s="32" t="n">
        <x:f>B21/$B21</x:f>
        <x:v>1</x:v>
      </x:c>
      <x:c r="K21" s="32" t="n">
        <x:f>C21/$B21</x:f>
        <x:v>1</x:v>
      </x:c>
      <x:c r="L21" s="32" t="n">
        <x:f>D21/$B21</x:f>
        <x:v>1</x:v>
      </x:c>
      <x:c r="M21" s="32" t="n">
        <x:f>E21/$B21</x:f>
        <x:v>0.9464363085957486</x:v>
      </x:c>
      <x:c r="N21" s="32" t="n">
        <x:f>F21/$B21</x:f>
        <x:v>0.8590598451713625</x:v>
      </x:c>
      <x:c r="O21" s="32" t="n">
        <x:f>G21/$B21</x:f>
        <x:v>0.8117537627173038</x:v>
      </x:c>
      <x:c r="P21" s="24"/>
      <x:c r="Q21" s="32" t="n">
        <x:f>1-(B21/$B21)^2</x:f>
        <x:v>0</x:v>
      </x:c>
      <x:c r="R21" s="32" t="n">
        <x:f>1-(C21/$B21)^2</x:f>
        <x:v>0</x:v>
      </x:c>
      <x:c r="S21" s="32" t="n">
        <x:f>1-(D21/$B21)^2</x:f>
        <x:v>0</x:v>
      </x:c>
      <x:c r="T21" s="32" t="n">
        <x:f>1-(E21/$B21)^2</x:f>
        <x:v>0.10425831377165296</x:v>
      </x:c>
      <x:c r="U21" s="32" t="n">
        <x:f>1-(F21/$B21)^2</x:f>
        <x:v>0.2620161824141547</x:v>
      </x:c>
      <x:c r="V21" s="32" t="n">
        <x:f>1-(G21/$B21)^2</x:f>
        <x:v>0.3410558287142992</x:v>
      </x:c>
    </x:row>
    <x:row r="22" ht="19" customHeight="1">
      <x:c r="A22" s="30" t="str">
        <x:v>CME</x:v>
      </x:c>
      <x:c r="B22" s="39" t="n">
        <x:v>0.0577690082</x:v>
      </x:c>
      <x:c r="C22" s="39" t="n">
        <x:v>0.0577690082</x:v>
      </x:c>
      <x:c r="D22" s="39" t="n">
        <x:v>0.0557582566</x:v>
      </x:c>
      <x:c r="E22" s="39" t="n">
        <x:v>0.0557251102</x:v>
      </x:c>
      <x:c r="F22" s="39" t="n">
        <x:v>0.0553634087</x:v>
      </x:c>
      <x:c r="G22" s="39" t="n">
        <x:v>0.0512486224</x:v>
      </x:c>
      <x:c r="H22" s="32" t="n">
        <x:f>1-G22/B22</x:f>
        <x:v>0.11286996268701732</x:v>
      </x:c>
      <x:c r="I22" s="24"/>
      <x:c r="J22" s="32" t="n">
        <x:f>B22/$B22</x:f>
        <x:v>1</x:v>
      </x:c>
      <x:c r="K22" s="32" t="n">
        <x:f>C22/$B22</x:f>
        <x:v>1</x:v>
      </x:c>
      <x:c r="L22" s="32" t="n">
        <x:f>D22/$B22</x:f>
        <x:v>0.9651932469908666</x:v>
      </x:c>
      <x:c r="M22" s="32" t="n">
        <x:f>E22/$B22</x:f>
        <x:v>0.9646194722103607</x:v>
      </x:c>
      <x:c r="N22" s="32" t="n">
        <x:f>F22/$B22</x:f>
        <x:v>0.9583583036137359</x:v>
      </x:c>
      <x:c r="O22" s="32" t="n">
        <x:f>G22/$B22</x:f>
        <x:v>0.8871300373129827</x:v>
      </x:c>
      <x:c r="P22" s="24"/>
      <x:c r="Q22" s="32" t="n">
        <x:f>1-(B22/$B22)^2</x:f>
        <x:v>0</x:v>
      </x:c>
      <x:c r="R22" s="32" t="n">
        <x:f>1-(C22/$B22)^2</x:f>
        <x:v>0</x:v>
      </x:c>
      <x:c r="S22" s="32" t="n">
        <x:f>1-(D22/$B22)^2</x:f>
        <x:v>0.06840199596322794</x:v>
      </x:c>
      <x:c r="T22" s="32" t="n">
        <x:f>1-(E22/$B22)^2</x:f>
        <x:v>0.06950927383260519</x:v>
      </x:c>
      <x:c r="U22" s="32" t="n">
        <x:f>1-(F22/$B22)^2</x:f>
        <x:v>0.08154936189460249</x:v>
      </x:c>
      <x:c r="V22" s="32" t="n">
        <x:f>1-(G22/$B22)^2</x:f>
        <x:v>0.213000296897066</x:v>
      </x:c>
    </x:row>
    <x:row r="23" ht="19" customHeight="1">
      <x:c r="A23" s="30" t="str">
        <x:v>NET</x:v>
      </x:c>
      <x:c r="B23" s="39" t="n">
        <x:v>0.1505181581</x:v>
      </x:c>
      <x:c r="C23" s="39" t="n">
        <x:v>0.1505181581</x:v>
      </x:c>
      <x:c r="D23" s="39" t="n">
        <x:v>0.1505181581</x:v>
      </x:c>
      <x:c r="E23" s="39" t="n">
        <x:v>0.1390476695</x:v>
      </x:c>
      <x:c r="F23" s="39" t="n">
        <x:v>0.1389497093</x:v>
      </x:c>
      <x:c r="G23" s="39" t="n">
        <x:v>0.1250938932</x:v>
      </x:c>
      <x:c r="H23" s="32" t="n">
        <x:f>1-G23/B23</x:f>
        <x:v>0.16891161319625525</x:v>
      </x:c>
      <x:c r="I23" s="24"/>
      <x:c r="J23" s="32" t="n">
        <x:f>B23/$B23</x:f>
        <x:v>1</x:v>
      </x:c>
      <x:c r="K23" s="32" t="n">
        <x:f>C23/$B23</x:f>
        <x:v>1</x:v>
      </x:c>
      <x:c r="L23" s="32" t="n">
        <x:f>D23/$B23</x:f>
        <x:v>1</x:v>
      </x:c>
      <x:c r="M23" s="32" t="n">
        <x:f>E23/$B23</x:f>
        <x:v>0.923793323378437</x:v>
      </x:c>
      <x:c r="N23" s="32" t="n">
        <x:f>F23/$B23</x:f>
        <x:v>0.9231425035621666</x:v>
      </x:c>
      <x:c r="O23" s="32" t="n">
        <x:f>G23/$B23</x:f>
        <x:v>0.8310883868037447</x:v>
      </x:c>
      <x:c r="P23" s="24"/>
      <x:c r="Q23" s="32" t="n">
        <x:f>1-(B23/$B23)^2</x:f>
        <x:v>0</x:v>
      </x:c>
      <x:c r="R23" s="32" t="n">
        <x:f>1-(C23/$B23)^2</x:f>
        <x:v>0</x:v>
      </x:c>
      <x:c r="S23" s="32" t="n">
        <x:f>1-(D23/$B23)^2</x:f>
        <x:v>0</x:v>
      </x:c>
      <x:c r="T23" s="32" t="n">
        <x:f>1-(E23/$B23)^2</x:f>
        <x:v>0.14660589568142257</x:v>
      </x:c>
      <x:c r="U23" s="32" t="n">
        <x:f>1-(F23/$B23)^2</x:f>
        <x:v>0.14780791811697513</x:v>
      </x:c>
      <x:c r="V23" s="32" t="n">
        <x:f>1-(G23/$B23)^2</x:f>
        <x:v>0.3092920933199491</x:v>
      </x:c>
    </x:row>
    <x:row r="24" ht="19" customHeight="1">
      <x:c r="A24" s="30" t="str">
        <x:v>MRNA</x:v>
      </x:c>
      <x:c r="B24" s="39" t="n">
        <x:v>0.1897742975</x:v>
      </x:c>
      <x:c r="C24" s="39" t="n">
        <x:v>0.1897742975</x:v>
      </x:c>
      <x:c r="D24" s="39" t="n">
        <x:v>0.1804151734</x:v>
      </x:c>
      <x:c r="E24" s="39" t="n">
        <x:v>0.1804137247</x:v>
      </x:c>
      <x:c r="F24" s="39" t="n">
        <x:v>0.1793381939</x:v>
      </x:c>
      <x:c r="G24" s="39" t="n">
        <x:v>0.1793381939</x:v>
      </x:c>
      <x:c r="H24" s="32" t="n">
        <x:f>1-G24/B24</x:f>
        <x:v>0.05499218670536776</x:v>
      </x:c>
      <x:c r="I24" s="24"/>
      <x:c r="J24" s="32" t="n">
        <x:f>B24/$B24</x:f>
        <x:v>1</x:v>
      </x:c>
      <x:c r="K24" s="32" t="n">
        <x:f>C24/$B24</x:f>
        <x:v>1</x:v>
      </x:c>
      <x:c r="L24" s="32" t="n">
        <x:f>D24/$B24</x:f>
        <x:v>0.9506828678946895</x:v>
      </x:c>
      <x:c r="M24" s="32" t="n">
        <x:f>E24/$B24</x:f>
        <x:v>0.9506752340895901</x:v>
      </x:c>
      <x:c r="N24" s="32" t="n">
        <x:f>F24/$B24</x:f>
        <x:v>0.9450078132946322</x:v>
      </x:c>
      <x:c r="O24" s="32" t="n">
        <x:f>G24/$B24</x:f>
        <x:v>0.9450078132946322</x:v>
      </x:c>
      <x:c r="P24" s="24"/>
      <x:c r="Q24" s="32" t="n">
        <x:f>1-(B24/$B24)^2</x:f>
        <x:v>0</x:v>
      </x:c>
      <x:c r="R24" s="32" t="n">
        <x:f>1-(C24/$B24)^2</x:f>
        <x:v>0</x:v>
      </x:c>
      <x:c r="S24" s="32" t="n">
        <x:f>1-(D24/$B24)^2</x:f>
        <x:v>0.09620208469152836</x:v>
      </x:c>
      <x:c r="T24" s="32" t="n">
        <x:f>1-(E24/$B24)^2</x:f>
        <x:v>0.09621659928870308</x:v>
      </x:c>
      <x:c r="U24" s="32" t="n">
        <x:f>1-(F24/$B24)^2</x:f>
        <x:v>0.10696023281209754</x:v>
      </x:c>
      <x:c r="V24" s="32" t="n">
        <x:f>1-(G24/$B24)^2</x:f>
        <x:v>0.10696023281209754</x:v>
      </x:c>
    </x:row>
    <x:row r="25" ht="19" customHeight="1">
      <x:c r="A25" s="30" t="str">
        <x:v>AXON</x:v>
      </x:c>
      <x:c r="B25" s="39" t="n">
        <x:v>0.1331197547</x:v>
      </x:c>
      <x:c r="C25" s="39" t="n">
        <x:v>0.1331197547</x:v>
      </x:c>
      <x:c r="D25" s="39" t="n">
        <x:v>0.1331197547</x:v>
      </x:c>
      <x:c r="E25" s="39" t="n">
        <x:v>0.1271386442</x:v>
      </x:c>
      <x:c r="F25" s="39" t="n">
        <x:v>0.11997091</x:v>
      </x:c>
      <x:c r="G25" s="39" t="n">
        <x:v>0.1169582738</x:v>
      </x:c>
      <x:c r="H25" s="32" t="n">
        <x:f>1-G25/B25</x:f>
        <x:v>0.12140557903236593</x:v>
      </x:c>
      <x:c r="I25" s="24"/>
      <x:c r="J25" s="32" t="n">
        <x:f>B25/$B25</x:f>
        <x:v>1</x:v>
      </x:c>
      <x:c r="K25" s="32" t="n">
        <x:f>C25/$B25</x:f>
        <x:v>1</x:v>
      </x:c>
      <x:c r="L25" s="32" t="n">
        <x:f>D25/$B25</x:f>
        <x:v>1</x:v>
      </x:c>
      <x:c r="M25" s="32" t="n">
        <x:f>E25/$B25</x:f>
        <x:v>0.9550697001096562</x:v>
      </x:c>
      <x:c r="N25" s="32" t="n">
        <x:f>F25/$B25</x:f>
        <x:v>0.9012254437394932</x:v>
      </x:c>
      <x:c r="O25" s="32" t="n">
        <x:f>G25/$B25</x:f>
        <x:v>0.8785944209676341</x:v>
      </x:c>
      <x:c r="P25" s="24"/>
      <x:c r="Q25" s="32" t="n">
        <x:f>1-(B25/$B25)^2</x:f>
        <x:v>0</x:v>
      </x:c>
      <x:c r="R25" s="32" t="n">
        <x:f>1-(C25/$B25)^2</x:f>
        <x:v>0</x:v>
      </x:c>
      <x:c r="S25" s="32" t="n">
        <x:f>1-(D25/$B25)^2</x:f>
        <x:v>0</x:v>
      </x:c>
      <x:c r="T25" s="32" t="n">
        <x:f>1-(E25/$B25)^2</x:f>
        <x:v>0.08784186793245141</x:v>
      </x:c>
      <x:c r="U25" s="32" t="n">
        <x:f>1-(F25/$B25)^2</x:f>
        <x:v>0.18779269955655353</x:v>
      </x:c>
      <x:c r="V25" s="32" t="n">
        <x:f>1-(G25/$B25)^2</x:f>
        <x:v>0.22807184344454778</x:v>
      </x:c>
    </x:row>
    <x:row r="26" ht="19" customHeight="1">
      <x:c r="A26" s="30" t="str">
        <x:v>NFLX</x:v>
      </x:c>
      <x:c r="B26" s="39" t="n">
        <x:v>0.1147191527</x:v>
      </x:c>
      <x:c r="C26" s="39" t="n">
        <x:v>0.1147191527</x:v>
      </x:c>
      <x:c r="D26" s="39" t="n">
        <x:v>0.1147191527</x:v>
      </x:c>
      <x:c r="E26" s="39" t="n">
        <x:v>0.1061323163</x:v>
      </x:c>
      <x:c r="F26" s="39" t="n">
        <x:v>0.1013554093</x:v>
      </x:c>
      <x:c r="G26" s="39" t="n">
        <x:v>0.0951888616</x:v>
      </x:c>
      <x:c r="H26" s="32" t="n">
        <x:f>1-G26/B26</x:f>
        <x:v>0.1702443806490911</x:v>
      </x:c>
      <x:c r="I26" s="24"/>
      <x:c r="J26" s="32" t="n">
        <x:f>B26/$B26</x:f>
        <x:v>1</x:v>
      </x:c>
      <x:c r="K26" s="32" t="n">
        <x:f>C26/$B26</x:f>
        <x:v>1</x:v>
      </x:c>
      <x:c r="L26" s="32" t="n">
        <x:f>D26/$B26</x:f>
        <x:v>1</x:v>
      </x:c>
      <x:c r="M26" s="32" t="n">
        <x:f>E26/$B26</x:f>
        <x:v>0.9251490601359715</x:v>
      </x:c>
      <x:c r="N26" s="32" t="n">
        <x:f>F26/$B26</x:f>
        <x:v>0.883509047221197</x:v>
      </x:c>
      <x:c r="O26" s="32" t="n">
        <x:f>G26/$B26</x:f>
        <x:v>0.8297556193509089</x:v>
      </x:c>
      <x:c r="P26" s="24"/>
      <x:c r="Q26" s="32" t="n">
        <x:f>1-(B26/$B26)^2</x:f>
        <x:v>0</x:v>
      </x:c>
      <x:c r="R26" s="32" t="n">
        <x:f>1-(C26/$B26)^2</x:f>
        <x:v>0</x:v>
      </x:c>
      <x:c r="S26" s="32" t="n">
        <x:f>1-(D26/$B26)^2</x:f>
        <x:v>0</x:v>
      </x:c>
      <x:c r="T26" s="32" t="n">
        <x:f>1-(E26/$B26)^2</x:f>
        <x:v>0.1440992165295285</x:v>
      </x:c>
      <x:c r="U26" s="32" t="n">
        <x:f>1-(F26/$B26)^2</x:f>
        <x:v>0.2194117634782926</x:v>
      </x:c>
      <x:c r="V26" s="32" t="n">
        <x:f>1-(G26/$B26)^2</x:f>
        <x:v>0.3115056121555896</x:v>
      </x:c>
    </x:row>
    <x:row r="27" ht="19" customHeight="1">
      <x:c r="A27" s="30" t="str">
        <x:v>CMCSA</x:v>
      </x:c>
      <x:c r="B27" s="39" t="n">
        <x:v>0.0710733817</x:v>
      </x:c>
      <x:c r="C27" s="39" t="n">
        <x:v>0.0710733817</x:v>
      </x:c>
      <x:c r="D27" s="39" t="n">
        <x:v>0.0640751588</x:v>
      </x:c>
      <x:c r="E27" s="39" t="n">
        <x:v>0.0638795847</x:v>
      </x:c>
      <x:c r="F27" s="39" t="n">
        <x:v>0.0566338212</x:v>
      </x:c>
      <x:c r="G27" s="39" t="n">
        <x:v>0.0517208421</x:v>
      </x:c>
      <x:c r="H27" s="32" t="n">
        <x:f>1-G27/B27</x:f>
        <x:v>0.27228955675258093</x:v>
      </x:c>
      <x:c r="I27" s="24"/>
      <x:c r="J27" s="32" t="n">
        <x:f>B27/$B27</x:f>
        <x:v>1</x:v>
      </x:c>
      <x:c r="K27" s="32" t="n">
        <x:f>C27/$B27</x:f>
        <x:v>1</x:v>
      </x:c>
      <x:c r="L27" s="32" t="n">
        <x:f>D27/$B27</x:f>
        <x:v>0.9015352480406882</x:v>
      </x:c>
      <x:c r="M27" s="32" t="n">
        <x:f>E27/$B27</x:f>
        <x:v>0.8987835272793838</x:v>
      </x:c>
      <x:c r="N27" s="32" t="n">
        <x:f>F27/$B27</x:f>
        <x:v>0.7968358877174406</x:v>
      </x:c>
      <x:c r="O27" s="32" t="n">
        <x:f>G27/$B27</x:f>
        <x:v>0.7277104432474191</x:v>
      </x:c>
      <x:c r="P27" s="24"/>
      <x:c r="Q27" s="32" t="n">
        <x:f>1-(B27/$B27)^2</x:f>
        <x:v>0</x:v>
      </x:c>
      <x:c r="R27" s="32" t="n">
        <x:f>1-(C27/$B27)^2</x:f>
        <x:v>0</x:v>
      </x:c>
      <x:c r="S27" s="32" t="n">
        <x:f>1-(D27/$B27)^2</x:f>
        <x:v>0.18723419654021478</x:v>
      </x:c>
      <x:c r="T27" s="32" t="n">
        <x:f>1-(E27/$B27)^2</x:f>
        <x:v>0.1921881710912291</x:v>
      </x:c>
      <x:c r="U27" s="32" t="n">
        <x:f>1-(F27/$B27)^2</x:f>
        <x:v>0.3650525680455583</x:v>
      </x:c>
      <x:c r="V27" s="32" t="n">
        <x:f>1-(G27/$B27)^2</x:f>
        <x:v>0.4704375107886448</x:v>
      </x:c>
    </x:row>
    <x:row r="28" ht="19" customHeight="1">
      <x:c r="A28" s="30" t="str">
        <x:v>MU</x:v>
      </x:c>
      <x:c r="B28" s="39" t="n">
        <x:v>0.1839648327</x:v>
      </x:c>
      <x:c r="C28" s="39" t="n">
        <x:v>0.1839648327</x:v>
      </x:c>
      <x:c r="D28" s="39" t="n">
        <x:v>0.1780597012</x:v>
      </x:c>
      <x:c r="E28" s="39" t="n">
        <x:v>0.1664557634</x:v>
      </x:c>
      <x:c r="F28" s="39" t="n">
        <x:v>0.1442289527</x:v>
      </x:c>
      <x:c r="G28" s="39" t="n">
        <x:v>0.1386023245</x:v>
      </x:c>
      <x:c r="H28" s="32" t="n">
        <x:f>1-G28/B28</x:f>
        <x:v>0.2465824991343576</x:v>
      </x:c>
      <x:c r="I28" s="24"/>
      <x:c r="J28" s="32" t="n">
        <x:f>B28/$B28</x:f>
        <x:v>1</x:v>
      </x:c>
      <x:c r="K28" s="32" t="n">
        <x:f>C28/$B28</x:f>
        <x:v>1</x:v>
      </x:c>
      <x:c r="L28" s="32" t="n">
        <x:f>D28/$B28</x:f>
        <x:v>0.9679007590019677</x:v>
      </x:c>
      <x:c r="M28" s="32" t="n">
        <x:f>E28/$B28</x:f>
        <x:v>0.9048238239720913</x:v>
      </x:c>
      <x:c r="N28" s="32" t="n">
        <x:f>F28/$B28</x:f>
        <x:v>0.784002847626866</x:v>
      </x:c>
      <x:c r="O28" s="32" t="n">
        <x:f>G28/$B28</x:f>
        <x:v>0.7534175008656424</x:v>
      </x:c>
      <x:c r="P28" s="24"/>
      <x:c r="Q28" s="32" t="n">
        <x:f>1-(B28/$B28)^2</x:f>
        <x:v>0</x:v>
      </x:c>
      <x:c r="R28" s="32" t="n">
        <x:f>1-(C28/$B28)^2</x:f>
        <x:v>0</x:v>
      </x:c>
      <x:c r="S28" s="32" t="n">
        <x:f>1-(D28/$B28)^2</x:f>
        <x:v>0.06316812072341482</x:v>
      </x:c>
      <x:c r="T28" s="32" t="n">
        <x:f>1-(E28/$B28)^2</x:f>
        <x:v>0.18129384757252198</x:v>
      </x:c>
      <x:c r="U28" s="32" t="n">
        <x:f>1-(F28/$B28)^2</x:f>
        <x:v>0.38533953491296513</x:v>
      </x:c>
      <x:c r="V28" s="32" t="n">
        <x:f>1-(G28/$B28)^2</x:f>
        <x:v>0.4323620693893697</x:v>
      </x:c>
    </x:row>
    <x:row r="29" ht="19" customHeight="1">
      <x:c r="A29" s="30" t="str">
        <x:v>NEM</x:v>
      </x:c>
      <x:c r="B29" s="39" t="n">
        <x:v>0.1248098645</x:v>
      </x:c>
      <x:c r="C29" s="39" t="n">
        <x:v>0.1248098645</x:v>
      </x:c>
      <x:c r="D29" s="39" t="n">
        <x:v>0.0988719853</x:v>
      </x:c>
      <x:c r="E29" s="39" t="n">
        <x:v>0.0987798785</x:v>
      </x:c>
      <x:c r="F29" s="39" t="n">
        <x:v>0.0969360046</x:v>
      </x:c>
      <x:c r="G29" s="39" t="n">
        <x:v>0.0969360046</x:v>
      </x:c>
      <x:c r="H29" s="32" t="n">
        <x:f>1-G29/B29</x:f>
        <x:v>0.223330583777695</x:v>
      </x:c>
      <x:c r="I29" s="24"/>
      <x:c r="J29" s="32" t="n">
        <x:f>B29/$B29</x:f>
        <x:v>1</x:v>
      </x:c>
      <x:c r="K29" s="32" t="n">
        <x:f>C29/$B29</x:f>
        <x:v>1</x:v>
      </x:c>
      <x:c r="L29" s="32" t="n">
        <x:f>D29/$B29</x:f>
        <x:v>0.7921808560252063</x:v>
      </x:c>
      <x:c r="M29" s="32" t="n">
        <x:f>E29/$B29</x:f>
        <x:v>0.7914428791003134</x:v>
      </x:c>
      <x:c r="N29" s="32" t="n">
        <x:f>F29/$B29</x:f>
        <x:v>0.776669416222305</x:v>
      </x:c>
      <x:c r="O29" s="32" t="n">
        <x:f>G29/$B29</x:f>
        <x:v>0.776669416222305</x:v>
      </x:c>
      <x:c r="P29" s="24"/>
      <x:c r="Q29" s="32" t="n">
        <x:f>1-(B29/$B29)^2</x:f>
        <x:v>0</x:v>
      </x:c>
      <x:c r="R29" s="32" t="n">
        <x:f>1-(C29/$B29)^2</x:f>
        <x:v>0</x:v>
      </x:c>
      <x:c r="S29" s="32" t="n">
        <x:f>1-(D29/$B29)^2</x:f>
        <x:v>0.3724494913471714</x:v>
      </x:c>
      <x:c r="T29" s="32" t="n">
        <x:f>1-(E29/$B29)^2</x:f>
        <x:v>0.37361816912140666</x:v>
      </x:c>
      <x:c r="U29" s="32" t="n">
        <x:f>1-(F29/$B29)^2</x:f>
        <x:v>0.39678461790490394</x:v>
      </x:c>
      <x:c r="V29" s="32" t="n">
        <x:f>1-(G29/$B29)^2</x:f>
        <x:v>0.39678461790490394</x:v>
      </x:c>
    </x:row>
    <x:row r="30" ht="19" customHeight="1">
      <x:c r="A30" s="30" t="str">
        <x:v>PGR</x:v>
      </x:c>
      <x:c r="B30" s="39" t="n">
        <x:v>0.054196633</x:v>
      </x:c>
      <x:c r="C30" s="39" t="n">
        <x:v>0.054196633</x:v>
      </x:c>
      <x:c r="D30" s="39" t="n">
        <x:v>0.054196633</x:v>
      </x:c>
      <x:c r="E30" s="39" t="n">
        <x:v>0.0532884111</x:v>
      </x:c>
      <x:c r="F30" s="39" t="n">
        <x:v>0.0505972198</x:v>
      </x:c>
      <x:c r="G30" s="39" t="n">
        <x:v>0.0472879969</x:v>
      </x:c>
      <x:c r="H30" s="32" t="n">
        <x:f>1-G30/B30</x:f>
        <x:v>0.1274735295825481</x:v>
      </x:c>
      <x:c r="I30" s="24"/>
      <x:c r="J30" s="32" t="n">
        <x:f>B30/$B30</x:f>
        <x:v>1</x:v>
      </x:c>
      <x:c r="K30" s="32" t="n">
        <x:f>C30/$B30</x:f>
        <x:v>1</x:v>
      </x:c>
      <x:c r="L30" s="32" t="n">
        <x:f>D30/$B30</x:f>
        <x:v>1</x:v>
      </x:c>
      <x:c r="M30" s="32" t="n">
        <x:f>E30/$B30</x:f>
        <x:v>0.983242097345789</x:v>
      </x:c>
      <x:c r="N30" s="32" t="n">
        <x:f>F30/$B30</x:f>
        <x:v>0.9335860366085842</x:v>
      </x:c>
      <x:c r="O30" s="32" t="n">
        <x:f>G30/$B30</x:f>
        <x:v>0.8725264704174519</x:v>
      </x:c>
      <x:c r="P30" s="24"/>
      <x:c r="Q30" s="32" t="n">
        <x:f>1-(B30/$B30)^2</x:f>
        <x:v>0</x:v>
      </x:c>
      <x:c r="R30" s="32" t="n">
        <x:f>1-(C30/$B30)^2</x:f>
        <x:v>0</x:v>
      </x:c>
      <x:c r="S30" s="32" t="n">
        <x:f>1-(D30/$B30)^2</x:f>
        <x:v>0</x:v>
      </x:c>
      <x:c r="T30" s="32" t="n">
        <x:f>1-(E30/$B30)^2</x:f>
        <x:v>0.033234978007053884</x:v>
      </x:c>
      <x:c r="U30" s="32" t="n">
        <x:f>1-(F30/$B30)^2</x:f>
        <x:v>0.12841711224947527</x:v>
      </x:c>
      <x:c r="V30" s="32" t="n">
        <x:f>1-(G30/$B30)^2</x:f>
        <x:v>0.23869755842086338</x:v>
      </x:c>
    </x:row>
    <x:row r="31" ht="19" customHeight="1">
      <x:c r="A31" s="30" t="str">
        <x:v>ORKA</x:v>
      </x:c>
      <x:c r="B31" s="39" t="n">
        <x:v>0.2015694218</x:v>
      </x:c>
      <x:c r="C31" s="39" t="n">
        <x:v>0.2015694218</x:v>
      </x:c>
      <x:c r="D31" s="39" t="n">
        <x:v>0.2015694218</x:v>
      </x:c>
      <x:c r="E31" s="39" t="n">
        <x:v>0.2013130269</x:v>
      </x:c>
      <x:c r="F31" s="39" t="n">
        <x:v>0.1996242018</x:v>
      </x:c>
      <x:c r="G31" s="39" t="n">
        <x:v>0.1928523931</x:v>
      </x:c>
      <x:c r="H31" s="32" t="n">
        <x:f>1-G31/B31</x:f>
        <x:v>0.043245789079303765</x:v>
      </x:c>
      <x:c r="I31" s="24"/>
      <x:c r="J31" s="32" t="n">
        <x:f>B31/$B31</x:f>
        <x:v>1</x:v>
      </x:c>
      <x:c r="K31" s="32" t="n">
        <x:f>C31/$B31</x:f>
        <x:v>1</x:v>
      </x:c>
      <x:c r="L31" s="32" t="n">
        <x:f>D31/$B31</x:f>
        <x:v>1</x:v>
      </x:c>
      <x:c r="M31" s="32" t="n">
        <x:f>E31/$B31</x:f>
        <x:v>0.9987280069679695</x:v>
      </x:c>
      <x:c r="N31" s="32" t="n">
        <x:f>F31/$B31</x:f>
        <x:v>0.9903496275247042</x:v>
      </x:c>
      <x:c r="O31" s="32" t="n">
        <x:f>G31/$B31</x:f>
        <x:v>0.9567542109206962</x:v>
      </x:c>
      <x:c r="P31" s="24"/>
      <x:c r="Q31" s="32" t="n">
        <x:f>1-(B31/$B31)^2</x:f>
        <x:v>0</x:v>
      </x:c>
      <x:c r="R31" s="32" t="n">
        <x:f>1-(C31/$B31)^2</x:f>
        <x:v>0</x:v>
      </x:c>
      <x:c r="S31" s="32" t="n">
        <x:f>1-(D31/$B31)^2</x:f>
        <x:v>0</x:v>
      </x:c>
      <x:c r="T31" s="32" t="n">
        <x:f>1-(E31/$B31)^2</x:f>
        <x:v>0.0025423680977875174</x:v>
      </x:c>
      <x:c r="U31" s="32" t="n">
        <x:f>1-(F31/$B31)^2</x:f>
        <x:v>0.019207615261679578</x:v>
      </x:c>
      <x:c r="V31" s="32" t="n">
        <x:f>1-(G31/$B31)^2</x:f>
        <x:v>0.08462137988551588</x:v>
      </x:c>
    </x:row>
    <x:row r="32" ht="19" customHeight="1">
      <x:c r="A32" s="30" t="str">
        <x:v>UPST</x:v>
      </x:c>
      <x:c r="B32" s="39" t="n">
        <x:v>0.2785196281</x:v>
      </x:c>
      <x:c r="C32" s="39" t="n">
        <x:v>0.2785196281</x:v>
      </x:c>
      <x:c r="D32" s="39" t="n">
        <x:v>0.2785196281</x:v>
      </x:c>
      <x:c r="E32" s="39" t="n">
        <x:v>0.2555960786</x:v>
      </x:c>
      <x:c r="F32" s="39" t="n">
        <x:v>0.2490951296</x:v>
      </x:c>
      <x:c r="G32" s="39" t="n">
        <x:v>0.2409654367</x:v>
      </x:c>
      <x:c r="H32" s="32" t="n">
        <x:f>1-G32/B32</x:f>
        <x:v>0.13483499046794833</x:v>
      </x:c>
      <x:c r="I32" s="24"/>
      <x:c r="J32" s="32" t="n">
        <x:f>B32/$B32</x:f>
        <x:v>1</x:v>
      </x:c>
      <x:c r="K32" s="32" t="n">
        <x:f>C32/$B32</x:f>
        <x:v>1</x:v>
      </x:c>
      <x:c r="L32" s="32" t="n">
        <x:f>D32/$B32</x:f>
        <x:v>1</x:v>
      </x:c>
      <x:c r="M32" s="32" t="n">
        <x:f>E32/$B32</x:f>
        <x:v>0.9176950304853576</x:v>
      </x:c>
      <x:c r="N32" s="32" t="n">
        <x:f>F32/$B32</x:f>
        <x:v>0.8943539502019031</x:v>
      </x:c>
      <x:c r="O32" s="32" t="n">
        <x:f>G32/$B32</x:f>
        <x:v>0.8651650095320517</x:v>
      </x:c>
      <x:c r="P32" s="24"/>
      <x:c r="Q32" s="32" t="n">
        <x:f>1-(B32/$B32)^2</x:f>
        <x:v>0</x:v>
      </x:c>
      <x:c r="R32" s="32" t="n">
        <x:f>1-(C32/$B32)^2</x:f>
        <x:v>0</x:v>
      </x:c>
      <x:c r="S32" s="32" t="n">
        <x:f>1-(D32/$B32)^2</x:f>
        <x:v>0</x:v>
      </x:c>
      <x:c r="T32" s="32" t="n">
        <x:f>1-(E32/$B32)^2</x:f>
        <x:v>0.15783583102247856</x:v>
      </x:c>
      <x:c r="U32" s="32" t="n">
        <x:f>1-(F32/$B32)^2</x:f>
        <x:v>0.20013101175825176</x:v>
      </x:c>
      <x:c r="V32" s="32" t="n">
        <x:f>1-(G32/$B32)^2</x:f>
        <x:v>0.251489506281405</x:v>
      </x:c>
    </x:row>
    <x:row r="33" ht="19" customHeight="1">
      <x:c r="A33" s="30" t="str">
        <x:v>PG</x:v>
      </x:c>
      <x:c r="B33" s="39" t="n">
        <x:v>0.0521258075</x:v>
      </x:c>
      <x:c r="C33" s="39" t="n">
        <x:v>0.0521258075</x:v>
      </x:c>
      <x:c r="D33" s="39" t="n">
        <x:v>0.0486366575</x:v>
      </x:c>
      <x:c r="E33" s="39" t="n">
        <x:v>0.0470028471</x:v>
      </x:c>
      <x:c r="F33" s="39" t="n">
        <x:v>0.0356631931</x:v>
      </x:c>
      <x:c r="G33" s="39" t="n">
        <x:v>0.0334178589</x:v>
      </x:c>
      <x:c r="H33" s="32" t="n">
        <x:f>1-G33/B33</x:f>
        <x:v>0.35889992879247</x:v>
      </x:c>
      <x:c r="I33" s="24"/>
      <x:c r="J33" s="32" t="n">
        <x:f>B33/$B33</x:f>
        <x:v>1</x:v>
      </x:c>
      <x:c r="K33" s="32" t="n">
        <x:f>C33/$B33</x:f>
        <x:v>1</x:v>
      </x:c>
      <x:c r="L33" s="32" t="n">
        <x:f>D33/$B33</x:f>
        <x:v>0.9330629074667092</x:v>
      </x:c>
      <x:c r="M33" s="32" t="n">
        <x:f>E33/$B33</x:f>
        <x:v>0.9017193086169456</x:v>
      </x:c>
      <x:c r="N33" s="32" t="n">
        <x:f>F33/$B33</x:f>
        <x:v>0.6841753597774</x:v>
      </x:c>
      <x:c r="O33" s="32" t="n">
        <x:f>G33/$B33</x:f>
        <x:v>0.64110007120753</x:v>
      </x:c>
      <x:c r="P33" s="24"/>
      <x:c r="Q33" s="32" t="n">
        <x:f>1-(B33/$B33)^2</x:f>
        <x:v>0</x:v>
      </x:c>
      <x:c r="R33" s="32" t="n">
        <x:f>1-(C33/$B33)^2</x:f>
        <x:v>0</x:v>
      </x:c>
      <x:c r="S33" s="32" t="n">
        <x:f>1-(D33/$B33)^2</x:f>
        <x:v>0.1293936107097713</x:v>
      </x:c>
      <x:c r="T33" s="32" t="n">
        <x:f>1-(E33/$B33)^2</x:f>
        <x:v>0.18690228846737766</x:v>
      </x:c>
      <x:c r="U33" s="32" t="n">
        <x:f>1-(F33/$B33)^2</x:f>
        <x:v>0.5319040770734653</x:v>
      </x:c>
      <x:c r="V33" s="32" t="n">
        <x:f>1-(G33/$B33)^2</x:f>
        <x:v>0.5889906986977</x:v>
      </x:c>
    </x:row>
    <x:row r="34" ht="19" customHeight="1">
      <x:c r="A34" s="30" t="str">
        <x:v>F</x:v>
      </x:c>
      <x:c r="B34" s="39" t="n">
        <x:v>0.1042902949</x:v>
      </x:c>
      <x:c r="C34" s="39" t="n">
        <x:v>0.1042902949</x:v>
      </x:c>
      <x:c r="D34" s="39" t="n">
        <x:v>0.0942895977</x:v>
      </x:c>
      <x:c r="E34" s="39" t="n">
        <x:v>0.0872513391</x:v>
      </x:c>
      <x:c r="F34" s="39" t="n">
        <x:v>0.0861383371</x:v>
      </x:c>
      <x:c r="G34" s="39" t="n">
        <x:v>0.0861383371</x:v>
      </x:c>
      <x:c r="H34" s="32" t="n">
        <x:f>1-G34/B34</x:f>
        <x:v>0.17405222429762246</x:v>
      </x:c>
      <x:c r="I34" s="24"/>
      <x:c r="J34" s="32" t="n">
        <x:f>B34/$B34</x:f>
        <x:v>1</x:v>
      </x:c>
      <x:c r="K34" s="32" t="n">
        <x:f>C34/$B34</x:f>
        <x:v>1</x:v>
      </x:c>
      <x:c r="L34" s="32" t="n">
        <x:f>D34/$B34</x:f>
        <x:v>0.9041071155318021</x:v>
      </x:c>
      <x:c r="M34" s="32" t="n">
        <x:f>E34/$B34</x:f>
        <x:v>0.8366199288597468</x:v>
      </x:c>
      <x:c r="N34" s="32" t="n">
        <x:f>F34/$B34</x:f>
        <x:v>0.8259477757023775</x:v>
      </x:c>
      <x:c r="O34" s="32" t="n">
        <x:f>G34/$B34</x:f>
        <x:v>0.8259477757023775</x:v>
      </x:c>
      <x:c r="P34" s="24"/>
      <x:c r="Q34" s="32" t="n">
        <x:f>1-(B34/$B34)^2</x:f>
        <x:v>0</x:v>
      </x:c>
      <x:c r="R34" s="32" t="n">
        <x:f>1-(C34/$B34)^2</x:f>
        <x:v>0</x:v>
      </x:c>
      <x:c r="S34" s="32" t="n">
        <x:f>1-(D34/$B34)^2</x:f>
        <x:v>0.18259032364476457</x:v>
      </x:c>
      <x:c r="T34" s="32" t="n">
        <x:f>1-(E34/$B34)^2</x:f>
        <x:v>0.30006709463471226</x:v>
      </x:c>
      <x:c r="U34" s="32" t="n">
        <x:f>1-(F34/$B34)^2</x:f>
        <x:v>0.31781027181229504</x:v>
      </x:c>
      <x:c r="V34" s="32" t="n">
        <x:f>1-(G34/$B34)^2</x:f>
        <x:v>0.31781027181229504</x:v>
      </x:c>
    </x:row>
    <x:row r="35" ht="19" customHeight="1">
      <x:c r="A35" s="30" t="str">
        <x:v>HPE</x:v>
      </x:c>
      <x:c r="B35" s="39" t="n">
        <x:v>0.1168563953</x:v>
      </x:c>
      <x:c r="C35" s="39" t="n">
        <x:v>0.1168563953</x:v>
      </x:c>
      <x:c r="D35" s="39" t="n">
        <x:v>0.1168563953</x:v>
      </x:c>
      <x:c r="E35" s="39" t="n">
        <x:v>0.1044050089</x:v>
      </x:c>
      <x:c r="F35" s="39" t="n">
        <x:v>0.0962358065</x:v>
      </x:c>
      <x:c r="G35" s="39" t="n">
        <x:v>0.081109528</x:v>
      </x:c>
      <x:c r="H35" s="32" t="n">
        <x:f>1-G35/B35</x:f>
        <x:v>0.3059042443353548</x:v>
      </x:c>
      <x:c r="I35" s="24"/>
      <x:c r="J35" s="32" t="n">
        <x:f>B35/$B35</x:f>
        <x:v>1</x:v>
      </x:c>
      <x:c r="K35" s="32" t="n">
        <x:f>C35/$B35</x:f>
        <x:v>1</x:v>
      </x:c>
      <x:c r="L35" s="32" t="n">
        <x:f>D35/$B35</x:f>
        <x:v>1</x:v>
      </x:c>
      <x:c r="M35" s="32" t="n">
        <x:f>E35/$B35</x:f>
        <x:v>0.8934471120041472</x:v>
      </x:c>
      <x:c r="N35" s="32" t="n">
        <x:f>F35/$B35</x:f>
        <x:v>0.823539064789208</x:v>
      </x:c>
      <x:c r="O35" s="32" t="n">
        <x:f>G35/$B35</x:f>
        <x:v>0.6940957556646452</x:v>
      </x:c>
      <x:c r="P35" s="24"/>
      <x:c r="Q35" s="32" t="n">
        <x:f>1-(B35/$B35)^2</x:f>
        <x:v>0</x:v>
      </x:c>
      <x:c r="R35" s="32" t="n">
        <x:f>1-(C35/$B35)^2</x:f>
        <x:v>0</x:v>
      </x:c>
      <x:c r="S35" s="32" t="n">
        <x:f>1-(D35/$B35)^2</x:f>
        <x:v>0</x:v>
      </x:c>
      <x:c r="T35" s="32" t="n">
        <x:f>1-(E35/$B35)^2</x:f>
        <x:v>0.20175225805144892</x:v>
      </x:c>
      <x:c r="U35" s="32" t="n">
        <x:f>1-(F35/$B35)^2</x:f>
        <x:v>0.32178340876611666</x:v>
      </x:c>
      <x:c r="V35" s="32" t="n">
        <x:f>1-(G35/$B35)^2</x:f>
        <x:v>0.5182310819683251</x:v>
      </x:c>
    </x:row>
    <x:row r="36" ht="19" customHeight="1">
      <x:c r="A36" s="30" t="str">
        <x:v>BA</x:v>
      </x:c>
      <x:c r="B36" s="39" t="n">
        <x:v>0.0962072134</x:v>
      </x:c>
      <x:c r="C36" s="39" t="n">
        <x:v>0.0962072134</x:v>
      </x:c>
      <x:c r="D36" s="39" t="n">
        <x:v>0.0852830026</x:v>
      </x:c>
      <x:c r="E36" s="39" t="n">
        <x:v>0.0809781889</x:v>
      </x:c>
      <x:c r="F36" s="39" t="n">
        <x:v>0.0802975385</x:v>
      </x:c>
      <x:c r="G36" s="39" t="n">
        <x:v>0.0772138002</x:v>
      </x:c>
      <x:c r="H36" s="32" t="n">
        <x:f>1-G36/B36</x:f>
        <x:v>0.19742192428993066</x:v>
      </x:c>
      <x:c r="I36" s="24"/>
      <x:c r="J36" s="32" t="n">
        <x:f>B36/$B36</x:f>
        <x:v>1</x:v>
      </x:c>
      <x:c r="K36" s="32" t="n">
        <x:f>C36/$B36</x:f>
        <x:v>1</x:v>
      </x:c>
      <x:c r="L36" s="32" t="n">
        <x:f>D36/$B36</x:f>
        <x:v>0.8864512294459617</x:v>
      </x:c>
      <x:c r="M36" s="32" t="n">
        <x:f>E36/$B36</x:f>
        <x:v>0.841706001433776</x:v>
      </x:c>
      <x:c r="N36" s="32" t="n">
        <x:f>F36/$B36</x:f>
        <x:v>0.8346311639455508</x:v>
      </x:c>
      <x:c r="O36" s="32" t="n">
        <x:f>G36/$B36</x:f>
        <x:v>0.8025780757100693</x:v>
      </x:c>
      <x:c r="P36" s="24"/>
      <x:c r="Q36" s="32" t="n">
        <x:f>1-(B36/$B36)^2</x:f>
        <x:v>0</x:v>
      </x:c>
      <x:c r="R36" s="32" t="n">
        <x:f>1-(C36/$B36)^2</x:f>
        <x:v>0</x:v>
      </x:c>
      <x:c r="S36" s="32" t="n">
        <x:f>1-(D36/$B36)^2</x:f>
        <x:v>0.214204217813743</x:v>
      </x:c>
      <x:c r="T36" s="32" t="n">
        <x:f>1-(E36/$B36)^2</x:f>
        <x:v>0.2915310071503642</x:v>
      </x:c>
      <x:c r="U36" s="32" t="n">
        <x:f>1-(F36/$B36)^2</x:f>
        <x:v>0.303390820170895</x:v>
      </x:c>
      <x:c r="V36" s="32" t="n">
        <x:f>1-(G36/$B36)^2</x:f>
        <x:v>0.35586843238952226</x:v>
      </x:c>
    </x:row>
    <x:row r="37" ht="19" customHeight="1">
      <x:c r="A37" s="30" t="str">
        <x:v>HII</x:v>
      </x:c>
      <x:c r="B37" s="39" t="n">
        <x:v>0.0944203736</x:v>
      </x:c>
      <x:c r="C37" s="39" t="n">
        <x:v>0.0944203736</x:v>
      </x:c>
      <x:c r="D37" s="39" t="n">
        <x:v>0.0862561622</x:v>
      </x:c>
      <x:c r="E37" s="39" t="n">
        <x:v>0.0849614112</x:v>
      </x:c>
      <x:c r="F37" s="39" t="n">
        <x:v>0.0816472695</x:v>
      </x:c>
      <x:c r="G37" s="39" t="n">
        <x:v>0.0816472695</x:v>
      </x:c>
      <x:c r="H37" s="32" t="n">
        <x:f>1-G37/B37</x:f>
        <x:v>0.13527910993141845</x:v>
      </x:c>
      <x:c r="I37" s="24"/>
      <x:c r="J37" s="32" t="n">
        <x:f>B37/$B37</x:f>
        <x:v>1</x:v>
      </x:c>
      <x:c r="K37" s="32" t="n">
        <x:f>C37/$B37</x:f>
        <x:v>1</x:v>
      </x:c>
      <x:c r="L37" s="32" t="n">
        <x:f>D37/$B37</x:f>
        <x:v>0.9135333711494656</x:v>
      </x:c>
      <x:c r="M37" s="32" t="n">
        <x:f>E37/$B37</x:f>
        <x:v>0.8998207480085634</x:v>
      </x:c>
      <x:c r="N37" s="32" t="n">
        <x:f>F37/$B37</x:f>
        <x:v>0.8647208900685815</x:v>
      </x:c>
      <x:c r="O37" s="32" t="n">
        <x:f>G37/$B37</x:f>
        <x:v>0.8647208900685815</x:v>
      </x:c>
      <x:c r="P37" s="24"/>
      <x:c r="Q37" s="32" t="n">
        <x:f>1-(B37/$B37)^2</x:f>
        <x:v>0</x:v>
      </x:c>
      <x:c r="R37" s="32" t="n">
        <x:f>1-(C37/$B37)^2</x:f>
        <x:v>0</x:v>
      </x:c>
      <x:c r="S37" s="32" t="n">
        <x:f>1-(D37/$B37)^2</x:f>
        <x:v>0.1654567797962927</x:v>
      </x:c>
      <x:c r="T37" s="32" t="n">
        <x:f>1-(E37/$B37)^2</x:f>
        <x:v>0.19032262145330947</x:v>
      </x:c>
      <x:c r="U37" s="32" t="n">
        <x:f>1-(F37/$B37)^2</x:f>
        <x:v>0.2522577822790001</x:v>
      </x:c>
      <x:c r="V37" s="32" t="n">
        <x:f>1-(G37/$B37)^2</x:f>
        <x:v>0.2522577822790001</x:v>
      </x:c>
    </x:row>
    <x:row r="38" ht="19" customHeight="1">
      <x:c r="A38" s="30" t="str">
        <x:v>AMD</x:v>
      </x:c>
      <x:c r="B38" s="39" t="n">
        <x:v>0.1690601026</x:v>
      </x:c>
      <x:c r="C38" s="39" t="n">
        <x:v>0.1690601026</x:v>
      </x:c>
      <x:c r="D38" s="39" t="n">
        <x:v>0.1645610155</x:v>
      </x:c>
      <x:c r="E38" s="39" t="n">
        <x:v>0.1389002754</x:v>
      </x:c>
      <x:c r="F38" s="39" t="n">
        <x:v>0.1036756296</x:v>
      </x:c>
      <x:c r="G38" s="39" t="n">
        <x:v>0.1036756296</x:v>
      </x:c>
      <x:c r="H38" s="32" t="n">
        <x:f>1-G38/B38</x:f>
        <x:v>0.38675282928640553</x:v>
      </x:c>
      <x:c r="I38" s="24"/>
      <x:c r="J38" s="32" t="n">
        <x:f>B38/$B38</x:f>
        <x:v>1</x:v>
      </x:c>
      <x:c r="K38" s="32" t="n">
        <x:f>C38/$B38</x:f>
        <x:v>1</x:v>
      </x:c>
      <x:c r="L38" s="32" t="n">
        <x:f>D38/$B38</x:f>
        <x:v>0.9733876471692143</x:v>
      </x:c>
      <x:c r="M38" s="32" t="n">
        <x:f>E38/$B38</x:f>
        <x:v>0.8216029285670148</x:v>
      </x:c>
      <x:c r="N38" s="32" t="n">
        <x:f>F38/$B38</x:f>
        <x:v>0.6132471707135945</x:v>
      </x:c>
      <x:c r="O38" s="32" t="n">
        <x:f>G38/$B38</x:f>
        <x:v>0.6132471707135945</x:v>
      </x:c>
      <x:c r="P38" s="24"/>
      <x:c r="Q38" s="32" t="n">
        <x:f>1-(B38/$B38)^2</x:f>
        <x:v>0</x:v>
      </x:c>
      <x:c r="R38" s="32" t="n">
        <x:f>1-(C38/$B38)^2</x:f>
        <x:v>0</x:v>
      </x:c>
      <x:c r="S38" s="32" t="n">
        <x:f>1-(D38/$B38)^2</x:f>
        <x:v>0.05251648833838107</x:v>
      </x:c>
      <x:c r="T38" s="32" t="n">
        <x:f>1-(E38/$B38)^2</x:f>
        <x:v>0.3249686277701048</x:v>
      </x:c>
      <x:c r="U38" s="32" t="n">
        <x:f>1-(F38/$B38)^2</x:f>
        <x:v>0.6239279076117715</x:v>
      </x:c>
      <x:c r="V38" s="32" t="n">
        <x:f>1-(G38/$B38)^2</x:f>
        <x:v>0.6239279076117715</x:v>
      </x:c>
    </x:row>
    <x:row r="39" ht="19" customHeight="1">
      <x:c r="A39" s="30" t="str">
        <x:v>LLY</x:v>
      </x:c>
      <x:c r="B39" s="39" t="n">
        <x:v>0.0896380793</x:v>
      </x:c>
      <x:c r="C39" s="39" t="n">
        <x:v>0.0896380793</x:v>
      </x:c>
      <x:c r="D39" s="39" t="n">
        <x:v>0.0896380793</x:v>
      </x:c>
      <x:c r="E39" s="39" t="n">
        <x:v>0.0880056059</x:v>
      </x:c>
      <x:c r="F39" s="39" t="n">
        <x:v>0.073598308</x:v>
      </x:c>
      <x:c r="G39" s="39" t="n">
        <x:v>0.0694168027</x:v>
      </x:c>
      <x:c r="H39" s="32" t="n">
        <x:f>1-G39/B39</x:f>
        <x:v>0.22558801747997748</x:v>
      </x:c>
      <x:c r="I39" s="24"/>
      <x:c r="J39" s="32" t="n">
        <x:f>B39/$B39</x:f>
        <x:v>1</x:v>
      </x:c>
      <x:c r="K39" s="32" t="n">
        <x:f>C39/$B39</x:f>
        <x:v>1</x:v>
      </x:c>
      <x:c r="L39" s="32" t="n">
        <x:f>D39/$B39</x:f>
        <x:v>1</x:v>
      </x:c>
      <x:c r="M39" s="32" t="n">
        <x:f>E39/$B39</x:f>
        <x:v>0.9817881706887488</x:v>
      </x:c>
      <x:c r="N39" s="32" t="n">
        <x:f>F39/$B39</x:f>
        <x:v>0.82106074309872</x:v>
      </x:c>
      <x:c r="O39" s="32" t="n">
        <x:f>G39/$B39</x:f>
        <x:v>0.7744119825200225</x:v>
      </x:c>
      <x:c r="P39" s="24"/>
      <x:c r="Q39" s="32" t="n">
        <x:f>1-(B39/$B39)^2</x:f>
        <x:v>0</x:v>
      </x:c>
      <x:c r="R39" s="32" t="n">
        <x:f>1-(C39/$B39)^2</x:f>
        <x:v>0</x:v>
      </x:c>
      <x:c r="S39" s="32" t="n">
        <x:f>1-(D39/$B39)^2</x:f>
        <x:v>0</x:v>
      </x:c>
      <x:c r="T39" s="32" t="n">
        <x:f>1-(E39/$B39)^2</x:f>
        <x:v>0.036091987895640276</x:v>
      </x:c>
      <x:c r="U39" s="32" t="n">
        <x:f>1-(F39/$B39)^2</x:f>
        <x:v>0.3258592561421777</x:v>
      </x:c>
      <x:c r="V39" s="32" t="n">
        <x:f>1-(G39/$B39)^2</x:f>
        <x:v>0.40028608132940835</x:v>
      </x:c>
    </x:row>
    <x:row r="40" ht="19" customHeight="1">
      <x:c r="A40" s="30" t="str">
        <x:v>WELL</x:v>
      </x:c>
      <x:c r="B40" s="39" t="n">
        <x:v>0.0726453304</x:v>
      </x:c>
      <x:c r="C40" s="39" t="n">
        <x:v>0.0726453304</x:v>
      </x:c>
      <x:c r="D40" s="39" t="n">
        <x:v>0.0672638444</x:v>
      </x:c>
      <x:c r="E40" s="39" t="n">
        <x:v>0.0655545181</x:v>
      </x:c>
      <x:c r="F40" s="39" t="n">
        <x:v>0.0572699382</x:v>
      </x:c>
      <x:c r="G40" s="39" t="n">
        <x:v>0.0520258846</x:v>
      </x:c>
      <x:c r="H40" s="32" t="n">
        <x:f>1-G40/B40</x:f>
        <x:v>0.28383718108879297</x:v>
      </x:c>
      <x:c r="I40" s="24"/>
      <x:c r="J40" s="32" t="n">
        <x:f>B40/$B40</x:f>
        <x:v>1</x:v>
      </x:c>
      <x:c r="K40" s="32" t="n">
        <x:f>C40/$B40</x:f>
        <x:v>1</x:v>
      </x:c>
      <x:c r="L40" s="32" t="n">
        <x:f>D40/$B40</x:f>
        <x:v>0.9259211022873949</x:v>
      </x:c>
      <x:c r="M40" s="32" t="n">
        <x:f>E40/$B40</x:f>
        <x:v>0.9023913545308895</x:v>
      </x:c>
      <x:c r="N40" s="32" t="n">
        <x:f>F40/$B40</x:f>
        <x:v>0.7883498895890493</x:v>
      </x:c>
      <x:c r="O40" s="32" t="n">
        <x:f>G40/$B40</x:f>
        <x:v>0.716162818911207</x:v>
      </x:c>
      <x:c r="P40" s="24"/>
      <x:c r="Q40" s="32" t="n">
        <x:f>1-(B40/$B40)^2</x:f>
        <x:v>0</x:v>
      </x:c>
      <x:c r="R40" s="32" t="n">
        <x:f>1-(C40/$B40)^2</x:f>
        <x:v>0</x:v>
      </x:c>
      <x:c r="S40" s="32" t="n">
        <x:f>1-(D40/$B40)^2</x:f>
        <x:v>0.1426701123388956</x:v>
      </x:c>
      <x:c r="T40" s="32" t="n">
        <x:f>1-(E40/$B40)^2</x:f>
        <x:v>0.1856898432679065</x:v>
      </x:c>
      <x:c r="U40" s="32" t="n">
        <x:f>1-(F40/$B40)^2</x:f>
        <x:v>0.37850445158493384</x:v>
      </x:c>
      <x:c r="V40" s="32" t="n">
        <x:f>1-(G40/$B40)^2</x:f>
        <x:v>0.4871108168091537</x:v>
      </x:c>
    </x:row>
    <x:row r="41" ht="19" customHeight="1">
      <x:c r="A41" s="30" t="str">
        <x:v>NOK</x:v>
      </x:c>
      <x:c r="B41" s="39" t="n">
        <x:v>0.1329848132</x:v>
      </x:c>
      <x:c r="C41" s="39" t="n">
        <x:v>0.132794841</x:v>
      </x:c>
      <x:c r="D41" s="39" t="n">
        <x:v>0.132794841</x:v>
      </x:c>
      <x:c r="E41" s="39" t="n">
        <x:v>0.1267286732</x:v>
      </x:c>
      <x:c r="F41" s="39" t="n">
        <x:v>0.116727857</x:v>
      </x:c>
      <x:c r="G41" s="39" t="n">
        <x:v>0.1132786332</x:v>
      </x:c>
      <x:c r="H41" s="32" t="n">
        <x:f>1-G41/B41</x:f>
        <x:v>0.14818368748891086</x:v>
      </x:c>
      <x:c r="I41" s="24"/>
      <x:c r="J41" s="32" t="n">
        <x:f>B41/$B41</x:f>
        <x:v>1</x:v>
      </x:c>
      <x:c r="K41" s="32" t="n">
        <x:f>C41/$B41</x:f>
        <x:v>0.9985714744757035</x:v>
      </x:c>
      <x:c r="L41" s="32" t="n">
        <x:f>D41/$B41</x:f>
        <x:v>0.9985714744757035</x:v>
      </x:c>
      <x:c r="M41" s="32" t="n">
        <x:f>E41/$B41</x:f>
        <x:v>0.9529559815932426</x:v>
      </x:c>
      <x:c r="N41" s="32" t="n">
        <x:f>F41/$B41</x:f>
        <x:v>0.8777532876964631</x:v>
      </x:c>
      <x:c r="O41" s="32" t="n">
        <x:f>G41/$B41</x:f>
        <x:v>0.8518163125110891</x:v>
      </x:c>
      <x:c r="P41" s="24"/>
      <x:c r="Q41" s="32" t="n">
        <x:f>1-(B41/$B41)^2</x:f>
        <x:v>0</x:v>
      </x:c>
      <x:c r="R41" s="32" t="n">
        <x:f>1-(C41/$B41)^2</x:f>
        <x:v>0.002855010363419397</x:v>
      </x:c>
      <x:c r="S41" s="32" t="n">
        <x:f>1-(D41/$B41)^2</x:f>
        <x:v>0.002855010363419397</x:v>
      </x:c>
      <x:c r="T41" s="32" t="n">
        <x:f>1-(E41/$B41)^2</x:f>
        <x:v>0.09187489714565955</x:v>
      </x:c>
      <x:c r="U41" s="32" t="n">
        <x:f>1-(F41/$B41)^2</x:f>
        <x:v>0.22954916593805008</x:v>
      </x:c>
      <x:c r="V41" s="32" t="n">
        <x:f>1-(G41/$B41)^2</x:f>
        <x:v>0.2744089697400105</x:v>
      </x:c>
    </x:row>
    <x:row r="42" ht="19" customHeight="1">
      <x:c r="A42" s="30" t="str">
        <x:v>MSFT</x:v>
      </x:c>
      <x:c r="B42" s="39" t="n">
        <x:v>0.0817084694</x:v>
      </x:c>
      <x:c r="C42" s="39" t="n">
        <x:v>0.0817084694</x:v>
      </x:c>
      <x:c r="D42" s="39" t="n">
        <x:v>0.0817084694</x:v>
      </x:c>
      <x:c r="E42" s="39" t="n">
        <x:v>0.0601611591</x:v>
      </x:c>
      <x:c r="F42" s="39" t="n">
        <x:v>0.0588364142</x:v>
      </x:c>
      <x:c r="G42" s="39" t="n">
        <x:v>0.0563976327</x:v>
      </x:c>
      <x:c r="H42" s="32" t="n">
        <x:f>1-G42/B42</x:f>
        <x:v>0.3097700505940453</x:v>
      </x:c>
      <x:c r="I42" s="24"/>
      <x:c r="J42" s="32" t="n">
        <x:f>B42/$B42</x:f>
        <x:v>1</x:v>
      </x:c>
      <x:c r="K42" s="32" t="n">
        <x:f>C42/$B42</x:f>
        <x:v>1</x:v>
      </x:c>
      <x:c r="L42" s="32" t="n">
        <x:f>D42/$B42</x:f>
        <x:v>1</x:v>
      </x:c>
      <x:c r="M42" s="32" t="n">
        <x:f>E42/$B42</x:f>
        <x:v>0.7362903691841767</x:v>
      </x:c>
      <x:c r="N42" s="32" t="n">
        <x:f>F42/$B42</x:f>
        <x:v>0.7200773020477116</x:v>
      </x:c>
      <x:c r="O42" s="32" t="n">
        <x:f>G42/$B42</x:f>
        <x:v>0.6902299494059547</x:v>
      </x:c>
      <x:c r="P42" s="24"/>
      <x:c r="Q42" s="32" t="n">
        <x:f>1-(B42/$B42)^2</x:f>
        <x:v>0</x:v>
      </x:c>
      <x:c r="R42" s="32" t="n">
        <x:f>1-(C42/$B42)^2</x:f>
        <x:v>0</x:v>
      </x:c>
      <x:c r="S42" s="32" t="n">
        <x:f>1-(D42/$B42)^2</x:f>
        <x:v>0</x:v>
      </x:c>
      <x:c r="T42" s="32" t="n">
        <x:f>1-(E42/$B42)^2</x:f>
        <x:v>0.45787649224662885</x:v>
      </x:c>
      <x:c r="U42" s="32" t="n">
        <x:f>1-(F42/$B42)^2</x:f>
        <x:v>0.4814886790756887</x:v>
      </x:c>
      <x:c r="V42" s="32" t="n">
        <x:f>1-(G42/$B42)^2</x:f>
        <x:v>0.5235826169430532</x:v>
      </x:c>
    </x:row>
    <x:row r="43" ht="19" customHeight="1">
      <x:c r="A43" s="30" t="str">
        <x:v>GOOGL</x:v>
      </x:c>
      <x:c r="B43" s="39" t="n">
        <x:v>0.0947913027</x:v>
      </x:c>
      <x:c r="C43" s="39" t="n">
        <x:v>0.0947913027</x:v>
      </x:c>
      <x:c r="D43" s="39" t="n">
        <x:v>0.0917519908</x:v>
      </x:c>
      <x:c r="E43" s="39" t="n">
        <x:v>0.0791994844</x:v>
      </x:c>
      <x:c r="F43" s="39" t="n">
        <x:v>0.076710857</x:v>
      </x:c>
      <x:c r="G43" s="39" t="n">
        <x:v>0.0635486474</x:v>
      </x:c>
      <x:c r="H43" s="32" t="n">
        <x:f>1-G43/B43</x:f>
        <x:v>0.3295941126463704</x:v>
      </x:c>
      <x:c r="I43" s="24"/>
      <x:c r="J43" s="32" t="n">
        <x:f>B43/$B43</x:f>
        <x:v>1</x:v>
      </x:c>
      <x:c r="K43" s="32" t="n">
        <x:f>C43/$B43</x:f>
        <x:v>1</x:v>
      </x:c>
      <x:c r="L43" s="32" t="n">
        <x:f>D43/$B43</x:f>
        <x:v>0.9679368062952046</x:v>
      </x:c>
      <x:c r="M43" s="32" t="n">
        <x:f>E43/$B43</x:f>
        <x:v>0.835514252300702</x:v>
      </x:c>
      <x:c r="N43" s="32" t="n">
        <x:f>F43/$B43</x:f>
        <x:v>0.8092604998032166</x:v>
      </x:c>
      <x:c r="O43" s="32" t="n">
        <x:f>G43/$B43</x:f>
        <x:v>0.6704058873536296</x:v>
      </x:c>
      <x:c r="P43" s="24"/>
      <x:c r="Q43" s="32" t="n">
        <x:f>1-(B43/$B43)^2</x:f>
        <x:v>0</x:v>
      </x:c>
      <x:c r="R43" s="32" t="n">
        <x:f>1-(C43/$B43)^2</x:f>
        <x:v>0</x:v>
      </x:c>
      <x:c r="S43" s="32" t="n">
        <x:f>1-(D43/$B43)^2</x:f>
        <x:v>0.0630983390190395</x:v>
      </x:c>
      <x:c r="T43" s="32" t="n">
        <x:f>1-(E43/$B43)^2</x:f>
        <x:v>0.30191593420239893</x:v>
      </x:c>
      <x:c r="U43" s="32" t="n">
        <x:f>1-(F43/$B43)^2</x:f>
        <x:v>0.3450974434582481</x:v>
      </x:c>
      <x:c r="V43" s="32" t="n">
        <x:f>1-(G43/$B43)^2</x:f>
        <x:v>0.5505559462015925</x:v>
      </x:c>
    </x:row>
    <x:row r="44" ht="19" customHeight="1">
      <x:c r="A44" s="30" t="str">
        <x:v>COST</x:v>
      </x:c>
      <x:c r="B44" s="39" t="n">
        <x:v>0.0584798082</x:v>
      </x:c>
      <x:c r="C44" s="39" t="n">
        <x:v>0.0584798082</x:v>
      </x:c>
      <x:c r="D44" s="39" t="n">
        <x:v>0.0556092822</x:v>
      </x:c>
      <x:c r="E44" s="39" t="n">
        <x:v>0.0523049891</x:v>
      </x:c>
      <x:c r="F44" s="39" t="n">
        <x:v>0.048702524</x:v>
      </x:c>
      <x:c r="G44" s="39" t="n">
        <x:v>0.0454003887</x:v>
      </x:c>
      <x:c r="H44" s="32" t="n">
        <x:f>1-G44/B44</x:f>
        <x:v>0.22365701773967162</x:v>
      </x:c>
      <x:c r="I44" s="24"/>
      <x:c r="J44" s="32" t="n">
        <x:f>B44/$B44</x:f>
        <x:v>1</x:v>
      </x:c>
      <x:c r="K44" s="32" t="n">
        <x:f>C44/$B44</x:f>
        <x:v>1</x:v>
      </x:c>
      <x:c r="L44" s="32" t="n">
        <x:f>D44/$B44</x:f>
        <x:v>0.9509142370955999</x:v>
      </x:c>
      <x:c r="M44" s="32" t="n">
        <x:f>E44/$B44</x:f>
        <x:v>0.8944110917928763</x:v>
      </x:c>
      <x:c r="N44" s="32" t="n">
        <x:f>F44/$B44</x:f>
        <x:v>0.8328092293572193</x:v>
      </x:c>
      <x:c r="O44" s="32" t="n">
        <x:f>G44/$B44</x:f>
        <x:v>0.7763429822603284</x:v>
      </x:c>
      <x:c r="P44" s="24"/>
      <x:c r="Q44" s="32" t="n">
        <x:f>1-(B44/$B44)^2</x:f>
        <x:v>0</x:v>
      </x:c>
      <x:c r="R44" s="32" t="n">
        <x:f>1-(C44/$B44)^2</x:f>
        <x:v>0</x:v>
      </x:c>
      <x:c r="S44" s="32" t="n">
        <x:f>1-(D44/$B44)^2</x:f>
        <x:v>0.09576211368889331</x:v>
      </x:c>
      <x:c r="T44" s="32" t="n">
        <x:f>1-(E44/$B44)^2</x:f>
        <x:v>0.20002879887787506</x:v>
      </x:c>
      <x:c r="U44" s="32" t="n">
        <x:f>1-(F44/$B44)^2</x:f>
        <x:v>0.3064287874974344</x:v>
      </x:c>
      <x:c r="V44" s="32" t="n">
        <x:f>1-(G44/$B44)^2</x:f>
        <x:v>0.39729157389513947</x:v>
      </x:c>
    </x:row>
    <x:row r="45" ht="19" customHeight="1">
      <x:c r="A45" s="30" t="str">
        <x:v>HD</x:v>
      </x:c>
      <x:c r="B45" s="39" t="n">
        <x:v>0.07132581</x:v>
      </x:c>
      <x:c r="C45" s="39" t="n">
        <x:v>0.07132581</x:v>
      </x:c>
      <x:c r="D45" s="39" t="n">
        <x:v>0.0685894475</x:v>
      </x:c>
      <x:c r="E45" s="39" t="n">
        <x:v>0.0618816107</x:v>
      </x:c>
      <x:c r="F45" s="39" t="n">
        <x:v>0.0588058631</x:v>
      </x:c>
      <x:c r="G45" s="39" t="n">
        <x:v>0.0560147535</x:v>
      </x:c>
      <x:c r="H45" s="32" t="n">
        <x:f>1-G45/B45</x:f>
        <x:v>0.214663618962056</x:v>
      </x:c>
      <x:c r="I45" s="24"/>
      <x:c r="J45" s="32" t="n">
        <x:f>B45/$B45</x:f>
        <x:v>1</x:v>
      </x:c>
      <x:c r="K45" s="32" t="n">
        <x:f>C45/$B45</x:f>
        <x:v>1</x:v>
      </x:c>
      <x:c r="L45" s="32" t="n">
        <x:f>D45/$B45</x:f>
        <x:v>0.9616357318620005</x:v>
      </x:c>
      <x:c r="M45" s="32" t="n">
        <x:f>E45/$B45</x:f>
        <x:v>0.8675907178621595</x:v>
      </x:c>
      <x:c r="N45" s="32" t="n">
        <x:f>F45/$B45</x:f>
        <x:v>0.824468212839083</x:v>
      </x:c>
      <x:c r="O45" s="32" t="n">
        <x:f>G45/$B45</x:f>
        <x:v>0.785336381037944</x:v>
      </x:c>
      <x:c r="P45" s="24"/>
      <x:c r="Q45" s="32" t="n">
        <x:f>1-(B45/$B45)^2</x:f>
        <x:v>0</x:v>
      </x:c>
      <x:c r="R45" s="32" t="n">
        <x:f>1-(C45/$B45)^2</x:f>
        <x:v>0</x:v>
      </x:c>
      <x:c r="S45" s="32" t="n">
        <x:f>1-(D45/$B45)^2</x:f>
        <x:v>0.07525671920623478</x:v>
      </x:c>
      <x:c r="T45" s="32" t="n">
        <x:f>1-(E45/$B45)^2</x:f>
        <x:v>0.2472863462794228</x:v>
      </x:c>
      <x:c r="U45" s="32" t="n">
        <x:f>1-(F45/$B45)^2</x:f>
        <x:v>0.3202521660179285</x:v>
      </x:c>
      <x:c r="V45" s="32" t="n">
        <x:f>1-(G45/$B45)^2</x:f>
        <x:v>0.38324676861822526</x:v>
      </x:c>
    </x:row>
    <x:row r="46" ht="19" customHeight="1">
      <x:c r="A46" s="30" t="str">
        <x:v>KO</x:v>
      </x:c>
      <x:c r="B46" s="39" t="n">
        <x:v>0.0476126179</x:v>
      </x:c>
      <x:c r="C46" s="39" t="n">
        <x:v>0.0476126179</x:v>
      </x:c>
      <x:c r="D46" s="39" t="n">
        <x:v>0.0426213974</x:v>
      </x:c>
      <x:c r="E46" s="39" t="n">
        <x:v>0.0425263998</x:v>
      </x:c>
      <x:c r="F46" s="39" t="n">
        <x:v>0.0315930834</x:v>
      </x:c>
      <x:c r="G46" s="39" t="n">
        <x:v>0.026922312</x:v>
      </x:c>
      <x:c r="H46" s="32" t="n">
        <x:f>1-G46/B46</x:f>
        <x:v>0.43455509931118486</x:v>
      </x:c>
      <x:c r="I46" s="24"/>
      <x:c r="J46" s="32" t="n">
        <x:f>B46/$B46</x:f>
        <x:v>1</x:v>
      </x:c>
      <x:c r="K46" s="32" t="n">
        <x:f>C46/$B46</x:f>
        <x:v>1</x:v>
      </x:c>
      <x:c r="L46" s="32" t="n">
        <x:f>D46/$B46</x:f>
        <x:v>0.8951702149526207</x:v>
      </x:c>
      <x:c r="M46" s="32" t="n">
        <x:f>E46/$B46</x:f>
        <x:v>0.8931749959499707</x:v>
      </x:c>
      <x:c r="N46" s="32" t="n">
        <x:f>F46/$B46</x:f>
        <x:v>0.6635443458781123</x:v>
      </x:c>
      <x:c r="O46" s="32" t="n">
        <x:f>G46/$B46</x:f>
        <x:v>0.5654449006888151</x:v>
      </x:c>
      <x:c r="P46" s="24"/>
      <x:c r="Q46" s="32" t="n">
        <x:f>1-(B46/$B46)^2</x:f>
        <x:v>0</x:v>
      </x:c>
      <x:c r="R46" s="32" t="n">
        <x:f>1-(C46/$B46)^2</x:f>
        <x:v>0</x:v>
      </x:c>
      <x:c r="S46" s="32" t="n">
        <x:f>1-(D46/$B46)^2</x:f>
        <x:v>0.19867028626167882</x:v>
      </x:c>
      <x:c r="T46" s="32" t="n">
        <x:f>1-(E46/$B46)^2</x:f>
        <x:v>0.20223842660976976</x:v>
      </x:c>
      <x:c r="U46" s="32" t="n">
        <x:f>1-(F46/$B46)^2</x:f>
        <x:v>0.5597089010531882</x:v>
      </x:c>
      <x:c r="V46" s="32" t="n">
        <x:f>1-(G46/$B46)^2</x:f>
        <x:v>0.680272064285016</x:v>
      </x:c>
    </x:row>
    <x:row r="47" ht="19" customHeight="1">
      <x:c r="A47" s="30" t="str">
        <x:v>JNJ</x:v>
      </x:c>
      <x:c r="B47" s="39" t="n">
        <x:v>0.0530569244</x:v>
      </x:c>
      <x:c r="C47" s="39" t="n">
        <x:v>0.0530569244</x:v>
      </x:c>
      <x:c r="D47" s="39" t="n">
        <x:v>0.0514137656</x:v>
      </x:c>
      <x:c r="E47" s="39" t="n">
        <x:v>0.0512925852</x:v>
      </x:c>
      <x:c r="F47" s="39" t="n">
        <x:v>0.0373743004</x:v>
      </x:c>
      <x:c r="G47" s="39" t="n">
        <x:v>0.0360344751</x:v>
      </x:c>
      <x:c r="H47" s="32" t="n">
        <x:f>1-G47/B47</x:f>
        <x:v>0.32083369875846024</x:v>
      </x:c>
      <x:c r="I47" s="24"/>
      <x:c r="J47" s="32" t="n">
        <x:f>B47/$B47</x:f>
        <x:v>1</x:v>
      </x:c>
      <x:c r="K47" s="32" t="n">
        <x:f>C47/$B47</x:f>
        <x:v>1</x:v>
      </x:c>
      <x:c r="L47" s="32" t="n">
        <x:f>D47/$B47</x:f>
        <x:v>0.9690302666695849</x:v>
      </x:c>
      <x:c r="M47" s="32" t="n">
        <x:f>E47/$B47</x:f>
        <x:v>0.9667462971148022</x:v>
      </x:c>
      <x:c r="N47" s="32" t="n">
        <x:f>F47/$B47</x:f>
        <x:v>0.7044189014469147</x:v>
      </x:c>
      <x:c r="O47" s="32" t="n">
        <x:f>G47/$B47</x:f>
        <x:v>0.6791663012415398</x:v>
      </x:c>
      <x:c r="P47" s="24"/>
      <x:c r="Q47" s="32" t="n">
        <x:f>1-(B47/$B47)^2</x:f>
        <x:v>0</x:v>
      </x:c>
      <x:c r="R47" s="32" t="n">
        <x:f>1-(C47/$B47)^2</x:f>
        <x:v>0</x:v>
      </x:c>
      <x:c r="S47" s="32" t="n">
        <x:f>1-(D47/$B47)^2</x:f>
        <x:v>0.06098034227827309</x:v>
      </x:c>
      <x:c r="T47" s="32" t="n">
        <x:f>1-(E47/$B47)^2</x:f>
        <x:v>0.06540159701481862</x:v>
      </x:c>
      <x:c r="U47" s="32" t="n">
        <x:f>1-(F47/$B47)^2</x:f>
        <x:v>0.503794011284322</x:v>
      </x:c>
      <x:c r="V47" s="32" t="n">
        <x:f>1-(G47/$B47)^2</x:f>
        <x:v>0.5387331352578861</x:v>
      </x:c>
    </x:row>
    <x:row r="48" ht="19" customHeight="1">
      <x:c r="A48" s="30" t="str">
        <x:v>BRK-B</x:v>
      </x:c>
      <x:c r="B48" s="39" t="n">
        <x:v>0.0416408649</x:v>
      </x:c>
      <x:c r="C48" s="39" t="n">
        <x:v>0.0416408649</x:v>
      </x:c>
      <x:c r="D48" s="39" t="n">
        <x:v>0.0396123953</x:v>
      </x:c>
      <x:c r="E48" s="39" t="n">
        <x:v>0.0387042712</x:v>
      </x:c>
      <x:c r="F48" s="39" t="n">
        <x:v>0.0358543389</x:v>
      </x:c>
      <x:c r="G48" s="39" t="n">
        <x:v>0.0335588673</x:v>
      </x:c>
      <x:c r="H48" s="32" t="n">
        <x:f>1-G48/B48</x:f>
        <x:v>0.19408812999943226</x:v>
      </x:c>
      <x:c r="I48" s="24"/>
      <x:c r="J48" s="32" t="n">
        <x:f>B48/$B48</x:f>
        <x:v>1</x:v>
      </x:c>
      <x:c r="K48" s="32" t="n">
        <x:f>C48/$B48</x:f>
        <x:v>1</x:v>
      </x:c>
      <x:c r="L48" s="32" t="n">
        <x:f>D48/$B48</x:f>
        <x:v>0.9512865641750875</x:v>
      </x:c>
      <x:c r="M48" s="32" t="n">
        <x:f>E48/$B48</x:f>
        <x:v>0.9294780810376492</x:v>
      </x:c>
      <x:c r="N48" s="32" t="n">
        <x:f>F48/$B48</x:f>
        <x:v>0.861037324419263</x:v>
      </x:c>
      <x:c r="O48" s="32" t="n">
        <x:f>G48/$B48</x:f>
        <x:v>0.8059118700005677</x:v>
      </x:c>
      <x:c r="P48" s="24"/>
      <x:c r="Q48" s="32" t="n">
        <x:f>1-(B48/$B48)^2</x:f>
        <x:v>0</x:v>
      </x:c>
      <x:c r="R48" s="32" t="n">
        <x:f>1-(C48/$B48)^2</x:f>
        <x:v>0</x:v>
      </x:c>
      <x:c r="S48" s="32" t="n">
        <x:f>1-(D48/$B48)^2</x:f>
        <x:v>0.09505387281995714</x:v>
      </x:c>
      <x:c r="T48" s="32" t="n">
        <x:f>1-(E48/$B48)^2</x:f>
        <x:v>0.13607049687056927</x:v>
      </x:c>
      <x:c r="U48" s="32" t="n">
        <x:f>1-(F48/$B48)^2</x:f>
        <x:v>0.2586147259569169</x:v>
      </x:c>
      <x:c r="V48" s="32" t="n">
        <x:f>1-(G48/$B48)^2</x:f>
        <x:v>0.350506057792188</x:v>
      </x:c>
    </x:row>
  </x:sheetData>
  <x:pageMargins left="0.7" right="0.7" top="0.75" bottom="0.75" header="0.3" footer="0.3"/>
</x:worksheet>
</file>

<file path=xl/worksheets/sheet5.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row>
    <x:row r="2" ht="19" customHeight="1">
      <x:c r="A2" s="35" t="str">
        <x:v>Factor covariance</x:v>
      </x:c>
      <x:c r="B2" s="24"/>
      <x:c r="C2" s="24"/>
      <x:c r="D2" s="24"/>
      <x:c r="E2" s="24"/>
      <x:c r="F2" s="24"/>
      <x:c r="G2" s="24"/>
      <x:c r="H2" s="24"/>
      <x:c r="I2" s="24"/>
      <x:c r="J2" s="24"/>
      <x:c r="K2" s="24"/>
      <x:c r="L2" s="24"/>
      <x:c r="M2" s="24"/>
      <x:c r="N2" s="24"/>
      <x:c r="O2" s="24"/>
      <x:c r="P2" s="24"/>
      <x:c r="Q2" s="24"/>
      <x:c r="R2" s="24"/>
      <x:c r="S2" s="24"/>
    </x:row>
    <x:row r="3" ht="19" customHeight="1">
      <x:c r="A3" s="28"/>
      <x:c r="B3" s="24"/>
      <x:c r="C3" s="24"/>
      <x:c r="D3" s="24"/>
      <x:c r="E3" s="24"/>
      <x:c r="F3" s="24"/>
      <x:c r="G3" s="24"/>
      <x:c r="H3" s="24"/>
      <x:c r="I3" s="24"/>
      <x:c r="J3" s="24"/>
      <x:c r="K3" s="24"/>
      <x:c r="L3" s="24"/>
      <x:c r="M3" s="24"/>
      <x:c r="N3" s="24"/>
      <x:c r="O3" s="24"/>
      <x:c r="P3" s="24"/>
      <x:c r="Q3" s="24"/>
      <x:c r="R3" s="24"/>
      <x:c r="S3" s="24"/>
    </x:row>
    <x:row r="4" ht="19" customHeight="1">
      <x:c r="A4" s="24"/>
      <x:c r="B4" s="24"/>
      <x:c r="C4" s="24"/>
      <x:c r="D4" s="24"/>
      <x:c r="E4" s="24"/>
      <x:c r="F4" s="24"/>
      <x:c r="G4" s="24"/>
      <x:c r="H4" s="24"/>
      <x:c r="I4" s="24"/>
      <x:c r="J4" s="24"/>
      <x:c r="K4" s="24"/>
      <x:c r="L4" s="24"/>
      <x:c r="M4" s="24"/>
      <x:c r="N4" s="24"/>
      <x:c r="O4" s="24"/>
      <x:c r="P4" s="24"/>
      <x:c r="Q4" s="24"/>
      <x:c r="R4" s="24"/>
      <x:c r="S4" s="24"/>
    </x:row>
    <x:row r="5" ht="42" customHeight="1">
      <x:c r="A5" s="36" t="str">
        <x:v>Factor / stock</x:v>
      </x:c>
      <x:c r="B5" s="36" t="str">
        <x:v>MXN/USD</x:v>
      </x:c>
      <x:c r="C5" s="36" t="str">
        <x:v>SGD/USD</x:v>
      </x:c>
      <x:c r="D5" s="36" t="str">
        <x:v>DKK/USD</x:v>
      </x:c>
      <x:c r="E5" s="36" t="str">
        <x:v>EUR/USD</x:v>
      </x:c>
      <x:c r="F5" s="36" t="str">
        <x:v>AUD/USD</x:v>
      </x:c>
      <x:c r="G5" s="36" t="str">
        <x:v>CAD/USD</x:v>
      </x:c>
      <x:c r="H5" s="36" t="str">
        <x:v>SPY</x:v>
      </x:c>
      <x:c r="I5" s="36" t="str">
        <x:v>XLC</x:v>
      </x:c>
      <x:c r="J5" s="36" t="str">
        <x:v>XLY</x:v>
      </x:c>
      <x:c r="K5" s="36" t="str">
        <x:v>XLP</x:v>
      </x:c>
      <x:c r="L5" s="36" t="str">
        <x:v>XLE</x:v>
      </x:c>
      <x:c r="M5" s="36" t="str">
        <x:v>XLF</x:v>
      </x:c>
      <x:c r="N5" s="36" t="str">
        <x:v>XLV</x:v>
      </x:c>
      <x:c r="O5" s="36" t="str">
        <x:v>XLI</x:v>
      </x:c>
      <x:c r="P5" s="36" t="str">
        <x:v>XLB</x:v>
      </x:c>
      <x:c r="Q5" s="36" t="str">
        <x:v>XLRE</x:v>
      </x:c>
      <x:c r="R5" s="36" t="str">
        <x:v>XLK</x:v>
      </x:c>
      <x:c r="S5" s="36" t="str">
        <x:v>XLU</x:v>
      </x:c>
    </x:row>
    <x:row r="6" ht="19" customHeight="1">
      <x:c r="A6" s="30" t="str">
        <x:v>MXN/USD</x:v>
      </x:c>
      <x:c r="B6" s="43" t="n">
        <x:f>_xlfn.COVARIANCE.S('Common sample'!AS6:AS75,'Common sample'!AS6:AS75)</x:f>
        <x:v>0.0007814938087788823</x:v>
      </x:c>
      <x:c r="C6" s="43" t="n">
        <x:f>_xlfn.COVARIANCE.S('Common sample'!AS6:AS75,'Common sample'!AT6:AT75)</x:f>
        <x:v>0.00016583223825116089</x:v>
      </x:c>
      <x:c r="D6" s="43" t="n">
        <x:f>_xlfn.COVARIANCE.S('Common sample'!AS6:AS75,'Common sample'!AU6:AU75)</x:f>
        <x:v>0.0003032299972543803</x:v>
      </x:c>
      <x:c r="E6" s="43" t="n">
        <x:f>_xlfn.COVARIANCE.S('Common sample'!AS6:AS75,'Common sample'!AV6:AV75)</x:f>
        <x:v>0.00029264584555109313</x:v>
      </x:c>
      <x:c r="F6" s="43" t="n">
        <x:f>_xlfn.COVARIANCE.S('Common sample'!AS6:AS75,'Common sample'!AW6:AW75)</x:f>
        <x:v>0.00032713077350765915</x:v>
      </x:c>
      <x:c r="G6" s="43" t="n">
        <x:f>_xlfn.COVARIANCE.S('Common sample'!AS6:AS75,'Common sample'!AX6:AX75)</x:f>
        <x:v>0.0001596778021938882</x:v>
      </x:c>
      <x:c r="H6" s="43" t="n">
        <x:f>_xlfn.COVARIANCE.S('Common sample'!AS6:AS75,'Common sample'!AY6:AY75)</x:f>
        <x:v>0.0004950810942245815</x:v>
      </x:c>
      <x:c r="I6" s="43" t="n">
        <x:f>_xlfn.COVARIANCE.S('Common sample'!AS6:AS75,'Common sample'!AZ6:AZ75)</x:f>
        <x:v>-0.000043813931497369414</x:v>
      </x:c>
      <x:c r="J6" s="43" t="n">
        <x:f>_xlfn.COVARIANCE.S('Common sample'!AS6:AS75,'Common sample'!BA6:BA75)</x:f>
        <x:v>-0.00010417642275734313</x:v>
      </x:c>
      <x:c r="K6" s="43" t="n">
        <x:f>_xlfn.COVARIANCE.S('Common sample'!AS6:AS75,'Common sample'!BB6:BB75)</x:f>
        <x:v>0.00016646296759109574</x:v>
      </x:c>
      <x:c r="L6" s="43" t="n">
        <x:f>_xlfn.COVARIANCE.S('Common sample'!AS6:AS75,'Common sample'!BC6:BC75)</x:f>
        <x:v>0.00010778320859223254</x:v>
      </x:c>
      <x:c r="M6" s="43" t="n">
        <x:f>_xlfn.COVARIANCE.S('Common sample'!AS6:AS75,'Common sample'!BD6:BD75)</x:f>
        <x:v>0.00003812046084507086</x:v>
      </x:c>
      <x:c r="N6" s="43" t="n">
        <x:f>_xlfn.COVARIANCE.S('Common sample'!AS6:AS75,'Common sample'!BE6:BE75)</x:f>
        <x:v>0.00004725310291604345</x:v>
      </x:c>
      <x:c r="O6" s="43" t="n">
        <x:f>_xlfn.COVARIANCE.S('Common sample'!AS6:AS75,'Common sample'!BF6:BF75)</x:f>
        <x:v>0.00022262554372154015</x:v>
      </x:c>
      <x:c r="P6" s="43" t="n">
        <x:f>_xlfn.COVARIANCE.S('Common sample'!AS6:AS75,'Common sample'!BG6:BG75)</x:f>
        <x:v>0.00038703341126427085</x:v>
      </x:c>
      <x:c r="Q6" s="43" t="n">
        <x:f>_xlfn.COVARIANCE.S('Common sample'!AS6:AS75,'Common sample'!BH6:BH75)</x:f>
        <x:v>0.000017482569791251724</x:v>
      </x:c>
      <x:c r="R6" s="43" t="n">
        <x:f>_xlfn.COVARIANCE.S('Common sample'!AS6:AS75,'Common sample'!BI6:BI75)</x:f>
        <x:v>-0.00008067325781975244</x:v>
      </x:c>
      <x:c r="S6" s="43" t="n">
        <x:f>_xlfn.COVARIANCE.S('Common sample'!AS6:AS75,'Common sample'!BJ6:BJ75)</x:f>
        <x:v>0.00012039204473824402</x:v>
      </x:c>
    </x:row>
    <x:row r="7" ht="19" customHeight="1">
      <x:c r="A7" s="30" t="str">
        <x:v>SGD/USD</x:v>
      </x:c>
      <x:c r="B7" s="43" t="n">
        <x:f>_xlfn.COVARIANCE.S('Common sample'!AT6:AT75,'Common sample'!AS6:AS75)</x:f>
        <x:v>0.00016583223825116089</x:v>
      </x:c>
      <x:c r="C7" s="43" t="n">
        <x:f>_xlfn.COVARIANCE.S('Common sample'!AT6:AT75,'Common sample'!AT6:AT75)</x:f>
        <x:v>0.00015290303206579498</x:v>
      </x:c>
      <x:c r="D7" s="43" t="n">
        <x:f>_xlfn.COVARIANCE.S('Common sample'!AT6:AT75,'Common sample'!AU6:AU75)</x:f>
        <x:v>0.00019691284454051948</x:v>
      </x:c>
      <x:c r="E7" s="43" t="n">
        <x:f>_xlfn.COVARIANCE.S('Common sample'!AT6:AT75,'Common sample'!AV6:AV75)</x:f>
        <x:v>0.0001936803466848863</x:v>
      </x:c>
      <x:c r="F7" s="43" t="n">
        <x:f>_xlfn.COVARIANCE.S('Common sample'!AT6:AT75,'Common sample'!AW6:AW75)</x:f>
        <x:v>0.000216371266850155</x:v>
      </x:c>
      <x:c r="G7" s="43" t="n">
        <x:f>_xlfn.COVARIANCE.S('Common sample'!AT6:AT75,'Common sample'!AX6:AX75)</x:f>
        <x:v>0.00010533861030578163</x:v>
      </x:c>
      <x:c r="H7" s="43" t="n">
        <x:f>_xlfn.COVARIANCE.S('Common sample'!AT6:AT75,'Common sample'!AY6:AY75)</x:f>
        <x:v>0.0002422462396676574</x:v>
      </x:c>
      <x:c r="I7" s="43" t="n">
        <x:f>_xlfn.COVARIANCE.S('Common sample'!AT6:AT75,'Common sample'!AZ6:AZ75)</x:f>
        <x:v>0.000035920940265461996</x:v>
      </x:c>
      <x:c r="J7" s="43" t="n">
        <x:f>_xlfn.COVARIANCE.S('Common sample'!AT6:AT75,'Common sample'!BA6:BA75)</x:f>
        <x:v>-0.00003999582460497728</x:v>
      </x:c>
      <x:c r="K7" s="43" t="n">
        <x:f>_xlfn.COVARIANCE.S('Common sample'!AT6:AT75,'Common sample'!BB6:BB75)</x:f>
        <x:v>0.0001697974131235644</x:v>
      </x:c>
      <x:c r="L7" s="43" t="n">
        <x:f>_xlfn.COVARIANCE.S('Common sample'!AT6:AT75,'Common sample'!BC6:BC75)</x:f>
        <x:v>0.000039912110698983895</x:v>
      </x:c>
      <x:c r="M7" s="43" t="n">
        <x:f>_xlfn.COVARIANCE.S('Common sample'!AT6:AT75,'Common sample'!BD6:BD75)</x:f>
        <x:v>0.000048027884629846345</x:v>
      </x:c>
      <x:c r="N7" s="43" t="n">
        <x:f>_xlfn.COVARIANCE.S('Common sample'!AT6:AT75,'Common sample'!BE6:BE75)</x:f>
        <x:v>0.00008057952225768227</x:v>
      </x:c>
      <x:c r="O7" s="43" t="n">
        <x:f>_xlfn.COVARIANCE.S('Common sample'!AT6:AT75,'Common sample'!BF6:BF75)</x:f>
        <x:v>0.00012729925318677888</x:v>
      </x:c>
      <x:c r="P7" s="43" t="n">
        <x:f>_xlfn.COVARIANCE.S('Common sample'!AT6:AT75,'Common sample'!BG6:BG75)</x:f>
        <x:v>0.0002035935470526574</x:v>
      </x:c>
      <x:c r="Q7" s="43" t="n">
        <x:f>_xlfn.COVARIANCE.S('Common sample'!AT6:AT75,'Common sample'!BH6:BH75)</x:f>
        <x:v>0.00017449535000791896</x:v>
      </x:c>
      <x:c r="R7" s="43" t="n">
        <x:f>_xlfn.COVARIANCE.S('Common sample'!AT6:AT75,'Common sample'!BI6:BI75)</x:f>
        <x:v>-0.00011434113815896209</x:v>
      </x:c>
      <x:c r="S7" s="43" t="n">
        <x:f>_xlfn.COVARIANCE.S('Common sample'!AT6:AT75,'Common sample'!BJ6:BJ75)</x:f>
        <x:v>0.00015165403051735926</x:v>
      </x:c>
    </x:row>
    <x:row r="8" ht="19" customHeight="1">
      <x:c r="A8" s="30" t="str">
        <x:v>DKK/USD</x:v>
      </x:c>
      <x:c r="B8" s="43" t="n">
        <x:f>_xlfn.COVARIANCE.S('Common sample'!AU6:AU75,'Common sample'!AS6:AS75)</x:f>
        <x:v>0.0003032299972543803</x:v>
      </x:c>
      <x:c r="C8" s="43" t="n">
        <x:f>_xlfn.COVARIANCE.S('Common sample'!AU6:AU75,'Common sample'!AT6:AT75)</x:f>
        <x:v>0.00019691284454051948</x:v>
      </x:c>
      <x:c r="D8" s="43" t="n">
        <x:f>_xlfn.COVARIANCE.S('Common sample'!AU6:AU75,'Common sample'!AU6:AU75)</x:f>
        <x:v>0.00038603038405580207</x:v>
      </x:c>
      <x:c r="E8" s="43" t="n">
        <x:f>_xlfn.COVARIANCE.S('Common sample'!AU6:AU75,'Common sample'!AV6:AV75)</x:f>
        <x:v>0.0003907882685157515</x:v>
      </x:c>
      <x:c r="F8" s="43" t="n">
        <x:f>_xlfn.COVARIANCE.S('Common sample'!AU6:AU75,'Common sample'!AW6:AW75)</x:f>
        <x:v>0.00029201855404576663</x:v>
      </x:c>
      <x:c r="G8" s="43" t="n">
        <x:f>_xlfn.COVARIANCE.S('Common sample'!AU6:AU75,'Common sample'!AX6:AX75)</x:f>
        <x:v>0.00017814553178669614</x:v>
      </x:c>
      <x:c r="H8" s="43" t="n">
        <x:f>_xlfn.COVARIANCE.S('Common sample'!AU6:AU75,'Common sample'!AY6:AY75)</x:f>
        <x:v>0.00028333883146559636</x:v>
      </x:c>
      <x:c r="I8" s="43" t="n">
        <x:f>_xlfn.COVARIANCE.S('Common sample'!AU6:AU75,'Common sample'!AZ6:AZ75)</x:f>
        <x:v>0.000055425181346311617</x:v>
      </x:c>
      <x:c r="J8" s="43" t="n">
        <x:f>_xlfn.COVARIANCE.S('Common sample'!AU6:AU75,'Common sample'!BA6:BA75)</x:f>
        <x:v>-0.00006156428088590545</x:v>
      </x:c>
      <x:c r="K8" s="43" t="n">
        <x:f>_xlfn.COVARIANCE.S('Common sample'!AU6:AU75,'Common sample'!BB6:BB75)</x:f>
        <x:v>0.00017159017003639398</x:v>
      </x:c>
      <x:c r="L8" s="43" t="n">
        <x:f>_xlfn.COVARIANCE.S('Common sample'!AU6:AU75,'Common sample'!BC6:BC75)</x:f>
        <x:v>-0.000022620544194822316</x:v>
      </x:c>
      <x:c r="M8" s="43" t="n">
        <x:f>_xlfn.COVARIANCE.S('Common sample'!AU6:AU75,'Common sample'!BD6:BD75)</x:f>
        <x:v>0.0000632806256828739</x:v>
      </x:c>
      <x:c r="N8" s="43" t="n">
        <x:f>_xlfn.COVARIANCE.S('Common sample'!AU6:AU75,'Common sample'!BE6:BE75)</x:f>
        <x:v>0.0001071426806978246</x:v>
      </x:c>
      <x:c r="O8" s="43" t="n">
        <x:f>_xlfn.COVARIANCE.S('Common sample'!AU6:AU75,'Common sample'!BF6:BF75)</x:f>
        <x:v>0.00009431676385064518</x:v>
      </x:c>
      <x:c r="P8" s="43" t="n">
        <x:f>_xlfn.COVARIANCE.S('Common sample'!AU6:AU75,'Common sample'!BG6:BG75)</x:f>
        <x:v>0.0002346502024040907</x:v>
      </x:c>
      <x:c r="Q8" s="43" t="n">
        <x:f>_xlfn.COVARIANCE.S('Common sample'!AU6:AU75,'Common sample'!BH6:BH75)</x:f>
        <x:v>0.00019717368762272835</x:v>
      </x:c>
      <x:c r="R8" s="43" t="n">
        <x:f>_xlfn.COVARIANCE.S('Common sample'!AU6:AU75,'Common sample'!BI6:BI75)</x:f>
        <x:v>-0.00013183231512518318</x:v>
      </x:c>
      <x:c r="S8" s="43" t="n">
        <x:f>_xlfn.COVARIANCE.S('Common sample'!AU6:AU75,'Common sample'!BJ6:BJ75)</x:f>
        <x:v>0.00018617825595025302</x:v>
      </x:c>
    </x:row>
    <x:row r="9" ht="19" customHeight="1">
      <x:c r="A9" s="30" t="str">
        <x:v>EUR/USD</x:v>
      </x:c>
      <x:c r="B9" s="43" t="n">
        <x:f>_xlfn.COVARIANCE.S('Common sample'!AV6:AV75,'Common sample'!AS6:AS75)</x:f>
        <x:v>0.00029264584555109313</x:v>
      </x:c>
      <x:c r="C9" s="43" t="n">
        <x:f>_xlfn.COVARIANCE.S('Common sample'!AV6:AV75,'Common sample'!AT6:AT75)</x:f>
        <x:v>0.0001936803466848863</x:v>
      </x:c>
      <x:c r="D9" s="43" t="n">
        <x:f>_xlfn.COVARIANCE.S('Common sample'!AV6:AV75,'Common sample'!AU6:AU75)</x:f>
        <x:v>0.0003907882685157515</x:v>
      </x:c>
      <x:c r="E9" s="43" t="n">
        <x:f>_xlfn.COVARIANCE.S('Common sample'!AV6:AV75,'Common sample'!AV6:AV75)</x:f>
        <x:v>0.000400003752721559</x:v>
      </x:c>
      <x:c r="F9" s="43" t="n">
        <x:f>_xlfn.COVARIANCE.S('Common sample'!AV6:AV75,'Common sample'!AW6:AW75)</x:f>
        <x:v>0.00028703107284639383</x:v>
      </x:c>
      <x:c r="G9" s="43" t="n">
        <x:f>_xlfn.COVARIANCE.S('Common sample'!AV6:AV75,'Common sample'!AX6:AX75)</x:f>
        <x:v>0.00017675556817002046</x:v>
      </x:c>
      <x:c r="H9" s="43" t="n">
        <x:f>_xlfn.COVARIANCE.S('Common sample'!AV6:AV75,'Common sample'!AY6:AY75)</x:f>
        <x:v>0.00025314740525448807</x:v>
      </x:c>
      <x:c r="I9" s="43" t="n">
        <x:f>_xlfn.COVARIANCE.S('Common sample'!AV6:AV75,'Common sample'!AZ6:AZ75)</x:f>
        <x:v>0.000054638743132985874</x:v>
      </x:c>
      <x:c r="J9" s="43" t="n">
        <x:f>_xlfn.COVARIANCE.S('Common sample'!AV6:AV75,'Common sample'!BA6:BA75)</x:f>
        <x:v>-0.0000671389029890354</x:v>
      </x:c>
      <x:c r="K9" s="43" t="n">
        <x:f>_xlfn.COVARIANCE.S('Common sample'!AV6:AV75,'Common sample'!BB6:BB75)</x:f>
        <x:v>0.00017858581023254402</x:v>
      </x:c>
      <x:c r="L9" s="43" t="n">
        <x:f>_xlfn.COVARIANCE.S('Common sample'!AV6:AV75,'Common sample'!BC6:BC75)</x:f>
        <x:v>0.000005727587036688261</x:v>
      </x:c>
      <x:c r="M9" s="43" t="n">
        <x:f>_xlfn.COVARIANCE.S('Common sample'!AV6:AV75,'Common sample'!BD6:BD75)</x:f>
        <x:v>0.00006999922896338039</x:v>
      </x:c>
      <x:c r="N9" s="43" t="n">
        <x:f>_xlfn.COVARIANCE.S('Common sample'!AV6:AV75,'Common sample'!BE6:BE75)</x:f>
        <x:v>0.00011937045494669348</x:v>
      </x:c>
      <x:c r="O9" s="43" t="n">
        <x:f>_xlfn.COVARIANCE.S('Common sample'!AV6:AV75,'Common sample'!BF6:BF75)</x:f>
        <x:v>0.00009390431945571496</x:v>
      </x:c>
      <x:c r="P9" s="43" t="n">
        <x:f>_xlfn.COVARIANCE.S('Common sample'!AV6:AV75,'Common sample'!BG6:BG75)</x:f>
        <x:v>0.0002457859828893077</x:v>
      </x:c>
      <x:c r="Q9" s="43" t="n">
        <x:f>_xlfn.COVARIANCE.S('Common sample'!AV6:AV75,'Common sample'!BH6:BH75)</x:f>
        <x:v>0.00020634297453680055</x:v>
      </x:c>
      <x:c r="R9" s="43" t="n">
        <x:f>_xlfn.COVARIANCE.S('Common sample'!AV6:AV75,'Common sample'!BI6:BI75)</x:f>
        <x:v>-0.00013988978706264504</x:v>
      </x:c>
      <x:c r="S9" s="43" t="n">
        <x:f>_xlfn.COVARIANCE.S('Common sample'!AV6:AV75,'Common sample'!BJ6:BJ75)</x:f>
        <x:v>0.0002024487486816515</x:v>
      </x:c>
    </x:row>
    <x:row r="10" ht="19" customHeight="1">
      <x:c r="A10" s="30" t="str">
        <x:v>AUD/USD</x:v>
      </x:c>
      <x:c r="B10" s="43" t="n">
        <x:f>_xlfn.COVARIANCE.S('Common sample'!AW6:AW75,'Common sample'!AS6:AS75)</x:f>
        <x:v>0.00032713077350765915</x:v>
      </x:c>
      <x:c r="C10" s="43" t="n">
        <x:f>_xlfn.COVARIANCE.S('Common sample'!AW6:AW75,'Common sample'!AT6:AT75)</x:f>
        <x:v>0.000216371266850155</x:v>
      </x:c>
      <x:c r="D10" s="43" t="n">
        <x:f>_xlfn.COVARIANCE.S('Common sample'!AW6:AW75,'Common sample'!AU6:AU75)</x:f>
        <x:v>0.00029201855404576663</x:v>
      </x:c>
      <x:c r="E10" s="43" t="n">
        <x:f>_xlfn.COVARIANCE.S('Common sample'!AW6:AW75,'Common sample'!AV6:AV75)</x:f>
        <x:v>0.00028703107284639383</x:v>
      </x:c>
      <x:c r="F10" s="43" t="n">
        <x:f>_xlfn.COVARIANCE.S('Common sample'!AW6:AW75,'Common sample'!AW6:AW75)</x:f>
        <x:v>0.0005258788152046317</x:v>
      </x:c>
      <x:c r="G10" s="43" t="n">
        <x:f>_xlfn.COVARIANCE.S('Common sample'!AW6:AW75,'Common sample'!AX6:AX75)</x:f>
        <x:v>0.00019834856318344058</x:v>
      </x:c>
      <x:c r="H10" s="43" t="n">
        <x:f>_xlfn.COVARIANCE.S('Common sample'!AW6:AW75,'Common sample'!AY6:AY75)</x:f>
        <x:v>0.0005107117080332307</x:v>
      </x:c>
      <x:c r="I10" s="43" t="n">
        <x:f>_xlfn.COVARIANCE.S('Common sample'!AW6:AW75,'Common sample'!AZ6:AZ75)</x:f>
        <x:v>0.000011619756386304275</x:v>
      </x:c>
      <x:c r="J10" s="43" t="n">
        <x:f>_xlfn.COVARIANCE.S('Common sample'!AW6:AW75,'Common sample'!BA6:BA75)</x:f>
        <x:v>-0.000019338576803866443</x:v>
      </x:c>
      <x:c r="K10" s="43" t="n">
        <x:f>_xlfn.COVARIANCE.S('Common sample'!AW6:AW75,'Common sample'!BB6:BB75)</x:f>
        <x:v>0.0002496565285659259</x:v>
      </x:c>
      <x:c r="L10" s="43" t="n">
        <x:f>_xlfn.COVARIANCE.S('Common sample'!AW6:AW75,'Common sample'!BC6:BC75)</x:f>
        <x:v>0.0003146550488836586</x:v>
      </x:c>
      <x:c r="M10" s="43" t="n">
        <x:f>_xlfn.COVARIANCE.S('Common sample'!AW6:AW75,'Common sample'!BD6:BD75)</x:f>
        <x:v>-0.000002304270586157039</x:v>
      </x:c>
      <x:c r="N10" s="43" t="n">
        <x:f>_xlfn.COVARIANCE.S('Common sample'!AW6:AW75,'Common sample'!BE6:BE75)</x:f>
        <x:v>0.00010693843703384367</x:v>
      </x:c>
      <x:c r="O10" s="43" t="n">
        <x:f>_xlfn.COVARIANCE.S('Common sample'!AW6:AW75,'Common sample'!BF6:BF75)</x:f>
        <x:v>0.00021429044164705984</x:v>
      </x:c>
      <x:c r="P10" s="43" t="n">
        <x:f>_xlfn.COVARIANCE.S('Common sample'!AW6:AW75,'Common sample'!BG6:BG75)</x:f>
        <x:v>0.00039923962197359927</x:v>
      </x:c>
      <x:c r="Q10" s="43" t="n">
        <x:f>_xlfn.COVARIANCE.S('Common sample'!AW6:AW75,'Common sample'!BH6:BH75)</x:f>
        <x:v>0.00029858879217374394</x:v>
      </x:c>
      <x:c r="R10" s="43" t="n">
        <x:f>_xlfn.COVARIANCE.S('Common sample'!AW6:AW75,'Common sample'!BI6:BI75)</x:f>
        <x:v>-0.00018150579726615914</x:v>
      </x:c>
      <x:c r="S10" s="43" t="n">
        <x:f>_xlfn.COVARIANCE.S('Common sample'!AW6:AW75,'Common sample'!BJ6:BJ75)</x:f>
        <x:v>0.0002812154364242849</x:v>
      </x:c>
    </x:row>
    <x:row r="11" ht="19" customHeight="1">
      <x:c r="A11" s="30" t="str">
        <x:v>CAD/USD</x:v>
      </x:c>
      <x:c r="B11" s="43" t="n">
        <x:f>_xlfn.COVARIANCE.S('Common sample'!AX6:AX75,'Common sample'!AS6:AS75)</x:f>
        <x:v>0.0001596778021938882</x:v>
      </x:c>
      <x:c r="C11" s="43" t="n">
        <x:f>_xlfn.COVARIANCE.S('Common sample'!AX6:AX75,'Common sample'!AT6:AT75)</x:f>
        <x:v>0.00010533861030578163</x:v>
      </x:c>
      <x:c r="D11" s="43" t="n">
        <x:f>_xlfn.COVARIANCE.S('Common sample'!AX6:AX75,'Common sample'!AU6:AU75)</x:f>
        <x:v>0.00017814553178669614</x:v>
      </x:c>
      <x:c r="E11" s="43" t="n">
        <x:f>_xlfn.COVARIANCE.S('Common sample'!AX6:AX75,'Common sample'!AV6:AV75)</x:f>
        <x:v>0.00017675556817002046</x:v>
      </x:c>
      <x:c r="F11" s="43" t="n">
        <x:f>_xlfn.COVARIANCE.S('Common sample'!AX6:AX75,'Common sample'!AW6:AW75)</x:f>
        <x:v>0.00019834856318344058</x:v>
      </x:c>
      <x:c r="G11" s="43" t="n">
        <x:f>_xlfn.COVARIANCE.S('Common sample'!AX6:AX75,'Common sample'!AX6:AX75)</x:f>
        <x:v>0.00023447978015794666</x:v>
      </x:c>
      <x:c r="H11" s="43" t="n">
        <x:f>_xlfn.COVARIANCE.S('Common sample'!AX6:AX75,'Common sample'!AY6:AY75)</x:f>
        <x:v>0.0001638119529895837</x:v>
      </x:c>
      <x:c r="I11" s="43" t="n">
        <x:f>_xlfn.COVARIANCE.S('Common sample'!AX6:AX75,'Common sample'!AZ6:AZ75)</x:f>
        <x:v>0.00001911335349734191</x:v>
      </x:c>
      <x:c r="J11" s="43" t="n">
        <x:f>_xlfn.COVARIANCE.S('Common sample'!AX6:AX75,'Common sample'!BA6:BA75)</x:f>
        <x:v>-0.000004102988993762368</x:v>
      </x:c>
      <x:c r="K11" s="43" t="n">
        <x:f>_xlfn.COVARIANCE.S('Common sample'!AX6:AX75,'Common sample'!BB6:BB75)</x:f>
        <x:v>0.00007065078341951745</x:v>
      </x:c>
      <x:c r="L11" s="43" t="n">
        <x:f>_xlfn.COVARIANCE.S('Common sample'!AX6:AX75,'Common sample'!BC6:BC75)</x:f>
        <x:v>0.00014430094806576664</x:v>
      </x:c>
      <x:c r="M11" s="43" t="n">
        <x:f>_xlfn.COVARIANCE.S('Common sample'!AX6:AX75,'Common sample'!BD6:BD75)</x:f>
        <x:v>0.00004128130993159237</x:v>
      </x:c>
      <x:c r="N11" s="43" t="n">
        <x:f>_xlfn.COVARIANCE.S('Common sample'!AX6:AX75,'Common sample'!BE6:BE75)</x:f>
        <x:v>0.000041719302088025166</x:v>
      </x:c>
      <x:c r="O11" s="43" t="n">
        <x:f>_xlfn.COVARIANCE.S('Common sample'!AX6:AX75,'Common sample'!BF6:BF75)</x:f>
        <x:v>0.00003149448517671279</x:v>
      </x:c>
      <x:c r="P11" s="43" t="n">
        <x:f>_xlfn.COVARIANCE.S('Common sample'!AX6:AX75,'Common sample'!BG6:BG75)</x:f>
        <x:v>0.0001956955607537482</x:v>
      </x:c>
      <x:c r="Q11" s="43" t="n">
        <x:f>_xlfn.COVARIANCE.S('Common sample'!AX6:AX75,'Common sample'!BH6:BH75)</x:f>
        <x:v>0.00017786497539450246</x:v>
      </x:c>
      <x:c r="R11" s="43" t="n">
        <x:f>_xlfn.COVARIANCE.S('Common sample'!AX6:AX75,'Common sample'!BI6:BI75)</x:f>
        <x:v>-0.00006082193179393006</x:v>
      </x:c>
      <x:c r="S11" s="43" t="n">
        <x:f>_xlfn.COVARIANCE.S('Common sample'!AX6:AX75,'Common sample'!BJ6:BJ75)</x:f>
        <x:v>0.0001259995481817467</x:v>
      </x:c>
    </x:row>
    <x:row r="12" ht="19" customHeight="1">
      <x:c r="A12" s="30" t="str">
        <x:v>SPY</x:v>
      </x:c>
      <x:c r="B12" s="43" t="n">
        <x:f>_xlfn.COVARIANCE.S('Common sample'!AY6:AY75,'Common sample'!AS6:AS75)</x:f>
        <x:v>0.0004950810942245815</x:v>
      </x:c>
      <x:c r="C12" s="43" t="n">
        <x:f>_xlfn.COVARIANCE.S('Common sample'!AY6:AY75,'Common sample'!AT6:AT75)</x:f>
        <x:v>0.0002422462396676574</x:v>
      </x:c>
      <x:c r="D12" s="43" t="n">
        <x:f>_xlfn.COVARIANCE.S('Common sample'!AY6:AY75,'Common sample'!AU6:AU75)</x:f>
        <x:v>0.00028333883146559636</x:v>
      </x:c>
      <x:c r="E12" s="43" t="n">
        <x:f>_xlfn.COVARIANCE.S('Common sample'!AY6:AY75,'Common sample'!AV6:AV75)</x:f>
        <x:v>0.00025314740525448807</x:v>
      </x:c>
      <x:c r="F12" s="43" t="n">
        <x:f>_xlfn.COVARIANCE.S('Common sample'!AY6:AY75,'Common sample'!AW6:AW75)</x:f>
        <x:v>0.0005107117080332307</x:v>
      </x:c>
      <x:c r="G12" s="43" t="n">
        <x:f>_xlfn.COVARIANCE.S('Common sample'!AY6:AY75,'Common sample'!AX6:AX75)</x:f>
        <x:v>0.0001638119529895837</x:v>
      </x:c>
      <x:c r="H12" s="43" t="n">
        <x:f>_xlfn.COVARIANCE.S('Common sample'!AY6:AY75,'Common sample'!AY6:AY75)</x:f>
        <x:v>0.001871820016182622</x:v>
      </x:c>
      <x:c r="I12" s="43" t="n">
        <x:f>_xlfn.COVARIANCE.S('Common sample'!AY6:AY75,'Common sample'!AZ6:AZ75)</x:f>
        <x:v>0.0000049011014793391574</x:v>
      </x:c>
      <x:c r="J12" s="43" t="n">
        <x:f>_xlfn.COVARIANCE.S('Common sample'!AY6:AY75,'Common sample'!BA6:BA75)</x:f>
        <x:v>-0.00002588887233651144</x:v>
      </x:c>
      <x:c r="K12" s="43" t="n">
        <x:f>_xlfn.COVARIANCE.S('Common sample'!AY6:AY75,'Common sample'!BB6:BB75)</x:f>
        <x:v>-0.000020950648233360115</x:v>
      </x:c>
      <x:c r="L12" s="43" t="n">
        <x:f>_xlfn.COVARIANCE.S('Common sample'!AY6:AY75,'Common sample'!BC6:BC75)</x:f>
        <x:v>0.00003718421343061977</x:v>
      </x:c>
      <x:c r="M12" s="43" t="n">
        <x:f>_xlfn.COVARIANCE.S('Common sample'!AY6:AY75,'Common sample'!BD6:BD75)</x:f>
        <x:v>0.000022173640150670082</x:v>
      </x:c>
      <x:c r="N12" s="43" t="n">
        <x:f>_xlfn.COVARIANCE.S('Common sample'!AY6:AY75,'Common sample'!BE6:BE75)</x:f>
        <x:v>-0.000016930274043865046</x:v>
      </x:c>
      <x:c r="O12" s="43" t="n">
        <x:f>_xlfn.COVARIANCE.S('Common sample'!AY6:AY75,'Common sample'!BF6:BF75)</x:f>
        <x:v>0.00001427933162761816</x:v>
      </x:c>
      <x:c r="P12" s="43" t="n">
        <x:f>_xlfn.COVARIANCE.S('Common sample'!AY6:AY75,'Common sample'!BG6:BG75)</x:f>
        <x:v>0.000004644668273081903</x:v>
      </x:c>
      <x:c r="Q12" s="43" t="n">
        <x:f>_xlfn.COVARIANCE.S('Common sample'!AY6:AY75,'Common sample'!BH6:BH75)</x:f>
        <x:v>0.0000021275934927187484</x:v>
      </x:c>
      <x:c r="R12" s="43" t="n">
        <x:f>_xlfn.COVARIANCE.S('Common sample'!AY6:AY75,'Common sample'!BI6:BI75)</x:f>
        <x:v>0.0000012745581884469287</x:v>
      </x:c>
      <x:c r="S12" s="43" t="n">
        <x:f>_xlfn.COVARIANCE.S('Common sample'!AY6:AY75,'Common sample'!BJ6:BJ75)</x:f>
        <x:v>-0.00003291322870843114</x:v>
      </x:c>
    </x:row>
    <x:row r="13" ht="19" customHeight="1">
      <x:c r="A13" s="30" t="str">
        <x:v>XLC</x:v>
      </x:c>
      <x:c r="B13" s="43" t="n">
        <x:f>_xlfn.COVARIANCE.S('Common sample'!AZ6:AZ75,'Common sample'!AS6:AS75)</x:f>
        <x:v>-0.000043813931497369414</x:v>
      </x:c>
      <x:c r="C13" s="43" t="n">
        <x:f>_xlfn.COVARIANCE.S('Common sample'!AZ6:AZ75,'Common sample'!AT6:AT75)</x:f>
        <x:v>0.000035920940265461996</x:v>
      </x:c>
      <x:c r="D13" s="43" t="n">
        <x:f>_xlfn.COVARIANCE.S('Common sample'!AZ6:AZ75,'Common sample'!AU6:AU75)</x:f>
        <x:v>0.000055425181346311617</x:v>
      </x:c>
      <x:c r="E13" s="43" t="n">
        <x:f>_xlfn.COVARIANCE.S('Common sample'!AZ6:AZ75,'Common sample'!AV6:AV75)</x:f>
        <x:v>0.000054638743132985874</x:v>
      </x:c>
      <x:c r="F13" s="43" t="n">
        <x:f>_xlfn.COVARIANCE.S('Common sample'!AZ6:AZ75,'Common sample'!AW6:AW75)</x:f>
        <x:v>0.000011619756386304275</x:v>
      </x:c>
      <x:c r="G13" s="43" t="n">
        <x:f>_xlfn.COVARIANCE.S('Common sample'!AZ6:AZ75,'Common sample'!AX6:AX75)</x:f>
        <x:v>0.00001911335349734191</x:v>
      </x:c>
      <x:c r="H13" s="43" t="n">
        <x:f>_xlfn.COVARIANCE.S('Common sample'!AZ6:AZ75,'Common sample'!AY6:AY75)</x:f>
        <x:v>0.0000049011014793391574</x:v>
      </x:c>
      <x:c r="I13" s="43" t="n">
        <x:f>_xlfn.COVARIANCE.S('Common sample'!AZ6:AZ75,'Common sample'!AZ6:AZ75)</x:f>
        <x:v>0.0008830316773679504</x:v>
      </x:c>
      <x:c r="J13" s="43" t="n">
        <x:f>_xlfn.COVARIANCE.S('Common sample'!AZ6:AZ75,'Common sample'!BA6:BA75)</x:f>
        <x:v>0.00032101316372950807</x:v>
      </x:c>
      <x:c r="K13" s="43" t="n">
        <x:f>_xlfn.COVARIANCE.S('Common sample'!AZ6:AZ75,'Common sample'!BB6:BB75)</x:f>
        <x:v>0.00006911772253304687</x:v>
      </x:c>
      <x:c r="L13" s="43" t="n">
        <x:f>_xlfn.COVARIANCE.S('Common sample'!AZ6:AZ75,'Common sample'!BC6:BC75)</x:f>
        <x:v>0.00007225479231966104</x:v>
      </x:c>
      <x:c r="M13" s="43" t="n">
        <x:f>_xlfn.COVARIANCE.S('Common sample'!AZ6:AZ75,'Common sample'!BD6:BD75)</x:f>
        <x:v>0.00003058887953306083</x:v>
      </x:c>
      <x:c r="N13" s="43" t="n">
        <x:f>_xlfn.COVARIANCE.S('Common sample'!AZ6:AZ75,'Common sample'!BE6:BE75)</x:f>
        <x:v>0.00001019737985134473</x:v>
      </x:c>
      <x:c r="O13" s="43" t="n">
        <x:f>_xlfn.COVARIANCE.S('Common sample'!AZ6:AZ75,'Common sample'!BF6:BF75)</x:f>
        <x:v>-0.00014513778626284944</x:v>
      </x:c>
      <x:c r="P13" s="43" t="n">
        <x:f>_xlfn.COVARIANCE.S('Common sample'!AZ6:AZ75,'Common sample'!BG6:BG75)</x:f>
        <x:v>-0.00006911507311714739</x:v>
      </x:c>
      <x:c r="Q13" s="43" t="n">
        <x:f>_xlfn.COVARIANCE.S('Common sample'!AZ6:AZ75,'Common sample'!BH6:BH75)</x:f>
        <x:v>-0.00002275992546599741</x:v>
      </x:c>
      <x:c r="R13" s="43" t="n">
        <x:f>_xlfn.COVARIANCE.S('Common sample'!AZ6:AZ75,'Common sample'!BI6:BI75)</x:f>
        <x:v>-0.0003800253766829068</x:v>
      </x:c>
      <x:c r="S13" s="43" t="n">
        <x:f>_xlfn.COVARIANCE.S('Common sample'!AZ6:AZ75,'Common sample'!BJ6:BJ75)</x:f>
        <x:v>-0.00013727405001711176</x:v>
      </x:c>
    </x:row>
    <x:row r="14" ht="19" customHeight="1">
      <x:c r="A14" s="30" t="str">
        <x:v>XLY</x:v>
      </x:c>
      <x:c r="B14" s="43" t="n">
        <x:f>_xlfn.COVARIANCE.S('Common sample'!BA6:BA75,'Common sample'!AS6:AS75)</x:f>
        <x:v>-0.00010417642275734313</x:v>
      </x:c>
      <x:c r="C14" s="43" t="n">
        <x:f>_xlfn.COVARIANCE.S('Common sample'!BA6:BA75,'Common sample'!AT6:AT75)</x:f>
        <x:v>-0.00003999582460497728</x:v>
      </x:c>
      <x:c r="D14" s="43" t="n">
        <x:f>_xlfn.COVARIANCE.S('Common sample'!BA6:BA75,'Common sample'!AU6:AU75)</x:f>
        <x:v>-0.00006156428088590545</x:v>
      </x:c>
      <x:c r="E14" s="43" t="n">
        <x:f>_xlfn.COVARIANCE.S('Common sample'!BA6:BA75,'Common sample'!AV6:AV75)</x:f>
        <x:v>-0.0000671389029890354</x:v>
      </x:c>
      <x:c r="F14" s="43" t="n">
        <x:f>_xlfn.COVARIANCE.S('Common sample'!BA6:BA75,'Common sample'!AW6:AW75)</x:f>
        <x:v>-0.000019338576803866443</x:v>
      </x:c>
      <x:c r="G14" s="43" t="n">
        <x:f>_xlfn.COVARIANCE.S('Common sample'!BA6:BA75,'Common sample'!AX6:AX75)</x:f>
        <x:v>-0.000004102988993762368</x:v>
      </x:c>
      <x:c r="H14" s="43" t="n">
        <x:f>_xlfn.COVARIANCE.S('Common sample'!BA6:BA75,'Common sample'!AY6:AY75)</x:f>
        <x:v>-0.00002588887233651144</x:v>
      </x:c>
      <x:c r="I14" s="43" t="n">
        <x:f>_xlfn.COVARIANCE.S('Common sample'!BA6:BA75,'Common sample'!AZ6:AZ75)</x:f>
        <x:v>0.00032101316372950807</x:v>
      </x:c>
      <x:c r="J14" s="43" t="n">
        <x:f>_xlfn.COVARIANCE.S('Common sample'!BA6:BA75,'Common sample'!BA6:BA75)</x:f>
        <x:v>0.0009406801964149387</x:v>
      </x:c>
      <x:c r="K14" s="43" t="n">
        <x:f>_xlfn.COVARIANCE.S('Common sample'!BA6:BA75,'Common sample'!BB6:BB75)</x:f>
        <x:v>-0.00013744949214809164</x:v>
      </x:c>
      <x:c r="L14" s="43" t="n">
        <x:f>_xlfn.COVARIANCE.S('Common sample'!BA6:BA75,'Common sample'!BC6:BC75)</x:f>
        <x:v>-0.0004715783262662325</x:v>
      </x:c>
      <x:c r="M14" s="43" t="n">
        <x:f>_xlfn.COVARIANCE.S('Common sample'!BA6:BA75,'Common sample'!BD6:BD75)</x:f>
        <x:v>0.0000020715419129582767</x:v>
      </x:c>
      <x:c r="N14" s="43" t="n">
        <x:f>_xlfn.COVARIANCE.S('Common sample'!BA6:BA75,'Common sample'!BE6:BE75)</x:f>
        <x:v>-0.0003449259223631866</x:v>
      </x:c>
      <x:c r="O14" s="43" t="n">
        <x:f>_xlfn.COVARIANCE.S('Common sample'!BA6:BA75,'Common sample'!BF6:BF75)</x:f>
        <x:v>-0.00009885220212013214</x:v>
      </x:c>
      <x:c r="P14" s="43" t="n">
        <x:f>_xlfn.COVARIANCE.S('Common sample'!BA6:BA75,'Common sample'!BG6:BG75)</x:f>
        <x:v>-0.00010343595692756503</x:v>
      </x:c>
      <x:c r="Q14" s="43" t="n">
        <x:f>_xlfn.COVARIANCE.S('Common sample'!BA6:BA75,'Common sample'!BH6:BH75)</x:f>
        <x:v>0.00012554900485693715</x:v>
      </x:c>
      <x:c r="R14" s="43" t="n">
        <x:f>_xlfn.COVARIANCE.S('Common sample'!BA6:BA75,'Common sample'!BI6:BI75)</x:f>
        <x:v>-0.00020584891994336583</x:v>
      </x:c>
      <x:c r="S14" s="43" t="n">
        <x:f>_xlfn.COVARIANCE.S('Common sample'!BA6:BA75,'Common sample'!BJ6:BJ75)</x:f>
        <x:v>-0.00010648079237382143</x:v>
      </x:c>
    </x:row>
    <x:row r="15" ht="19" customHeight="1">
      <x:c r="A15" s="30" t="str">
        <x:v>XLP</x:v>
      </x:c>
      <x:c r="B15" s="43" t="n">
        <x:f>_xlfn.COVARIANCE.S('Common sample'!BB6:BB75,'Common sample'!AS6:AS75)</x:f>
        <x:v>0.00016646296759109574</x:v>
      </x:c>
      <x:c r="C15" s="43" t="n">
        <x:f>_xlfn.COVARIANCE.S('Common sample'!BB6:BB75,'Common sample'!AT6:AT75)</x:f>
        <x:v>0.0001697974131235644</x:v>
      </x:c>
      <x:c r="D15" s="43" t="n">
        <x:f>_xlfn.COVARIANCE.S('Common sample'!BB6:BB75,'Common sample'!AU6:AU75)</x:f>
        <x:v>0.00017159017003639398</x:v>
      </x:c>
      <x:c r="E15" s="43" t="n">
        <x:f>_xlfn.COVARIANCE.S('Common sample'!BB6:BB75,'Common sample'!AV6:AV75)</x:f>
        <x:v>0.00017858581023254402</x:v>
      </x:c>
      <x:c r="F15" s="43" t="n">
        <x:f>_xlfn.COVARIANCE.S('Common sample'!BB6:BB75,'Common sample'!AW6:AW75)</x:f>
        <x:v>0.0002496565285659259</x:v>
      </x:c>
      <x:c r="G15" s="43" t="n">
        <x:f>_xlfn.COVARIANCE.S('Common sample'!BB6:BB75,'Common sample'!AX6:AX75)</x:f>
        <x:v>0.00007065078341951745</x:v>
      </x:c>
      <x:c r="H15" s="43" t="n">
        <x:f>_xlfn.COVARIANCE.S('Common sample'!BB6:BB75,'Common sample'!AY6:AY75)</x:f>
        <x:v>-0.000020950648233360115</x:v>
      </x:c>
      <x:c r="I15" s="43" t="n">
        <x:f>_xlfn.COVARIANCE.S('Common sample'!BB6:BB75,'Common sample'!AZ6:AZ75)</x:f>
        <x:v>0.00006911772253304687</x:v>
      </x:c>
      <x:c r="J15" s="43" t="n">
        <x:f>_xlfn.COVARIANCE.S('Common sample'!BB6:BB75,'Common sample'!BA6:BA75)</x:f>
        <x:v>-0.00013744949214809164</x:v>
      </x:c>
      <x:c r="K15" s="43" t="n">
        <x:f>_xlfn.COVARIANCE.S('Common sample'!BB6:BB75,'Common sample'!BB6:BB75)</x:f>
        <x:v>0.0011347631169059988</x:v>
      </x:c>
      <x:c r="L15" s="43" t="n">
        <x:f>_xlfn.COVARIANCE.S('Common sample'!BB6:BB75,'Common sample'!BC6:BC75)</x:f>
        <x:v>0.0003873749053637587</x:v>
      </x:c>
      <x:c r="M15" s="43" t="n">
        <x:f>_xlfn.COVARIANCE.S('Common sample'!BB6:BB75,'Common sample'!BD6:BD75)</x:f>
        <x:v>0.0000363559810951931</x:v>
      </x:c>
      <x:c r="N15" s="43" t="n">
        <x:f>_xlfn.COVARIANCE.S('Common sample'!BB6:BB75,'Common sample'!BE6:BE75)</x:f>
        <x:v>0.0005813067402334337</x:v>
      </x:c>
      <x:c r="O15" s="43" t="n">
        <x:f>_xlfn.COVARIANCE.S('Common sample'!BB6:BB75,'Common sample'!BF6:BF75)</x:f>
        <x:v>0.00044032131296113046</x:v>
      </x:c>
      <x:c r="P15" s="43" t="n">
        <x:f>_xlfn.COVARIANCE.S('Common sample'!BB6:BB75,'Common sample'!BG6:BG75)</x:f>
        <x:v>0.0006604007447652278</x:v>
      </x:c>
      <x:c r="Q15" s="43" t="n">
        <x:f>_xlfn.COVARIANCE.S('Common sample'!BB6:BB75,'Common sample'!BH6:BH75)</x:f>
        <x:v>0.0007120264907507254</x:v>
      </x:c>
      <x:c r="R15" s="43" t="n">
        <x:f>_xlfn.COVARIANCE.S('Common sample'!BB6:BB75,'Common sample'!BI6:BI75)</x:f>
        <x:v>-0.0005739897797691556</x:v>
      </x:c>
      <x:c r="S15" s="43" t="n">
        <x:f>_xlfn.COVARIANCE.S('Common sample'!BB6:BB75,'Common sample'!BJ6:BJ75)</x:f>
        <x:v>0.0007314923577247951</x:v>
      </x:c>
    </x:row>
    <x:row r="16" ht="19" customHeight="1">
      <x:c r="A16" s="30" t="str">
        <x:v>XLE</x:v>
      </x:c>
      <x:c r="B16" s="43" t="n">
        <x:f>_xlfn.COVARIANCE.S('Common sample'!BC6:BC75,'Common sample'!AS6:AS75)</x:f>
        <x:v>0.00010778320859223254</x:v>
      </x:c>
      <x:c r="C16" s="43" t="n">
        <x:f>_xlfn.COVARIANCE.S('Common sample'!BC6:BC75,'Common sample'!AT6:AT75)</x:f>
        <x:v>0.000039912110698983895</x:v>
      </x:c>
      <x:c r="D16" s="43" t="n">
        <x:f>_xlfn.COVARIANCE.S('Common sample'!BC6:BC75,'Common sample'!AU6:AU75)</x:f>
        <x:v>-0.000022620544194822316</x:v>
      </x:c>
      <x:c r="E16" s="43" t="n">
        <x:f>_xlfn.COVARIANCE.S('Common sample'!BC6:BC75,'Common sample'!AV6:AV75)</x:f>
        <x:v>0.000005727587036688261</x:v>
      </x:c>
      <x:c r="F16" s="43" t="n">
        <x:f>_xlfn.COVARIANCE.S('Common sample'!BC6:BC75,'Common sample'!AW6:AW75)</x:f>
        <x:v>0.0003146550488836586</x:v>
      </x:c>
      <x:c r="G16" s="43" t="n">
        <x:f>_xlfn.COVARIANCE.S('Common sample'!BC6:BC75,'Common sample'!AX6:AX75)</x:f>
        <x:v>0.00014430094806576664</x:v>
      </x:c>
      <x:c r="H16" s="43" t="n">
        <x:f>_xlfn.COVARIANCE.S('Common sample'!BC6:BC75,'Common sample'!AY6:AY75)</x:f>
        <x:v>0.00003718421343061977</x:v>
      </x:c>
      <x:c r="I16" s="43" t="n">
        <x:f>_xlfn.COVARIANCE.S('Common sample'!BC6:BC75,'Common sample'!AZ6:AZ75)</x:f>
        <x:v>0.00007225479231966104</x:v>
      </x:c>
      <x:c r="J16" s="43" t="n">
        <x:f>_xlfn.COVARIANCE.S('Common sample'!BC6:BC75,'Common sample'!BA6:BA75)</x:f>
        <x:v>-0.0004715783262662325</x:v>
      </x:c>
      <x:c r="K16" s="43" t="n">
        <x:f>_xlfn.COVARIANCE.S('Common sample'!BC6:BC75,'Common sample'!BB6:BB75)</x:f>
        <x:v>0.0003873749053637587</x:v>
      </x:c>
      <x:c r="L16" s="43" t="n">
        <x:f>_xlfn.COVARIANCE.S('Common sample'!BC6:BC75,'Common sample'!BC6:BC75)</x:f>
        <x:v>0.005379089766901881</x:v>
      </x:c>
      <x:c r="M16" s="43" t="n">
        <x:f>_xlfn.COVARIANCE.S('Common sample'!BC6:BC75,'Common sample'!BD6:BD75)</x:f>
        <x:v>0.0005176517491725897</x:v>
      </x:c>
      <x:c r="N16" s="43" t="n">
        <x:f>_xlfn.COVARIANCE.S('Common sample'!BC6:BC75,'Common sample'!BE6:BE75)</x:f>
        <x:v>0.0005075896779518326</x:v>
      </x:c>
      <x:c r="O16" s="43" t="n">
        <x:f>_xlfn.COVARIANCE.S('Common sample'!BC6:BC75,'Common sample'!BF6:BF75)</x:f>
        <x:v>0.00037073957369653703</x:v>
      </x:c>
      <x:c r="P16" s="43" t="n">
        <x:f>_xlfn.COVARIANCE.S('Common sample'!BC6:BC75,'Common sample'!BG6:BG75)</x:f>
        <x:v>0.0009842380265754085</x:v>
      </x:c>
      <x:c r="Q16" s="43" t="n">
        <x:f>_xlfn.COVARIANCE.S('Common sample'!BC6:BC75,'Common sample'!BH6:BH75)</x:f>
        <x:v>0.00047002568361174615</x:v>
      </x:c>
      <x:c r="R16" s="43" t="n">
        <x:f>_xlfn.COVARIANCE.S('Common sample'!BC6:BC75,'Common sample'!BI6:BI75)</x:f>
        <x:v>-0.0009857192983999256</x:v>
      </x:c>
      <x:c r="S16" s="43" t="n">
        <x:f>_xlfn.COVARIANCE.S('Common sample'!BC6:BC75,'Common sample'!BJ6:BJ75)</x:f>
        <x:v>0.0004275088037832267</x:v>
      </x:c>
    </x:row>
    <x:row r="17" ht="19" customHeight="1">
      <x:c r="A17" s="30" t="str">
        <x:v>XLF</x:v>
      </x:c>
      <x:c r="B17" s="43" t="n">
        <x:f>_xlfn.COVARIANCE.S('Common sample'!BD6:BD75,'Common sample'!AS6:AS75)</x:f>
        <x:v>0.00003812046084507086</x:v>
      </x:c>
      <x:c r="C17" s="43" t="n">
        <x:f>_xlfn.COVARIANCE.S('Common sample'!BD6:BD75,'Common sample'!AT6:AT75)</x:f>
        <x:v>0.000048027884629846345</x:v>
      </x:c>
      <x:c r="D17" s="43" t="n">
        <x:f>_xlfn.COVARIANCE.S('Common sample'!BD6:BD75,'Common sample'!AU6:AU75)</x:f>
        <x:v>0.0000632806256828739</x:v>
      </x:c>
      <x:c r="E17" s="43" t="n">
        <x:f>_xlfn.COVARIANCE.S('Common sample'!BD6:BD75,'Common sample'!AV6:AV75)</x:f>
        <x:v>0.00006999922896338039</x:v>
      </x:c>
      <x:c r="F17" s="43" t="n">
        <x:f>_xlfn.COVARIANCE.S('Common sample'!BD6:BD75,'Common sample'!AW6:AW75)</x:f>
        <x:v>-0.000002304270586157039</x:v>
      </x:c>
      <x:c r="G17" s="43" t="n">
        <x:f>_xlfn.COVARIANCE.S('Common sample'!BD6:BD75,'Common sample'!AX6:AX75)</x:f>
        <x:v>0.00004128130993159237</x:v>
      </x:c>
      <x:c r="H17" s="43" t="n">
        <x:f>_xlfn.COVARIANCE.S('Common sample'!BD6:BD75,'Common sample'!AY6:AY75)</x:f>
        <x:v>0.000022173640150670082</x:v>
      </x:c>
      <x:c r="I17" s="43" t="n">
        <x:f>_xlfn.COVARIANCE.S('Common sample'!BD6:BD75,'Common sample'!AZ6:AZ75)</x:f>
        <x:v>0.00003058887953306083</x:v>
      </x:c>
      <x:c r="J17" s="43" t="n">
        <x:f>_xlfn.COVARIANCE.S('Common sample'!BD6:BD75,'Common sample'!BA6:BA75)</x:f>
        <x:v>0.0000020715419129582767</x:v>
      </x:c>
      <x:c r="K17" s="43" t="n">
        <x:f>_xlfn.COVARIANCE.S('Common sample'!BD6:BD75,'Common sample'!BB6:BB75)</x:f>
        <x:v>0.0000363559810951931</x:v>
      </x:c>
      <x:c r="L17" s="43" t="n">
        <x:f>_xlfn.COVARIANCE.S('Common sample'!BD6:BD75,'Common sample'!BC6:BC75)</x:f>
        <x:v>0.0005176517491725897</x:v>
      </x:c>
      <x:c r="M17" s="43" t="n">
        <x:f>_xlfn.COVARIANCE.S('Common sample'!BD6:BD75,'Common sample'!BD6:BD75)</x:f>
        <x:v>0.0009526470130990195</x:v>
      </x:c>
      <x:c r="N17" s="43" t="n">
        <x:f>_xlfn.COVARIANCE.S('Common sample'!BD6:BD75,'Common sample'!BE6:BE75)</x:f>
        <x:v>0.00026603608419956636</x:v>
      </x:c>
      <x:c r="O17" s="43" t="n">
        <x:f>_xlfn.COVARIANCE.S('Common sample'!BD6:BD75,'Common sample'!BF6:BF75)</x:f>
        <x:v>0.0002883088295573793</x:v>
      </x:c>
      <x:c r="P17" s="43" t="n">
        <x:f>_xlfn.COVARIANCE.S('Common sample'!BD6:BD75,'Common sample'!BG6:BG75)</x:f>
        <x:v>0.0004199854299963818</x:v>
      </x:c>
      <x:c r="Q17" s="43" t="n">
        <x:f>_xlfn.COVARIANCE.S('Common sample'!BD6:BD75,'Common sample'!BH6:BH75)</x:f>
        <x:v>0.00029820239244288403</x:v>
      </x:c>
      <x:c r="R17" s="43" t="n">
        <x:f>_xlfn.COVARIANCE.S('Common sample'!BD6:BD75,'Common sample'!BI6:BI75)</x:f>
        <x:v>-0.0005999573447612956</x:v>
      </x:c>
      <x:c r="S17" s="43" t="n">
        <x:f>_xlfn.COVARIANCE.S('Common sample'!BD6:BD75,'Common sample'!BJ6:BJ75)</x:f>
        <x:v>0.00017851674364795228</x:v>
      </x:c>
    </x:row>
    <x:row r="18" ht="19" customHeight="1">
      <x:c r="A18" s="30" t="str">
        <x:v>XLV</x:v>
      </x:c>
      <x:c r="B18" s="43" t="n">
        <x:f>_xlfn.COVARIANCE.S('Common sample'!BE6:BE75,'Common sample'!AS6:AS75)</x:f>
        <x:v>0.00004725310291604345</x:v>
      </x:c>
      <x:c r="C18" s="43" t="n">
        <x:f>_xlfn.COVARIANCE.S('Common sample'!BE6:BE75,'Common sample'!AT6:AT75)</x:f>
        <x:v>0.00008057952225768227</x:v>
      </x:c>
      <x:c r="D18" s="43" t="n">
        <x:f>_xlfn.COVARIANCE.S('Common sample'!BE6:BE75,'Common sample'!AU6:AU75)</x:f>
        <x:v>0.0001071426806978246</x:v>
      </x:c>
      <x:c r="E18" s="43" t="n">
        <x:f>_xlfn.COVARIANCE.S('Common sample'!BE6:BE75,'Common sample'!AV6:AV75)</x:f>
        <x:v>0.00011937045494669348</x:v>
      </x:c>
      <x:c r="F18" s="43" t="n">
        <x:f>_xlfn.COVARIANCE.S('Common sample'!BE6:BE75,'Common sample'!AW6:AW75)</x:f>
        <x:v>0.00010693843703384367</x:v>
      </x:c>
      <x:c r="G18" s="43" t="n">
        <x:f>_xlfn.COVARIANCE.S('Common sample'!BE6:BE75,'Common sample'!AX6:AX75)</x:f>
        <x:v>0.000041719302088025166</x:v>
      </x:c>
      <x:c r="H18" s="43" t="n">
        <x:f>_xlfn.COVARIANCE.S('Common sample'!BE6:BE75,'Common sample'!AY6:AY75)</x:f>
        <x:v>-0.000016930274043865046</x:v>
      </x:c>
      <x:c r="I18" s="43" t="n">
        <x:f>_xlfn.COVARIANCE.S('Common sample'!BE6:BE75,'Common sample'!AZ6:AZ75)</x:f>
        <x:v>0.00001019737985134473</x:v>
      </x:c>
      <x:c r="J18" s="43" t="n">
        <x:f>_xlfn.COVARIANCE.S('Common sample'!BE6:BE75,'Common sample'!BA6:BA75)</x:f>
        <x:v>-0.0003449259223631866</x:v>
      </x:c>
      <x:c r="K18" s="43" t="n">
        <x:f>_xlfn.COVARIANCE.S('Common sample'!BE6:BE75,'Common sample'!BB6:BB75)</x:f>
        <x:v>0.0005813067402334337</x:v>
      </x:c>
      <x:c r="L18" s="43" t="n">
        <x:f>_xlfn.COVARIANCE.S('Common sample'!BE6:BE75,'Common sample'!BC6:BC75)</x:f>
        <x:v>0.0005075896779518326</x:v>
      </x:c>
      <x:c r="M18" s="43" t="n">
        <x:f>_xlfn.COVARIANCE.S('Common sample'!BE6:BE75,'Common sample'!BD6:BD75)</x:f>
        <x:v>0.00026603608419956636</x:v>
      </x:c>
      <x:c r="N18" s="43" t="n">
        <x:f>_xlfn.COVARIANCE.S('Common sample'!BE6:BE75,'Common sample'!BE6:BE75)</x:f>
        <x:v>0.001382541357522713</x:v>
      </x:c>
      <x:c r="O18" s="43" t="n">
        <x:f>_xlfn.COVARIANCE.S('Common sample'!BE6:BE75,'Common sample'!BF6:BF75)</x:f>
        <x:v>0.0001856039242826492</x:v>
      </x:c>
      <x:c r="P18" s="43" t="n">
        <x:f>_xlfn.COVARIANCE.S('Common sample'!BE6:BE75,'Common sample'!BG6:BG75)</x:f>
        <x:v>0.0004055421876960893</x:v>
      </x:c>
      <x:c r="Q18" s="43" t="n">
        <x:f>_xlfn.COVARIANCE.S('Common sample'!BE6:BE75,'Common sample'!BH6:BH75)</x:f>
        <x:v>0.000588723886395529</x:v>
      </x:c>
      <x:c r="R18" s="43" t="n">
        <x:f>_xlfn.COVARIANCE.S('Common sample'!BE6:BE75,'Common sample'!BI6:BI75)</x:f>
        <x:v>-0.0006681744056984946</x:v>
      </x:c>
      <x:c r="S18" s="43" t="n">
        <x:f>_xlfn.COVARIANCE.S('Common sample'!BE6:BE75,'Common sample'!BJ6:BJ75)</x:f>
        <x:v>0.00043441348790060867</x:v>
      </x:c>
    </x:row>
    <x:row r="19" ht="19" customHeight="1">
      <x:c r="A19" s="30" t="str">
        <x:v>XLI</x:v>
      </x:c>
      <x:c r="B19" s="43" t="n">
        <x:f>_xlfn.COVARIANCE.S('Common sample'!BF6:BF75,'Common sample'!AS6:AS75)</x:f>
        <x:v>0.00022262554372154015</x:v>
      </x:c>
      <x:c r="C19" s="43" t="n">
        <x:f>_xlfn.COVARIANCE.S('Common sample'!BF6:BF75,'Common sample'!AT6:AT75)</x:f>
        <x:v>0.00012729925318677888</x:v>
      </x:c>
      <x:c r="D19" s="43" t="n">
        <x:f>_xlfn.COVARIANCE.S('Common sample'!BF6:BF75,'Common sample'!AU6:AU75)</x:f>
        <x:v>0.00009431676385064518</x:v>
      </x:c>
      <x:c r="E19" s="43" t="n">
        <x:f>_xlfn.COVARIANCE.S('Common sample'!BF6:BF75,'Common sample'!AV6:AV75)</x:f>
        <x:v>0.00009390431945571496</x:v>
      </x:c>
      <x:c r="F19" s="43" t="n">
        <x:f>_xlfn.COVARIANCE.S('Common sample'!BF6:BF75,'Common sample'!AW6:AW75)</x:f>
        <x:v>0.00021429044164705984</x:v>
      </x:c>
      <x:c r="G19" s="43" t="n">
        <x:f>_xlfn.COVARIANCE.S('Common sample'!BF6:BF75,'Common sample'!AX6:AX75)</x:f>
        <x:v>0.00003149448517671279</x:v>
      </x:c>
      <x:c r="H19" s="43" t="n">
        <x:f>_xlfn.COVARIANCE.S('Common sample'!BF6:BF75,'Common sample'!AY6:AY75)</x:f>
        <x:v>0.00001427933162761816</x:v>
      </x:c>
      <x:c r="I19" s="43" t="n">
        <x:f>_xlfn.COVARIANCE.S('Common sample'!BF6:BF75,'Common sample'!AZ6:AZ75)</x:f>
        <x:v>-0.00014513778626284944</x:v>
      </x:c>
      <x:c r="J19" s="43" t="n">
        <x:f>_xlfn.COVARIANCE.S('Common sample'!BF6:BF75,'Common sample'!BA6:BA75)</x:f>
        <x:v>-0.00009885220212013214</x:v>
      </x:c>
      <x:c r="K19" s="43" t="n">
        <x:f>_xlfn.COVARIANCE.S('Common sample'!BF6:BF75,'Common sample'!BB6:BB75)</x:f>
        <x:v>0.00044032131296113046</x:v>
      </x:c>
      <x:c r="L19" s="43" t="n">
        <x:f>_xlfn.COVARIANCE.S('Common sample'!BF6:BF75,'Common sample'!BC6:BC75)</x:f>
        <x:v>0.00037073957369653703</x:v>
      </x:c>
      <x:c r="M19" s="43" t="n">
        <x:f>_xlfn.COVARIANCE.S('Common sample'!BF6:BF75,'Common sample'!BD6:BD75)</x:f>
        <x:v>0.0002883088295573793</x:v>
      </x:c>
      <x:c r="N19" s="43" t="n">
        <x:f>_xlfn.COVARIANCE.S('Common sample'!BF6:BF75,'Common sample'!BE6:BE75)</x:f>
        <x:v>0.0001856039242826492</x:v>
      </x:c>
      <x:c r="O19" s="43" t="n">
        <x:f>_xlfn.COVARIANCE.S('Common sample'!BF6:BF75,'Common sample'!BF6:BF75)</x:f>
        <x:v>0.000908454145202326</x:v>
      </x:c>
      <x:c r="P19" s="43" t="n">
        <x:f>_xlfn.COVARIANCE.S('Common sample'!BF6:BF75,'Common sample'!BG6:BG75)</x:f>
        <x:v>0.0009710597210140308</x:v>
      </x:c>
      <x:c r="Q19" s="43" t="n">
        <x:f>_xlfn.COVARIANCE.S('Common sample'!BF6:BF75,'Common sample'!BH6:BH75)</x:f>
        <x:v>0.00031108144438665437</x:v>
      </x:c>
      <x:c r="R19" s="43" t="n">
        <x:f>_xlfn.COVARIANCE.S('Common sample'!BF6:BF75,'Common sample'!BI6:BI75)</x:f>
        <x:v>-0.00035942276083247523</x:v>
      </x:c>
      <x:c r="S19" s="43" t="n">
        <x:f>_xlfn.COVARIANCE.S('Common sample'!BF6:BF75,'Common sample'!BJ6:BJ75)</x:f>
        <x:v>0.0005357167176257589</x:v>
      </x:c>
    </x:row>
    <x:row r="20" ht="19" customHeight="1">
      <x:c r="A20" s="30" t="str">
        <x:v>XLB</x:v>
      </x:c>
      <x:c r="B20" s="43" t="n">
        <x:f>_xlfn.COVARIANCE.S('Common sample'!BG6:BG75,'Common sample'!AS6:AS75)</x:f>
        <x:v>0.00038703341126427085</x:v>
      </x:c>
      <x:c r="C20" s="43" t="n">
        <x:f>_xlfn.COVARIANCE.S('Common sample'!BG6:BG75,'Common sample'!AT6:AT75)</x:f>
        <x:v>0.0002035935470526574</x:v>
      </x:c>
      <x:c r="D20" s="43" t="n">
        <x:f>_xlfn.COVARIANCE.S('Common sample'!BG6:BG75,'Common sample'!AU6:AU75)</x:f>
        <x:v>0.0002346502024040907</x:v>
      </x:c>
      <x:c r="E20" s="43" t="n">
        <x:f>_xlfn.COVARIANCE.S('Common sample'!BG6:BG75,'Common sample'!AV6:AV75)</x:f>
        <x:v>0.0002457859828893077</x:v>
      </x:c>
      <x:c r="F20" s="43" t="n">
        <x:f>_xlfn.COVARIANCE.S('Common sample'!BG6:BG75,'Common sample'!AW6:AW75)</x:f>
        <x:v>0.00039923962197359927</x:v>
      </x:c>
      <x:c r="G20" s="43" t="n">
        <x:f>_xlfn.COVARIANCE.S('Common sample'!BG6:BG75,'Common sample'!AX6:AX75)</x:f>
        <x:v>0.0001956955607537482</x:v>
      </x:c>
      <x:c r="H20" s="43" t="n">
        <x:f>_xlfn.COVARIANCE.S('Common sample'!BG6:BG75,'Common sample'!AY6:AY75)</x:f>
        <x:v>0.000004644668273081903</x:v>
      </x:c>
      <x:c r="I20" s="43" t="n">
        <x:f>_xlfn.COVARIANCE.S('Common sample'!BG6:BG75,'Common sample'!AZ6:AZ75)</x:f>
        <x:v>-0.00006911507311714739</x:v>
      </x:c>
      <x:c r="J20" s="43" t="n">
        <x:f>_xlfn.COVARIANCE.S('Common sample'!BG6:BG75,'Common sample'!BA6:BA75)</x:f>
        <x:v>-0.00010343595692756503</x:v>
      </x:c>
      <x:c r="K20" s="43" t="n">
        <x:f>_xlfn.COVARIANCE.S('Common sample'!BG6:BG75,'Common sample'!BB6:BB75)</x:f>
        <x:v>0.0006604007447652278</x:v>
      </x:c>
      <x:c r="L20" s="43" t="n">
        <x:f>_xlfn.COVARIANCE.S('Common sample'!BG6:BG75,'Common sample'!BC6:BC75)</x:f>
        <x:v>0.0009842380265754085</x:v>
      </x:c>
      <x:c r="M20" s="43" t="n">
        <x:f>_xlfn.COVARIANCE.S('Common sample'!BG6:BG75,'Common sample'!BD6:BD75)</x:f>
        <x:v>0.0004199854299963818</x:v>
      </x:c>
      <x:c r="N20" s="43" t="n">
        <x:f>_xlfn.COVARIANCE.S('Common sample'!BG6:BG75,'Common sample'!BE6:BE75)</x:f>
        <x:v>0.0004055421876960893</x:v>
      </x:c>
      <x:c r="O20" s="43" t="n">
        <x:f>_xlfn.COVARIANCE.S('Common sample'!BG6:BG75,'Common sample'!BF6:BF75)</x:f>
        <x:v>0.0009710597210140308</x:v>
      </x:c>
      <x:c r="P20" s="43" t="n">
        <x:f>_xlfn.COVARIANCE.S('Common sample'!BG6:BG75,'Common sample'!BG6:BG75)</x:f>
        <x:v>0.0016199817026594184</x:v>
      </x:c>
      <x:c r="Q20" s="43" t="n">
        <x:f>_xlfn.COVARIANCE.S('Common sample'!BG6:BG75,'Common sample'!BH6:BH75)</x:f>
        <x:v>0.0006356602212466118</x:v>
      </x:c>
      <x:c r="R20" s="43" t="n">
        <x:f>_xlfn.COVARIANCE.S('Common sample'!BG6:BG75,'Common sample'!BI6:BI75)</x:f>
        <x:v>-0.0006394769666136522</x:v>
      </x:c>
      <x:c r="S20" s="43" t="n">
        <x:f>_xlfn.COVARIANCE.S('Common sample'!BG6:BG75,'Common sample'!BJ6:BJ75)</x:f>
        <x:v>0.000732289101724073</x:v>
      </x:c>
    </x:row>
    <x:row r="21" ht="19" customHeight="1">
      <x:c r="A21" s="30" t="str">
        <x:v>XLRE</x:v>
      </x:c>
      <x:c r="B21" s="43" t="n">
        <x:f>_xlfn.COVARIANCE.S('Common sample'!BH6:BH75,'Common sample'!AS6:AS75)</x:f>
        <x:v>0.000017482569791251724</x:v>
      </x:c>
      <x:c r="C21" s="43" t="n">
        <x:f>_xlfn.COVARIANCE.S('Common sample'!BH6:BH75,'Common sample'!AT6:AT75)</x:f>
        <x:v>0.00017449535000791896</x:v>
      </x:c>
      <x:c r="D21" s="43" t="n">
        <x:f>_xlfn.COVARIANCE.S('Common sample'!BH6:BH75,'Common sample'!AU6:AU75)</x:f>
        <x:v>0.00019717368762272835</x:v>
      </x:c>
      <x:c r="E21" s="43" t="n">
        <x:f>_xlfn.COVARIANCE.S('Common sample'!BH6:BH75,'Common sample'!AV6:AV75)</x:f>
        <x:v>0.00020634297453680055</x:v>
      </x:c>
      <x:c r="F21" s="43" t="n">
        <x:f>_xlfn.COVARIANCE.S('Common sample'!BH6:BH75,'Common sample'!AW6:AW75)</x:f>
        <x:v>0.00029858879217374394</x:v>
      </x:c>
      <x:c r="G21" s="43" t="n">
        <x:f>_xlfn.COVARIANCE.S('Common sample'!BH6:BH75,'Common sample'!AX6:AX75)</x:f>
        <x:v>0.00017786497539450246</x:v>
      </x:c>
      <x:c r="H21" s="43" t="n">
        <x:f>_xlfn.COVARIANCE.S('Common sample'!BH6:BH75,'Common sample'!AY6:AY75)</x:f>
        <x:v>0.0000021275934927187484</x:v>
      </x:c>
      <x:c r="I21" s="43" t="n">
        <x:f>_xlfn.COVARIANCE.S('Common sample'!BH6:BH75,'Common sample'!AZ6:AZ75)</x:f>
        <x:v>-0.00002275992546599741</x:v>
      </x:c>
      <x:c r="J21" s="43" t="n">
        <x:f>_xlfn.COVARIANCE.S('Common sample'!BH6:BH75,'Common sample'!BA6:BA75)</x:f>
        <x:v>0.00012554900485693715</x:v>
      </x:c>
      <x:c r="K21" s="43" t="n">
        <x:f>_xlfn.COVARIANCE.S('Common sample'!BH6:BH75,'Common sample'!BB6:BB75)</x:f>
        <x:v>0.0007120264907507254</x:v>
      </x:c>
      <x:c r="L21" s="43" t="n">
        <x:f>_xlfn.COVARIANCE.S('Common sample'!BH6:BH75,'Common sample'!BC6:BC75)</x:f>
        <x:v>0.00047002568361174615</x:v>
      </x:c>
      <x:c r="M21" s="43" t="n">
        <x:f>_xlfn.COVARIANCE.S('Common sample'!BH6:BH75,'Common sample'!BD6:BD75)</x:f>
        <x:v>0.00029820239244288403</x:v>
      </x:c>
      <x:c r="N21" s="43" t="n">
        <x:f>_xlfn.COVARIANCE.S('Common sample'!BH6:BH75,'Common sample'!BE6:BE75)</x:f>
        <x:v>0.000588723886395529</x:v>
      </x:c>
      <x:c r="O21" s="43" t="n">
        <x:f>_xlfn.COVARIANCE.S('Common sample'!BH6:BH75,'Common sample'!BF6:BF75)</x:f>
        <x:v>0.00031108144438665437</x:v>
      </x:c>
      <x:c r="P21" s="43" t="n">
        <x:f>_xlfn.COVARIANCE.S('Common sample'!BH6:BH75,'Common sample'!BG6:BG75)</x:f>
        <x:v>0.0006356602212466118</x:v>
      </x:c>
      <x:c r="Q21" s="43" t="n">
        <x:f>_xlfn.COVARIANCE.S('Common sample'!BH6:BH75,'Common sample'!BH6:BH75)</x:f>
        <x:v>0.0013679890752084892</x:v>
      </x:c>
      <x:c r="R21" s="43" t="n">
        <x:f>_xlfn.COVARIANCE.S('Common sample'!BH6:BH75,'Common sample'!BI6:BI75)</x:f>
        <x:v>-0.0006413986886987105</x:v>
      </x:c>
      <x:c r="S21" s="43" t="n">
        <x:f>_xlfn.COVARIANCE.S('Common sample'!BH6:BH75,'Common sample'!BJ6:BJ75)</x:f>
        <x:v>0.0008299466668205438</x:v>
      </x:c>
    </x:row>
    <x:row r="22" ht="19" customHeight="1">
      <x:c r="A22" s="30" t="str">
        <x:v>XLK</x:v>
      </x:c>
      <x:c r="B22" s="43" t="n">
        <x:f>_xlfn.COVARIANCE.S('Common sample'!BI6:BI75,'Common sample'!AS6:AS75)</x:f>
        <x:v>-0.00008067325781975244</x:v>
      </x:c>
      <x:c r="C22" s="43" t="n">
        <x:f>_xlfn.COVARIANCE.S('Common sample'!BI6:BI75,'Common sample'!AT6:AT75)</x:f>
        <x:v>-0.00011434113815896209</x:v>
      </x:c>
      <x:c r="D22" s="43" t="n">
        <x:f>_xlfn.COVARIANCE.S('Common sample'!BI6:BI75,'Common sample'!AU6:AU75)</x:f>
        <x:v>-0.00013183231512518318</x:v>
      </x:c>
      <x:c r="E22" s="43" t="n">
        <x:f>_xlfn.COVARIANCE.S('Common sample'!BI6:BI75,'Common sample'!AV6:AV75)</x:f>
        <x:v>-0.00013988978706264504</x:v>
      </x:c>
      <x:c r="F22" s="43" t="n">
        <x:f>_xlfn.COVARIANCE.S('Common sample'!BI6:BI75,'Common sample'!AW6:AW75)</x:f>
        <x:v>-0.00018150579726615914</x:v>
      </x:c>
      <x:c r="G22" s="43" t="n">
        <x:f>_xlfn.COVARIANCE.S('Common sample'!BI6:BI75,'Common sample'!AX6:AX75)</x:f>
        <x:v>-0.00006082193179393006</x:v>
      </x:c>
      <x:c r="H22" s="43" t="n">
        <x:f>_xlfn.COVARIANCE.S('Common sample'!BI6:BI75,'Common sample'!AY6:AY75)</x:f>
        <x:v>0.0000012745581884469287</x:v>
      </x:c>
      <x:c r="I22" s="43" t="n">
        <x:f>_xlfn.COVARIANCE.S('Common sample'!BI6:BI75,'Common sample'!AZ6:AZ75)</x:f>
        <x:v>-0.0003800253766829068</x:v>
      </x:c>
      <x:c r="J22" s="43" t="n">
        <x:f>_xlfn.COVARIANCE.S('Common sample'!BI6:BI75,'Common sample'!BA6:BA75)</x:f>
        <x:v>-0.00020584891994336583</x:v>
      </x:c>
      <x:c r="K22" s="43" t="n">
        <x:f>_xlfn.COVARIANCE.S('Common sample'!BI6:BI75,'Common sample'!BB6:BB75)</x:f>
        <x:v>-0.0005739897797691556</x:v>
      </x:c>
      <x:c r="L22" s="43" t="n">
        <x:f>_xlfn.COVARIANCE.S('Common sample'!BI6:BI75,'Common sample'!BC6:BC75)</x:f>
        <x:v>-0.0009857192983999256</x:v>
      </x:c>
      <x:c r="M22" s="43" t="n">
        <x:f>_xlfn.COVARIANCE.S('Common sample'!BI6:BI75,'Common sample'!BD6:BD75)</x:f>
        <x:v>-0.0005999573447612956</x:v>
      </x:c>
      <x:c r="N22" s="43" t="n">
        <x:f>_xlfn.COVARIANCE.S('Common sample'!BI6:BI75,'Common sample'!BE6:BE75)</x:f>
        <x:v>-0.0006681744056984946</x:v>
      </x:c>
      <x:c r="O22" s="43" t="n">
        <x:f>_xlfn.COVARIANCE.S('Common sample'!BI6:BI75,'Common sample'!BF6:BF75)</x:f>
        <x:v>-0.00035942276083247523</x:v>
      </x:c>
      <x:c r="P22" s="43" t="n">
        <x:f>_xlfn.COVARIANCE.S('Common sample'!BI6:BI75,'Common sample'!BG6:BG75)</x:f>
        <x:v>-0.0006394769666136522</x:v>
      </x:c>
      <x:c r="Q22" s="43" t="n">
        <x:f>_xlfn.COVARIANCE.S('Common sample'!BI6:BI75,'Common sample'!BH6:BH75)</x:f>
        <x:v>-0.0006413986886987105</x:v>
      </x:c>
      <x:c r="R22" s="43" t="n">
        <x:f>_xlfn.COVARIANCE.S('Common sample'!BI6:BI75,'Common sample'!BI6:BI75)</x:f>
        <x:v>0.001153047057011305</x:v>
      </x:c>
      <x:c r="S22" s="43" t="n">
        <x:f>_xlfn.COVARIANCE.S('Common sample'!BI6:BI75,'Common sample'!BJ6:BJ75)</x:f>
        <x:v>-0.0005692765350402071</x:v>
      </x:c>
    </x:row>
    <x:row r="23" ht="19" customHeight="1">
      <x:c r="A23" s="30" t="str">
        <x:v>XLU</x:v>
      </x:c>
      <x:c r="B23" s="43" t="n">
        <x:f>_xlfn.COVARIANCE.S('Common sample'!BJ6:BJ75,'Common sample'!AS6:AS75)</x:f>
        <x:v>0.00012039204473824402</x:v>
      </x:c>
      <x:c r="C23" s="43" t="n">
        <x:f>_xlfn.COVARIANCE.S('Common sample'!BJ6:BJ75,'Common sample'!AT6:AT75)</x:f>
        <x:v>0.00015165403051735926</x:v>
      </x:c>
      <x:c r="D23" s="43" t="n">
        <x:f>_xlfn.COVARIANCE.S('Common sample'!BJ6:BJ75,'Common sample'!AU6:AU75)</x:f>
        <x:v>0.00018617825595025302</x:v>
      </x:c>
      <x:c r="E23" s="43" t="n">
        <x:f>_xlfn.COVARIANCE.S('Common sample'!BJ6:BJ75,'Common sample'!AV6:AV75)</x:f>
        <x:v>0.0002024487486816515</x:v>
      </x:c>
      <x:c r="F23" s="43" t="n">
        <x:f>_xlfn.COVARIANCE.S('Common sample'!BJ6:BJ75,'Common sample'!AW6:AW75)</x:f>
        <x:v>0.0002812154364242849</x:v>
      </x:c>
      <x:c r="G23" s="43" t="n">
        <x:f>_xlfn.COVARIANCE.S('Common sample'!BJ6:BJ75,'Common sample'!AX6:AX75)</x:f>
        <x:v>0.0001259995481817467</x:v>
      </x:c>
      <x:c r="H23" s="43" t="n">
        <x:f>_xlfn.COVARIANCE.S('Common sample'!BJ6:BJ75,'Common sample'!AY6:AY75)</x:f>
        <x:v>-0.00003291322870843114</x:v>
      </x:c>
      <x:c r="I23" s="43" t="n">
        <x:f>_xlfn.COVARIANCE.S('Common sample'!BJ6:BJ75,'Common sample'!AZ6:AZ75)</x:f>
        <x:v>-0.00013727405001711176</x:v>
      </x:c>
      <x:c r="J23" s="43" t="n">
        <x:f>_xlfn.COVARIANCE.S('Common sample'!BJ6:BJ75,'Common sample'!BA6:BA75)</x:f>
        <x:v>-0.00010648079237382143</x:v>
      </x:c>
      <x:c r="K23" s="43" t="n">
        <x:f>_xlfn.COVARIANCE.S('Common sample'!BJ6:BJ75,'Common sample'!BB6:BB75)</x:f>
        <x:v>0.0007314923577247951</x:v>
      </x:c>
      <x:c r="L23" s="43" t="n">
        <x:f>_xlfn.COVARIANCE.S('Common sample'!BJ6:BJ75,'Common sample'!BC6:BC75)</x:f>
        <x:v>0.0004275088037832267</x:v>
      </x:c>
      <x:c r="M23" s="43" t="n">
        <x:f>_xlfn.COVARIANCE.S('Common sample'!BJ6:BJ75,'Common sample'!BD6:BD75)</x:f>
        <x:v>0.00017851674364795228</x:v>
      </x:c>
      <x:c r="N23" s="43" t="n">
        <x:f>_xlfn.COVARIANCE.S('Common sample'!BJ6:BJ75,'Common sample'!BE6:BE75)</x:f>
        <x:v>0.00043441348790060867</x:v>
      </x:c>
      <x:c r="O23" s="43" t="n">
        <x:f>_xlfn.COVARIANCE.S('Common sample'!BJ6:BJ75,'Common sample'!BF6:BF75)</x:f>
        <x:v>0.0005357167176257589</x:v>
      </x:c>
      <x:c r="P23" s="43" t="n">
        <x:f>_xlfn.COVARIANCE.S('Common sample'!BJ6:BJ75,'Common sample'!BG6:BG75)</x:f>
        <x:v>0.000732289101724073</x:v>
      </x:c>
      <x:c r="Q23" s="43" t="n">
        <x:f>_xlfn.COVARIANCE.S('Common sample'!BJ6:BJ75,'Common sample'!BH6:BH75)</x:f>
        <x:v>0.0008299466668205438</x:v>
      </x:c>
      <x:c r="R23" s="43" t="n">
        <x:f>_xlfn.COVARIANCE.S('Common sample'!BJ6:BJ75,'Common sample'!BI6:BI75)</x:f>
        <x:v>-0.0005692765350402071</x:v>
      </x:c>
      <x:c r="S23" s="43" t="n">
        <x:f>_xlfn.COVARIANCE.S('Common sample'!BJ6:BJ75,'Common sample'!BJ6:BJ75)</x:f>
        <x:v>0.0018586827511218548</x:v>
      </x:c>
    </x:row>
  </x:sheetData>
  <x:pageMargins left="0.7" right="0.7" top="0.75" bottom="0.75" header="0.3" footer="0.3"/>
</x:worksheet>
</file>

<file path=xl/worksheets/sheet6.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15"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15" hidden="0" customWidth="1"/>
    <x:col min="31" max="31" width="15" hidden="0" customWidth="1"/>
    <x:col min="32" max="32" width="15" hidden="0" customWidth="1"/>
    <x:col min="33" max="33" width="15" hidden="0" customWidth="1"/>
    <x:col min="34" max="34" width="15" hidden="0" customWidth="1"/>
    <x:col min="35" max="35" width="15" hidden="0" customWidth="1"/>
    <x:col min="36" max="36" width="15" hidden="0" customWidth="1"/>
    <x:col min="37" max="37" width="15" hidden="0" customWidth="1"/>
    <x:col min="38" max="38" width="15" hidden="0" customWidth="1"/>
    <x:col min="39" max="39" width="15" hidden="0" customWidth="1"/>
    <x:col min="40" max="40" width="15" hidden="0" customWidth="1"/>
    <x:col min="41" max="41" width="15" hidden="0" customWidth="1"/>
    <x:col min="42" max="42" width="15" hidden="0" customWidth="1"/>
    <x:col min="43" max="43" width="15" hidden="0" customWidth="1"/>
    <x:col min="44" max="44"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c r="W1" s="24"/>
      <x:c r="X1" s="24"/>
      <x:c r="Y1" s="24"/>
      <x:c r="Z1" s="24"/>
      <x:c r="AA1" s="24"/>
      <x:c r="AB1" s="24"/>
      <x:c r="AC1" s="24"/>
      <x:c r="AD1" s="24"/>
      <x:c r="AE1" s="24"/>
      <x:c r="AF1" s="24"/>
      <x:c r="AG1" s="24"/>
      <x:c r="AH1" s="24"/>
      <x:c r="AI1" s="24"/>
      <x:c r="AJ1" s="24"/>
      <x:c r="AK1" s="24"/>
      <x:c r="AL1" s="24"/>
      <x:c r="AM1" s="24"/>
      <x:c r="AN1" s="24"/>
      <x:c r="AO1" s="24"/>
      <x:c r="AP1" s="24"/>
      <x:c r="AQ1" s="24"/>
      <x:c r="AR1" s="24"/>
    </x:row>
    <x:row r="2" ht="19" customHeight="1">
      <x:c r="A2" s="35" t="str">
        <x:v>Residual covariance</x:v>
      </x:c>
      <x:c r="B2" s="24"/>
      <x:c r="C2" s="24"/>
      <x:c r="D2" s="24"/>
      <x:c r="E2" s="24"/>
      <x:c r="F2" s="24"/>
      <x:c r="G2" s="24"/>
      <x:c r="H2" s="24"/>
      <x:c r="I2" s="24"/>
      <x:c r="J2" s="24"/>
      <x:c r="K2" s="24"/>
      <x:c r="L2" s="24"/>
      <x:c r="M2" s="24"/>
      <x:c r="N2" s="24"/>
      <x:c r="O2" s="24"/>
      <x:c r="P2" s="24"/>
      <x:c r="Q2" s="24"/>
      <x:c r="R2" s="24"/>
      <x:c r="S2" s="24"/>
      <x:c r="T2" s="24"/>
      <x:c r="U2" s="24"/>
      <x:c r="V2" s="24"/>
      <x:c r="W2" s="24"/>
      <x:c r="X2" s="24"/>
      <x:c r="Y2" s="24"/>
      <x:c r="Z2" s="24"/>
      <x:c r="AA2" s="24"/>
      <x:c r="AB2" s="24"/>
      <x:c r="AC2" s="24"/>
      <x:c r="AD2" s="24"/>
      <x:c r="AE2" s="24"/>
      <x:c r="AF2" s="24"/>
      <x:c r="AG2" s="24"/>
      <x:c r="AH2" s="24"/>
      <x:c r="AI2" s="24"/>
      <x:c r="AJ2" s="24"/>
      <x:c r="AK2" s="24"/>
      <x:c r="AL2" s="24"/>
      <x:c r="AM2" s="24"/>
      <x:c r="AN2" s="24"/>
      <x:c r="AO2" s="24"/>
      <x:c r="AP2" s="24"/>
      <x:c r="AQ2" s="24"/>
      <x:c r="AR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c r="W3" s="24"/>
      <x:c r="X3" s="24"/>
      <x:c r="Y3" s="24"/>
      <x:c r="Z3" s="24"/>
      <x:c r="AA3" s="24"/>
      <x:c r="AB3" s="24"/>
      <x:c r="AC3" s="24"/>
      <x:c r="AD3" s="24"/>
      <x:c r="AE3" s="24"/>
      <x:c r="AF3" s="24"/>
      <x:c r="AG3" s="24"/>
      <x:c r="AH3" s="24"/>
      <x:c r="AI3" s="24"/>
      <x:c r="AJ3" s="24"/>
      <x:c r="AK3" s="24"/>
      <x:c r="AL3" s="24"/>
      <x:c r="AM3" s="24"/>
      <x:c r="AN3" s="24"/>
      <x:c r="AO3" s="24"/>
      <x:c r="AP3" s="24"/>
      <x:c r="AQ3" s="24"/>
      <x:c r="AR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c r="W4" s="24"/>
      <x:c r="X4" s="24"/>
      <x:c r="Y4" s="24"/>
      <x:c r="Z4" s="24"/>
      <x:c r="AA4" s="24"/>
      <x:c r="AB4" s="24"/>
      <x:c r="AC4" s="24"/>
      <x:c r="AD4" s="24"/>
      <x:c r="AE4" s="24"/>
      <x:c r="AF4" s="24"/>
      <x:c r="AG4" s="24"/>
      <x:c r="AH4" s="24"/>
      <x:c r="AI4" s="24"/>
      <x:c r="AJ4" s="24"/>
      <x:c r="AK4" s="24"/>
      <x:c r="AL4" s="24"/>
      <x:c r="AM4" s="24"/>
      <x:c r="AN4" s="24"/>
      <x:c r="AO4" s="24"/>
      <x:c r="AP4" s="24"/>
      <x:c r="AQ4" s="24"/>
      <x:c r="AR4" s="24"/>
    </x:row>
    <x:row r="5" ht="42" customHeight="1">
      <x:c r="A5" s="36" t="str">
        <x:v>Factor / stock</x:v>
      </x:c>
      <x:c r="B5" s="36" t="str">
        <x:v>VST</x:v>
      </x:c>
      <x:c r="C5" s="36" t="str">
        <x:v>VIST</x:v>
      </x:c>
      <x:c r="D5" s="36" t="str">
        <x:v>AEP</x:v>
      </x:c>
      <x:c r="E5" s="36" t="str">
        <x:v>ETR</x:v>
      </x:c>
      <x:c r="F5" s="36" t="str">
        <x:v>DIS</x:v>
      </x:c>
      <x:c r="G5" s="36" t="str">
        <x:v>CMG</x:v>
      </x:c>
      <x:c r="H5" s="36" t="str">
        <x:v>AMZN</x:v>
      </x:c>
      <x:c r="I5" s="36" t="str">
        <x:v>FIX</x:v>
      </x:c>
      <x:c r="J5" s="36" t="str">
        <x:v>STX</x:v>
      </x:c>
      <x:c r="K5" s="36" t="str">
        <x:v>VLO</x:v>
      </x:c>
      <x:c r="L5" s="36" t="str">
        <x:v>CF</x:v>
      </x:c>
      <x:c r="M5" s="36" t="str">
        <x:v>NTR</x:v>
      </x:c>
      <x:c r="N5" s="36" t="str">
        <x:v>LNN</x:v>
      </x:c>
      <x:c r="O5" s="36" t="str">
        <x:v>WDC</x:v>
      </x:c>
      <x:c r="P5" s="36" t="str">
        <x:v>ASND</x:v>
      </x:c>
      <x:c r="Q5" s="36" t="str">
        <x:v>DOCN</x:v>
      </x:c>
      <x:c r="R5" s="36" t="str">
        <x:v>CME</x:v>
      </x:c>
      <x:c r="S5" s="36" t="str">
        <x:v>NET</x:v>
      </x:c>
      <x:c r="T5" s="36" t="str">
        <x:v>MRNA</x:v>
      </x:c>
      <x:c r="U5" s="36" t="str">
        <x:v>AXON</x:v>
      </x:c>
      <x:c r="V5" s="36" t="str">
        <x:v>NFLX</x:v>
      </x:c>
      <x:c r="W5" s="36" t="str">
        <x:v>CMCSA</x:v>
      </x:c>
      <x:c r="X5" s="36" t="str">
        <x:v>MU</x:v>
      </x:c>
      <x:c r="Y5" s="36" t="str">
        <x:v>NEM</x:v>
      </x:c>
      <x:c r="Z5" s="36" t="str">
        <x:v>PGR</x:v>
      </x:c>
      <x:c r="AA5" s="36" t="str">
        <x:v>ORKA</x:v>
      </x:c>
      <x:c r="AB5" s="36" t="str">
        <x:v>UPST</x:v>
      </x:c>
      <x:c r="AC5" s="36" t="str">
        <x:v>PG</x:v>
      </x:c>
      <x:c r="AD5" s="36" t="str">
        <x:v>F</x:v>
      </x:c>
      <x:c r="AE5" s="36" t="str">
        <x:v>HPE</x:v>
      </x:c>
      <x:c r="AF5" s="36" t="str">
        <x:v>BA</x:v>
      </x:c>
      <x:c r="AG5" s="36" t="str">
        <x:v>HII</x:v>
      </x:c>
      <x:c r="AH5" s="36" t="str">
        <x:v>AMD</x:v>
      </x:c>
      <x:c r="AI5" s="36" t="str">
        <x:v>LLY</x:v>
      </x:c>
      <x:c r="AJ5" s="36" t="str">
        <x:v>WELL</x:v>
      </x:c>
      <x:c r="AK5" s="36" t="str">
        <x:v>NOK</x:v>
      </x:c>
      <x:c r="AL5" s="36" t="str">
        <x:v>MSFT</x:v>
      </x:c>
      <x:c r="AM5" s="36" t="str">
        <x:v>GOOGL</x:v>
      </x:c>
      <x:c r="AN5" s="36" t="str">
        <x:v>COST</x:v>
      </x:c>
      <x:c r="AO5" s="36" t="str">
        <x:v>HD</x:v>
      </x:c>
      <x:c r="AP5" s="36" t="str">
        <x:v>KO</x:v>
      </x:c>
      <x:c r="AQ5" s="36" t="str">
        <x:v>JNJ</x:v>
      </x:c>
      <x:c r="AR5" s="36" t="str">
        <x:v>BRK-B</x:v>
      </x:c>
    </x:row>
    <x:row r="6" ht="19" customHeight="1">
      <x:c r="A6" s="30" t="str">
        <x:v>VST</x:v>
      </x:c>
      <x:c r="B6" s="43" t="n">
        <x:f>_xlfn.COVARIANCE.S('Common sample'!B6:B75,'Common sample'!B6:B75)</x:f>
        <x:v>0.010268068499729307</x:v>
      </x:c>
      <x:c r="C6" s="43" t="n">
        <x:f>_xlfn.COVARIANCE.S('Common sample'!B6:B75,'Common sample'!C6:C75)</x:f>
        <x:v>-0.001240339003502556</x:v>
      </x:c>
      <x:c r="D6" s="43" t="n">
        <x:f>_xlfn.COVARIANCE.S('Common sample'!B6:B75,'Common sample'!D6:D75)</x:f>
        <x:v>-0.0007350319473312533</x:v>
      </x:c>
      <x:c r="E6" s="43" t="n">
        <x:f>_xlfn.COVARIANCE.S('Common sample'!B6:B75,'Common sample'!E6:E75)</x:f>
        <x:v>-0.0007272647430372628</x:v>
      </x:c>
      <x:c r="F6" s="43" t="n">
        <x:f>_xlfn.COVARIANCE.S('Common sample'!B6:B75,'Common sample'!F6:F75)</x:f>
        <x:v>0.001081629723390629</x:v>
      </x:c>
      <x:c r="G6" s="43" t="n">
        <x:f>_xlfn.COVARIANCE.S('Common sample'!B6:B75,'Common sample'!G6:G75)</x:f>
        <x:v>0.0020358403891367477</x:v>
      </x:c>
      <x:c r="H6" s="43" t="n">
        <x:f>_xlfn.COVARIANCE.S('Common sample'!B6:B75,'Common sample'!H6:H75)</x:f>
        <x:v>-0.00004973125106065662</x:v>
      </x:c>
      <x:c r="I6" s="43" t="n">
        <x:f>_xlfn.COVARIANCE.S('Common sample'!B6:B75,'Common sample'!I6:I75)</x:f>
        <x:v>0.002437006606649486</x:v>
      </x:c>
      <x:c r="J6" s="43" t="n">
        <x:f>_xlfn.COVARIANCE.S('Common sample'!B6:B75,'Common sample'!J6:J75)</x:f>
        <x:v>-0.0009950707239845546</x:v>
      </x:c>
      <x:c r="K6" s="43" t="n">
        <x:f>_xlfn.COVARIANCE.S('Common sample'!B6:B75,'Common sample'!K6:K75)</x:f>
        <x:v>0.0008033440781742541</x:v>
      </x:c>
      <x:c r="L6" s="43" t="n">
        <x:f>_xlfn.COVARIANCE.S('Common sample'!B6:B75,'Common sample'!L6:L75)</x:f>
        <x:v>0.0009873216015609959</x:v>
      </x:c>
      <x:c r="M6" s="43" t="n">
        <x:f>_xlfn.COVARIANCE.S('Common sample'!B6:B75,'Common sample'!M6:M75)</x:f>
        <x:v>0.001469278828001789</x:v>
      </x:c>
      <x:c r="N6" s="43" t="n">
        <x:f>_xlfn.COVARIANCE.S('Common sample'!B6:B75,'Common sample'!N6:N75)</x:f>
        <x:v>0.0003882577511490511</x:v>
      </x:c>
      <x:c r="O6" s="43" t="n">
        <x:f>_xlfn.COVARIANCE.S('Common sample'!B6:B75,'Common sample'!O6:O75)</x:f>
        <x:v>-0.000028878767130218368</x:v>
      </x:c>
      <x:c r="P6" s="43" t="n">
        <x:f>_xlfn.COVARIANCE.S('Common sample'!B6:B75,'Common sample'!P6:P75)</x:f>
        <x:v>-0.00048651812625548666</x:v>
      </x:c>
      <x:c r="Q6" s="43" t="n">
        <x:f>_xlfn.COVARIANCE.S('Common sample'!B6:B75,'Common sample'!Q6:Q75)</x:f>
        <x:v>-0.0029653024697013485</x:v>
      </x:c>
      <x:c r="R6" s="43" t="n">
        <x:f>_xlfn.COVARIANCE.S('Common sample'!B6:B75,'Common sample'!R6:R75)</x:f>
        <x:v>0.0004109103437287455</x:v>
      </x:c>
      <x:c r="S6" s="43" t="n">
        <x:f>_xlfn.COVARIANCE.S('Common sample'!B6:B75,'Common sample'!S6:S75)</x:f>
        <x:v>0.00010766073458438994</x:v>
      </x:c>
      <x:c r="T6" s="43" t="n">
        <x:f>_xlfn.COVARIANCE.S('Common sample'!B6:B75,'Common sample'!T6:T75)</x:f>
        <x:v>0.0020206003102176103</x:v>
      </x:c>
      <x:c r="U6" s="43" t="n">
        <x:f>_xlfn.COVARIANCE.S('Common sample'!B6:B75,'Common sample'!U6:U75)</x:f>
        <x:v>0.003724308046304008</x:v>
      </x:c>
      <x:c r="V6" s="43" t="n">
        <x:f>_xlfn.COVARIANCE.S('Common sample'!B6:B75,'Common sample'!V6:V75)</x:f>
        <x:v>0.0010232714099393757</x:v>
      </x:c>
      <x:c r="W6" s="43" t="n">
        <x:f>_xlfn.COVARIANCE.S('Common sample'!B6:B75,'Common sample'!W6:W75)</x:f>
        <x:v>-0.00018266253201298582</x:v>
      </x:c>
      <x:c r="X6" s="43" t="n">
        <x:f>_xlfn.COVARIANCE.S('Common sample'!B6:B75,'Common sample'!X6:X75)</x:f>
        <x:v>0.0030353853333758146</x:v>
      </x:c>
      <x:c r="Y6" s="43" t="n">
        <x:f>_xlfn.COVARIANCE.S('Common sample'!B6:B75,'Common sample'!Y6:Y75)</x:f>
        <x:v>-0.00017344902066458766</x:v>
      </x:c>
      <x:c r="Z6" s="43" t="n">
        <x:f>_xlfn.COVARIANCE.S('Common sample'!B6:B75,'Common sample'!Z6:Z75)</x:f>
        <x:v>-0.00012461438130052457</x:v>
      </x:c>
      <x:c r="AA6" s="43" t="n">
        <x:f>_xlfn.COVARIANCE.S('Common sample'!B6:B75,'Common sample'!AA6:AA75)</x:f>
        <x:v>-0.0026952931026373115</x:v>
      </x:c>
      <x:c r="AB6" s="43" t="n">
        <x:f>_xlfn.COVARIANCE.S('Common sample'!B6:B75,'Common sample'!AB6:AB75)</x:f>
        <x:v>-0.0007010244884211926</x:v>
      </x:c>
      <x:c r="AC6" s="43" t="n">
        <x:f>_xlfn.COVARIANCE.S('Common sample'!B6:B75,'Common sample'!AC6:AC75)</x:f>
        <x:v>0.0011928197464637555</x:v>
      </x:c>
      <x:c r="AD6" s="43" t="n">
        <x:f>_xlfn.COVARIANCE.S('Common sample'!B6:B75,'Common sample'!AD6:AD75)</x:f>
        <x:v>-0.00027407267836843487</x:v>
      </x:c>
      <x:c r="AE6" s="43" t="n">
        <x:f>_xlfn.COVARIANCE.S('Common sample'!B6:B75,'Common sample'!AE6:AE75)</x:f>
        <x:v>0.0007525957978458419</x:v>
      </x:c>
      <x:c r="AF6" s="43" t="n">
        <x:f>_xlfn.COVARIANCE.S('Common sample'!B6:B75,'Common sample'!AF6:AF75)</x:f>
        <x:v>-0.0011731118850226406</x:v>
      </x:c>
      <x:c r="AG6" s="43" t="n">
        <x:f>_xlfn.COVARIANCE.S('Common sample'!B6:B75,'Common sample'!AG6:AG75)</x:f>
        <x:v>-0.000039703449779997504</x:v>
      </x:c>
      <x:c r="AH6" s="43" t="n">
        <x:f>_xlfn.COVARIANCE.S('Common sample'!B6:B75,'Common sample'!AH6:AH75)</x:f>
        <x:v>-0.0005021355966977976</x:v>
      </x:c>
      <x:c r="AI6" s="43" t="n">
        <x:f>_xlfn.COVARIANCE.S('Common sample'!B6:B75,'Common sample'!AI6:AI75)</x:f>
        <x:v>0.0007523968959018501</x:v>
      </x:c>
      <x:c r="AJ6" s="43" t="n">
        <x:f>_xlfn.COVARIANCE.S('Common sample'!B6:B75,'Common sample'!AJ6:AJ75)</x:f>
        <x:v>0.00011199497467077912</x:v>
      </x:c>
      <x:c r="AK6" s="43" t="n">
        <x:f>_xlfn.COVARIANCE.S('Common sample'!B6:B75,'Common sample'!AK6:AK75)</x:f>
        <x:v>-0.0016439784917417044</x:v>
      </x:c>
      <x:c r="AL6" s="43" t="n">
        <x:f>_xlfn.COVARIANCE.S('Common sample'!B6:B75,'Common sample'!AL6:AL75)</x:f>
        <x:v>0.00019069820650243185</x:v>
      </x:c>
      <x:c r="AM6" s="43" t="n">
        <x:f>_xlfn.COVARIANCE.S('Common sample'!B6:B75,'Common sample'!AM6:AM75)</x:f>
        <x:v>-0.00009149445103665028</x:v>
      </x:c>
      <x:c r="AN6" s="43" t="n">
        <x:f>_xlfn.COVARIANCE.S('Common sample'!B6:B75,'Common sample'!AN6:AN75)</x:f>
        <x:v>0.0003896164705356978</x:v>
      </x:c>
      <x:c r="AO6" s="43" t="n">
        <x:f>_xlfn.COVARIANCE.S('Common sample'!B6:B75,'Common sample'!AO6:AO75)</x:f>
        <x:v>0.0012713616171676398</x:v>
      </x:c>
      <x:c r="AP6" s="43" t="n">
        <x:f>_xlfn.COVARIANCE.S('Common sample'!B6:B75,'Common sample'!AP6:AP75)</x:f>
        <x:v>-0.0006472538946109977</x:v>
      </x:c>
      <x:c r="AQ6" s="43" t="n">
        <x:f>_xlfn.COVARIANCE.S('Common sample'!B6:B75,'Common sample'!AQ6:AQ75)</x:f>
        <x:v>-0.0008124691617127082</x:v>
      </x:c>
      <x:c r="AR6" s="43" t="n">
        <x:f>_xlfn.COVARIANCE.S('Common sample'!B6:B75,'Common sample'!AR6:AR75)</x:f>
        <x:v>-0.00014305120279854475</x:v>
      </x:c>
    </x:row>
    <x:row r="7" ht="19" customHeight="1">
      <x:c r="A7" s="30" t="str">
        <x:v>VIST</x:v>
      </x:c>
      <x:c r="B7" s="43" t="n">
        <x:f>_xlfn.COVARIANCE.S('Common sample'!C6:C75,'Common sample'!B6:B75)</x:f>
        <x:v>-0.001240339003502556</x:v>
      </x:c>
      <x:c r="C7" s="43" t="n">
        <x:f>_xlfn.COVARIANCE.S('Common sample'!C6:C75,'Common sample'!C6:C75)</x:f>
        <x:v>0.010350920668862628</x:v>
      </x:c>
      <x:c r="D7" s="43" t="n">
        <x:f>_xlfn.COVARIANCE.S('Common sample'!C6:C75,'Common sample'!D6:D75)</x:f>
        <x:v>0.0005305829349473474</x:v>
      </x:c>
      <x:c r="E7" s="43" t="n">
        <x:f>_xlfn.COVARIANCE.S('Common sample'!C6:C75,'Common sample'!E6:E75)</x:f>
        <x:v>-0.0002798613679046016</x:v>
      </x:c>
      <x:c r="F7" s="43" t="n">
        <x:f>_xlfn.COVARIANCE.S('Common sample'!C6:C75,'Common sample'!F6:F75)</x:f>
        <x:v>0.0005065701196748721</x:v>
      </x:c>
      <x:c r="G7" s="43" t="n">
        <x:f>_xlfn.COVARIANCE.S('Common sample'!C6:C75,'Common sample'!G6:G75)</x:f>
        <x:v>0.00003291689648099036</x:v>
      </x:c>
      <x:c r="H7" s="43" t="n">
        <x:f>_xlfn.COVARIANCE.S('Common sample'!C6:C75,'Common sample'!H6:H75)</x:f>
        <x:v>0.0005288479795142119</x:v>
      </x:c>
      <x:c r="I7" s="43" t="n">
        <x:f>_xlfn.COVARIANCE.S('Common sample'!C6:C75,'Common sample'!I6:I75)</x:f>
        <x:v>0.0005007112102401941</x:v>
      </x:c>
      <x:c r="J7" s="43" t="n">
        <x:f>_xlfn.COVARIANCE.S('Common sample'!C6:C75,'Common sample'!J6:J75)</x:f>
        <x:v>-0.00020037638607053973</x:v>
      </x:c>
      <x:c r="K7" s="43" t="n">
        <x:f>_xlfn.COVARIANCE.S('Common sample'!C6:C75,'Common sample'!K6:K75)</x:f>
        <x:v>-0.0011028316608240607</x:v>
      </x:c>
      <x:c r="L7" s="43" t="n">
        <x:f>_xlfn.COVARIANCE.S('Common sample'!C6:C75,'Common sample'!L6:L75)</x:f>
        <x:v>0.0015551899162668998</x:v>
      </x:c>
      <x:c r="M7" s="43" t="n">
        <x:f>_xlfn.COVARIANCE.S('Common sample'!C6:C75,'Common sample'!M6:M75)</x:f>
        <x:v>0.0009017186829062659</x:v>
      </x:c>
      <x:c r="N7" s="43" t="n">
        <x:f>_xlfn.COVARIANCE.S('Common sample'!C6:C75,'Common sample'!N6:N75)</x:f>
        <x:v>-0.0011405712436186064</x:v>
      </x:c>
      <x:c r="O7" s="43" t="n">
        <x:f>_xlfn.COVARIANCE.S('Common sample'!C6:C75,'Common sample'!O6:O75)</x:f>
        <x:v>0.000941441747233383</x:v>
      </x:c>
      <x:c r="P7" s="43" t="n">
        <x:f>_xlfn.COVARIANCE.S('Common sample'!C6:C75,'Common sample'!P6:P75)</x:f>
        <x:v>-0.0002716127026862527</x:v>
      </x:c>
      <x:c r="Q7" s="43" t="n">
        <x:f>_xlfn.COVARIANCE.S('Common sample'!C6:C75,'Common sample'!Q6:Q75)</x:f>
        <x:v>0.004854208712287481</x:v>
      </x:c>
      <x:c r="R7" s="43" t="n">
        <x:f>_xlfn.COVARIANCE.S('Common sample'!C6:C75,'Common sample'!R6:R75)</x:f>
        <x:v>0.0005845396167216935</x:v>
      </x:c>
      <x:c r="S7" s="43" t="n">
        <x:f>_xlfn.COVARIANCE.S('Common sample'!C6:C75,'Common sample'!S6:S75)</x:f>
        <x:v>0.0006720460974071548</x:v>
      </x:c>
      <x:c r="T7" s="43" t="n">
        <x:f>_xlfn.COVARIANCE.S('Common sample'!C6:C75,'Common sample'!T6:T75)</x:f>
        <x:v>0.0022094447950184587</x:v>
      </x:c>
      <x:c r="U7" s="43" t="n">
        <x:f>_xlfn.COVARIANCE.S('Common sample'!C6:C75,'Common sample'!U6:U75)</x:f>
        <x:v>-0.001612361355496655</x:v>
      </x:c>
      <x:c r="V7" s="43" t="n">
        <x:f>_xlfn.COVARIANCE.S('Common sample'!C6:C75,'Common sample'!V6:V75)</x:f>
        <x:v>0.0005973319117785963</x:v>
      </x:c>
      <x:c r="W7" s="43" t="n">
        <x:f>_xlfn.COVARIANCE.S('Common sample'!C6:C75,'Common sample'!W6:W75)</x:f>
        <x:v>-0.0010092875614858155</x:v>
      </x:c>
      <x:c r="X7" s="43" t="n">
        <x:f>_xlfn.COVARIANCE.S('Common sample'!C6:C75,'Common sample'!X6:X75)</x:f>
        <x:v>-0.001045130207648946</x:v>
      </x:c>
      <x:c r="Y7" s="43" t="n">
        <x:f>_xlfn.COVARIANCE.S('Common sample'!C6:C75,'Common sample'!Y6:Y75)</x:f>
        <x:v>-0.000011589287601301693</x:v>
      </x:c>
      <x:c r="Z7" s="43" t="n">
        <x:f>_xlfn.COVARIANCE.S('Common sample'!C6:C75,'Common sample'!Z6:Z75)</x:f>
        <x:v>-0.00032553015298968194</x:v>
      </x:c>
      <x:c r="AA7" s="43" t="n">
        <x:f>_xlfn.COVARIANCE.S('Common sample'!C6:C75,'Common sample'!AA6:AA75)</x:f>
        <x:v>-0.0018754875137273386</x:v>
      </x:c>
      <x:c r="AB7" s="43" t="n">
        <x:f>_xlfn.COVARIANCE.S('Common sample'!C6:C75,'Common sample'!AB6:AB75)</x:f>
        <x:v>0.003167421726087324</x:v>
      </x:c>
      <x:c r="AC7" s="43" t="n">
        <x:f>_xlfn.COVARIANCE.S('Common sample'!C6:C75,'Common sample'!AC6:AC75)</x:f>
        <x:v>-0.00039965504250528077</x:v>
      </x:c>
      <x:c r="AD7" s="43" t="n">
        <x:f>_xlfn.COVARIANCE.S('Common sample'!C6:C75,'Common sample'!AD6:AD75)</x:f>
        <x:v>0.0014418904168760481</x:v>
      </x:c>
      <x:c r="AE7" s="43" t="n">
        <x:f>_xlfn.COVARIANCE.S('Common sample'!C6:C75,'Common sample'!AE6:AE75)</x:f>
        <x:v>-0.002435468187738876</x:v>
      </x:c>
      <x:c r="AF7" s="43" t="n">
        <x:f>_xlfn.COVARIANCE.S('Common sample'!C6:C75,'Common sample'!AF6:AF75)</x:f>
        <x:v>-0.0007585752101813291</x:v>
      </x:c>
      <x:c r="AG7" s="43" t="n">
        <x:f>_xlfn.COVARIANCE.S('Common sample'!C6:C75,'Common sample'!AG6:AG75)</x:f>
        <x:v>0.001655944074648815</x:v>
      </x:c>
      <x:c r="AH7" s="43" t="n">
        <x:f>_xlfn.COVARIANCE.S('Common sample'!C6:C75,'Common sample'!AH6:AH75)</x:f>
        <x:v>0.0008914547604521389</x:v>
      </x:c>
      <x:c r="AI7" s="43" t="n">
        <x:f>_xlfn.COVARIANCE.S('Common sample'!C6:C75,'Common sample'!AI6:AI75)</x:f>
        <x:v>0.0008658092141269766</x:v>
      </x:c>
      <x:c r="AJ7" s="43" t="n">
        <x:f>_xlfn.COVARIANCE.S('Common sample'!C6:C75,'Common sample'!AJ6:AJ75)</x:f>
        <x:v>0.00004239429036870967</x:v>
      </x:c>
      <x:c r="AK7" s="43" t="n">
        <x:f>_xlfn.COVARIANCE.S('Common sample'!C6:C75,'Common sample'!AK6:AK75)</x:f>
        <x:v>0.000735162817970891</x:v>
      </x:c>
      <x:c r="AL7" s="43" t="n">
        <x:f>_xlfn.COVARIANCE.S('Common sample'!C6:C75,'Common sample'!AL6:AL75)</x:f>
        <x:v>-0.000559560623671838</x:v>
      </x:c>
      <x:c r="AM7" s="43" t="n">
        <x:f>_xlfn.COVARIANCE.S('Common sample'!C6:C75,'Common sample'!AM6:AM75)</x:f>
        <x:v>0.00024069341041850424</x:v>
      </x:c>
      <x:c r="AN7" s="43" t="n">
        <x:f>_xlfn.COVARIANCE.S('Common sample'!C6:C75,'Common sample'!AN6:AN75)</x:f>
        <x:v>0.0008517963595691679</x:v>
      </x:c>
      <x:c r="AO7" s="43" t="n">
        <x:f>_xlfn.COVARIANCE.S('Common sample'!C6:C75,'Common sample'!AO6:AO75)</x:f>
        <x:v>-0.0008700730729839324</x:v>
      </x:c>
      <x:c r="AP7" s="43" t="n">
        <x:f>_xlfn.COVARIANCE.S('Common sample'!C6:C75,'Common sample'!AP6:AP75)</x:f>
        <x:v>0.00047270020574760336</x:v>
      </x:c>
      <x:c r="AQ7" s="43" t="n">
        <x:f>_xlfn.COVARIANCE.S('Common sample'!C6:C75,'Common sample'!AQ6:AQ75)</x:f>
        <x:v>-0.00042427239733679005</x:v>
      </x:c>
      <x:c r="AR7" s="43" t="n">
        <x:f>_xlfn.COVARIANCE.S('Common sample'!C6:C75,'Common sample'!AR6:AR75)</x:f>
        <x:v>0.0002545263277597261</x:v>
      </x:c>
    </x:row>
    <x:row r="8" ht="19" customHeight="1">
      <x:c r="A8" s="30" t="str">
        <x:v>AEP</x:v>
      </x:c>
      <x:c r="B8" s="43" t="n">
        <x:f>_xlfn.COVARIANCE.S('Common sample'!D6:D75,'Common sample'!B6:B75)</x:f>
        <x:v>-0.0007350319473312533</x:v>
      </x:c>
      <x:c r="C8" s="43" t="n">
        <x:f>_xlfn.COVARIANCE.S('Common sample'!D6:D75,'Common sample'!C6:C75)</x:f>
        <x:v>0.0005305829349473474</x:v>
      </x:c>
      <x:c r="D8" s="43" t="n">
        <x:f>_xlfn.COVARIANCE.S('Common sample'!D6:D75,'Common sample'!D6:D75)</x:f>
        <x:v>0.0010323435764723853</x:v>
      </x:c>
      <x:c r="E8" s="43" t="n">
        <x:f>_xlfn.COVARIANCE.S('Common sample'!D6:D75,'Common sample'!E6:E75)</x:f>
        <x:v>0.0004818574746189391</x:v>
      </x:c>
      <x:c r="F8" s="43" t="n">
        <x:f>_xlfn.COVARIANCE.S('Common sample'!D6:D75,'Common sample'!F6:F75)</x:f>
        <x:v>0.00046966195453147834</x:v>
      </x:c>
      <x:c r="G8" s="43" t="n">
        <x:f>_xlfn.COVARIANCE.S('Common sample'!D6:D75,'Common sample'!G6:G75)</x:f>
        <x:v>-0.0004068650320018402</x:v>
      </x:c>
      <x:c r="H8" s="43" t="n">
        <x:f>_xlfn.COVARIANCE.S('Common sample'!D6:D75,'Common sample'!H6:H75)</x:f>
        <x:v>0.00020580530712190835</x:v>
      </x:c>
      <x:c r="I8" s="43" t="n">
        <x:f>_xlfn.COVARIANCE.S('Common sample'!D6:D75,'Common sample'!I6:I75)</x:f>
        <x:v>0.000886220787631315</x:v>
      </x:c>
      <x:c r="J8" s="43" t="n">
        <x:f>_xlfn.COVARIANCE.S('Common sample'!D6:D75,'Common sample'!J6:J75)</x:f>
        <x:v>0.0009073492366662406</x:v>
      </x:c>
      <x:c r="K8" s="43" t="n">
        <x:f>_xlfn.COVARIANCE.S('Common sample'!D6:D75,'Common sample'!K6:K75)</x:f>
        <x:v>-0.000013779641191453795</x:v>
      </x:c>
      <x:c r="L8" s="43" t="n">
        <x:f>_xlfn.COVARIANCE.S('Common sample'!D6:D75,'Common sample'!L6:L75)</x:f>
        <x:v>-0.0002651563171204229</x:v>
      </x:c>
      <x:c r="M8" s="43" t="n">
        <x:f>_xlfn.COVARIANCE.S('Common sample'!D6:D75,'Common sample'!M6:M75)</x:f>
        <x:v>0.00007325436708231604</x:v>
      </x:c>
      <x:c r="N8" s="43" t="n">
        <x:f>_xlfn.COVARIANCE.S('Common sample'!D6:D75,'Common sample'!N6:N75)</x:f>
        <x:v>0.0000373486036124598</x:v>
      </x:c>
      <x:c r="O8" s="43" t="n">
        <x:f>_xlfn.COVARIANCE.S('Common sample'!D6:D75,'Common sample'!O6:O75)</x:f>
        <x:v>0.001357358856773198</x:v>
      </x:c>
      <x:c r="P8" s="43" t="n">
        <x:f>_xlfn.COVARIANCE.S('Common sample'!D6:D75,'Common sample'!P6:P75)</x:f>
        <x:v>-0.00030686892726475984</x:v>
      </x:c>
      <x:c r="Q8" s="43" t="n">
        <x:f>_xlfn.COVARIANCE.S('Common sample'!D6:D75,'Common sample'!Q6:Q75)</x:f>
        <x:v>0.0006952327871290943</x:v>
      </x:c>
      <x:c r="R8" s="43" t="n">
        <x:f>_xlfn.COVARIANCE.S('Common sample'!D6:D75,'Common sample'!R6:R75)</x:f>
        <x:v>0.00016691210624805302</x:v>
      </x:c>
      <x:c r="S8" s="43" t="n">
        <x:f>_xlfn.COVARIANCE.S('Common sample'!D6:D75,'Common sample'!S6:S75)</x:f>
        <x:v>0.000259421880610829</x:v>
      </x:c>
      <x:c r="T8" s="43" t="n">
        <x:f>_xlfn.COVARIANCE.S('Common sample'!D6:D75,'Common sample'!T6:T75)</x:f>
        <x:v>-0.0005209279218352396</x:v>
      </x:c>
      <x:c r="U8" s="43" t="n">
        <x:f>_xlfn.COVARIANCE.S('Common sample'!D6:D75,'Common sample'!U6:U75)</x:f>
        <x:v>-0.0004061307174792631</x:v>
      </x:c>
      <x:c r="V8" s="43" t="n">
        <x:f>_xlfn.COVARIANCE.S('Common sample'!D6:D75,'Common sample'!V6:V75)</x:f>
        <x:v>-0.0001584369563176425</x:v>
      </x:c>
      <x:c r="W8" s="43" t="n">
        <x:f>_xlfn.COVARIANCE.S('Common sample'!D6:D75,'Common sample'!W6:W75)</x:f>
        <x:v>-0.00008740561487957168</x:v>
      </x:c>
      <x:c r="X8" s="43" t="n">
        <x:f>_xlfn.COVARIANCE.S('Common sample'!D6:D75,'Common sample'!X6:X75)</x:f>
        <x:v>0.00029600978016263715</x:v>
      </x:c>
      <x:c r="Y8" s="43" t="n">
        <x:f>_xlfn.COVARIANCE.S('Common sample'!D6:D75,'Common sample'!Y6:Y75)</x:f>
        <x:v>-0.00010841714441155741</x:v>
      </x:c>
      <x:c r="Z8" s="43" t="n">
        <x:f>_xlfn.COVARIANCE.S('Common sample'!D6:D75,'Common sample'!Z6:Z75)</x:f>
        <x:v>0.00004481794838563054</x:v>
      </x:c>
      <x:c r="AA8" s="43" t="n">
        <x:f>_xlfn.COVARIANCE.S('Common sample'!D6:D75,'Common sample'!AA6:AA75)</x:f>
        <x:v>-0.0006551488927708493</x:v>
      </x:c>
      <x:c r="AB8" s="43" t="n">
        <x:f>_xlfn.COVARIANCE.S('Common sample'!D6:D75,'Common sample'!AB6:AB75)</x:f>
        <x:v>-0.0010220922845924857</x:v>
      </x:c>
      <x:c r="AC8" s="43" t="n">
        <x:f>_xlfn.COVARIANCE.S('Common sample'!D6:D75,'Common sample'!AC6:AC75)</x:f>
        <x:v>0.00025372981805192856</x:v>
      </x:c>
      <x:c r="AD8" s="43" t="n">
        <x:f>_xlfn.COVARIANCE.S('Common sample'!D6:D75,'Common sample'!AD6:AD75)</x:f>
        <x:v>0.0006927750734748224</x:v>
      </x:c>
      <x:c r="AE8" s="43" t="n">
        <x:f>_xlfn.COVARIANCE.S('Common sample'!D6:D75,'Common sample'!AE6:AE75)</x:f>
        <x:v>-0.0006034357573928155</x:v>
      </x:c>
      <x:c r="AF8" s="43" t="n">
        <x:f>_xlfn.COVARIANCE.S('Common sample'!D6:D75,'Common sample'!AF6:AF75)</x:f>
        <x:v>-0.000005376244110363437</x:v>
      </x:c>
      <x:c r="AG8" s="43" t="n">
        <x:f>_xlfn.COVARIANCE.S('Common sample'!D6:D75,'Common sample'!AG6:AG75)</x:f>
        <x:v>0.0003231403736608442</x:v>
      </x:c>
      <x:c r="AH8" s="43" t="n">
        <x:f>_xlfn.COVARIANCE.S('Common sample'!D6:D75,'Common sample'!AH6:AH75)</x:f>
        <x:v>0.0011068767346778293</x:v>
      </x:c>
      <x:c r="AI8" s="43" t="n">
        <x:f>_xlfn.COVARIANCE.S('Common sample'!D6:D75,'Common sample'!AI6:AI75)</x:f>
        <x:v>0.00040548697615001996</x:v>
      </x:c>
      <x:c r="AJ8" s="43" t="n">
        <x:f>_xlfn.COVARIANCE.S('Common sample'!D6:D75,'Common sample'!AJ6:AJ75)</x:f>
        <x:v>0.0007360330151128956</x:v>
      </x:c>
      <x:c r="AK8" s="43" t="n">
        <x:f>_xlfn.COVARIANCE.S('Common sample'!D6:D75,'Common sample'!AK6:AK75)</x:f>
        <x:v>0.0003069737439903063</x:v>
      </x:c>
      <x:c r="AL8" s="43" t="n">
        <x:f>_xlfn.COVARIANCE.S('Common sample'!D6:D75,'Common sample'!AL6:AL75)</x:f>
        <x:v>-0.00028536452307448886</x:v>
      </x:c>
      <x:c r="AM8" s="43" t="n">
        <x:f>_xlfn.COVARIANCE.S('Common sample'!D6:D75,'Common sample'!AM6:AM75)</x:f>
        <x:v>0.00011105986085921124</x:v>
      </x:c>
      <x:c r="AN8" s="43" t="n">
        <x:f>_xlfn.COVARIANCE.S('Common sample'!D6:D75,'Common sample'!AN6:AN75)</x:f>
        <x:v>0.0002842262922036139</x:v>
      </x:c>
      <x:c r="AO8" s="43" t="n">
        <x:f>_xlfn.COVARIANCE.S('Common sample'!D6:D75,'Common sample'!AO6:AO75)</x:f>
        <x:v>0.00041936474061051197</x:v>
      </x:c>
      <x:c r="AP8" s="43" t="n">
        <x:f>_xlfn.COVARIANCE.S('Common sample'!D6:D75,'Common sample'!AP6:AP75)</x:f>
        <x:v>0.00030634843097436233</x:v>
      </x:c>
      <x:c r="AQ8" s="43" t="n">
        <x:f>_xlfn.COVARIANCE.S('Common sample'!D6:D75,'Common sample'!AQ6:AQ75)</x:f>
        <x:v>0.0002983005872867806</x:v>
      </x:c>
      <x:c r="AR8" s="43" t="n">
        <x:f>_xlfn.COVARIANCE.S('Common sample'!D6:D75,'Common sample'!AR6:AR75)</x:f>
        <x:v>0.0002980095981894237</x:v>
      </x:c>
    </x:row>
    <x:row r="9" ht="19" customHeight="1">
      <x:c r="A9" s="30" t="str">
        <x:v>ETR</x:v>
      </x:c>
      <x:c r="B9" s="43" t="n">
        <x:f>_xlfn.COVARIANCE.S('Common sample'!E6:E75,'Common sample'!B6:B75)</x:f>
        <x:v>-0.0007272647430372628</x:v>
      </x:c>
      <x:c r="C9" s="43" t="n">
        <x:f>_xlfn.COVARIANCE.S('Common sample'!E6:E75,'Common sample'!C6:C75)</x:f>
        <x:v>-0.0002798613679046016</x:v>
      </x:c>
      <x:c r="D9" s="43" t="n">
        <x:f>_xlfn.COVARIANCE.S('Common sample'!E6:E75,'Common sample'!D6:D75)</x:f>
        <x:v>0.0004818574746189391</x:v>
      </x:c>
      <x:c r="E9" s="43" t="n">
        <x:f>_xlfn.COVARIANCE.S('Common sample'!E6:E75,'Common sample'!E6:E75)</x:f>
        <x:v>0.0011739711553831371</x:v>
      </x:c>
      <x:c r="F9" s="43" t="n">
        <x:f>_xlfn.COVARIANCE.S('Common sample'!E6:E75,'Common sample'!F6:F75)</x:f>
        <x:v>-0.00008648599495420614</x:v>
      </x:c>
      <x:c r="G9" s="43" t="n">
        <x:f>_xlfn.COVARIANCE.S('Common sample'!E6:E75,'Common sample'!G6:G75)</x:f>
        <x:v>-0.0005062664081902387</x:v>
      </x:c>
      <x:c r="H9" s="43" t="n">
        <x:f>_xlfn.COVARIANCE.S('Common sample'!E6:E75,'Common sample'!H6:H75)</x:f>
        <x:v>-0.00006874950997393004</x:v>
      </x:c>
      <x:c r="I9" s="43" t="n">
        <x:f>_xlfn.COVARIANCE.S('Common sample'!E6:E75,'Common sample'!I6:I75)</x:f>
        <x:v>0.0006569809455554825</x:v>
      </x:c>
      <x:c r="J9" s="43" t="n">
        <x:f>_xlfn.COVARIANCE.S('Common sample'!E6:E75,'Common sample'!J6:J75)</x:f>
        <x:v>0.0005577335170380214</x:v>
      </x:c>
      <x:c r="K9" s="43" t="n">
        <x:f>_xlfn.COVARIANCE.S('Common sample'!E6:E75,'Common sample'!K6:K75)</x:f>
        <x:v>-0.00008762982557659722</x:v>
      </x:c>
      <x:c r="L9" s="43" t="n">
        <x:f>_xlfn.COVARIANCE.S('Common sample'!E6:E75,'Common sample'!L6:L75)</x:f>
        <x:v>0.00010686819097316795</x:v>
      </x:c>
      <x:c r="M9" s="43" t="n">
        <x:f>_xlfn.COVARIANCE.S('Common sample'!E6:E75,'Common sample'!M6:M75)</x:f>
        <x:v>0.00018585458005612593</x:v>
      </x:c>
      <x:c r="N9" s="43" t="n">
        <x:f>_xlfn.COVARIANCE.S('Common sample'!E6:E75,'Common sample'!N6:N75)</x:f>
        <x:v>0.00024987764954337993</x:v>
      </x:c>
      <x:c r="O9" s="43" t="n">
        <x:f>_xlfn.COVARIANCE.S('Common sample'!E6:E75,'Common sample'!O6:O75)</x:f>
        <x:v>0.0011684301827026302</x:v>
      </x:c>
      <x:c r="P9" s="43" t="n">
        <x:f>_xlfn.COVARIANCE.S('Common sample'!E6:E75,'Common sample'!P6:P75)</x:f>
        <x:v>0.0001405390845095729</x:v>
      </x:c>
      <x:c r="Q9" s="43" t="n">
        <x:f>_xlfn.COVARIANCE.S('Common sample'!E6:E75,'Common sample'!Q6:Q75)</x:f>
        <x:v>0.001409315106426363</x:v>
      </x:c>
      <x:c r="R9" s="43" t="n">
        <x:f>_xlfn.COVARIANCE.S('Common sample'!E6:E75,'Common sample'!R6:R75)</x:f>
        <x:v>0.000042781869070731445</x:v>
      </x:c>
      <x:c r="S9" s="43" t="n">
        <x:f>_xlfn.COVARIANCE.S('Common sample'!E6:E75,'Common sample'!S6:S75)</x:f>
        <x:v>0.0003036385754330928</x:v>
      </x:c>
      <x:c r="T9" s="43" t="n">
        <x:f>_xlfn.COVARIANCE.S('Common sample'!E6:E75,'Common sample'!T6:T75)</x:f>
        <x:v>-0.0009182638394963379</x:v>
      </x:c>
      <x:c r="U9" s="43" t="n">
        <x:f>_xlfn.COVARIANCE.S('Common sample'!E6:E75,'Common sample'!U6:U75)</x:f>
        <x:v>-0.0003295414573599622</x:v>
      </x:c>
      <x:c r="V9" s="43" t="n">
        <x:f>_xlfn.COVARIANCE.S('Common sample'!E6:E75,'Common sample'!V6:V75)</x:f>
        <x:v>-0.0002467312452831889</x:v>
      </x:c>
      <x:c r="W9" s="43" t="n">
        <x:f>_xlfn.COVARIANCE.S('Common sample'!E6:E75,'Common sample'!W6:W75)</x:f>
        <x:v>-0.00013025717073651642</x:v>
      </x:c>
      <x:c r="X9" s="43" t="n">
        <x:f>_xlfn.COVARIANCE.S('Common sample'!E6:E75,'Common sample'!X6:X75)</x:f>
        <x:v>0.00010843001901534077</x:v>
      </x:c>
      <x:c r="Y9" s="43" t="n">
        <x:f>_xlfn.COVARIANCE.S('Common sample'!E6:E75,'Common sample'!Y6:Y75)</x:f>
        <x:v>-0.0006334015296254414</x:v>
      </x:c>
      <x:c r="Z9" s="43" t="n">
        <x:f>_xlfn.COVARIANCE.S('Common sample'!E6:E75,'Common sample'!Z6:Z75)</x:f>
        <x:v>0.00004275757243304248</x:v>
      </x:c>
      <x:c r="AA9" s="43" t="n">
        <x:f>_xlfn.COVARIANCE.S('Common sample'!E6:E75,'Common sample'!AA6:AA75)</x:f>
        <x:v>-0.0005408337962846139</x:v>
      </x:c>
      <x:c r="AB9" s="43" t="n">
        <x:f>_xlfn.COVARIANCE.S('Common sample'!E6:E75,'Common sample'!AB6:AB75)</x:f>
        <x:v>0.0017028846237862147</x:v>
      </x:c>
      <x:c r="AC9" s="43" t="n">
        <x:f>_xlfn.COVARIANCE.S('Common sample'!E6:E75,'Common sample'!AC6:AC75)</x:f>
        <x:v>0.00006809283129140053</x:v>
      </x:c>
      <x:c r="AD9" s="43" t="n">
        <x:f>_xlfn.COVARIANCE.S('Common sample'!E6:E75,'Common sample'!AD6:AD75)</x:f>
        <x:v>-0.0000495750814879238</x:v>
      </x:c>
      <x:c r="AE9" s="43" t="n">
        <x:f>_xlfn.COVARIANCE.S('Common sample'!E6:E75,'Common sample'!AE6:AE75)</x:f>
        <x:v>0.000055719421703969</x:v>
      </x:c>
      <x:c r="AF9" s="43" t="n">
        <x:f>_xlfn.COVARIANCE.S('Common sample'!E6:E75,'Common sample'!AF6:AF75)</x:f>
        <x:v>-0.0002868448082229841</x:v>
      </x:c>
      <x:c r="AG9" s="43" t="n">
        <x:f>_xlfn.COVARIANCE.S('Common sample'!E6:E75,'Common sample'!AG6:AG75)</x:f>
        <x:v>-0.0008809956072425047</x:v>
      </x:c>
      <x:c r="AH9" s="43" t="n">
        <x:f>_xlfn.COVARIANCE.S('Common sample'!E6:E75,'Common sample'!AH6:AH75)</x:f>
        <x:v>-0.00011876364208577612</x:v>
      </x:c>
      <x:c r="AI9" s="43" t="n">
        <x:f>_xlfn.COVARIANCE.S('Common sample'!E6:E75,'Common sample'!AI6:AI75)</x:f>
        <x:v>-0.0002669992536866831</x:v>
      </x:c>
      <x:c r="AJ9" s="43" t="n">
        <x:f>_xlfn.COVARIANCE.S('Common sample'!E6:E75,'Common sample'!AJ6:AJ75)</x:f>
        <x:v>0.0005816971228187522</x:v>
      </x:c>
      <x:c r="AK9" s="43" t="n">
        <x:f>_xlfn.COVARIANCE.S('Common sample'!E6:E75,'Common sample'!AK6:AK75)</x:f>
        <x:v>0.0006351128269301565</x:v>
      </x:c>
      <x:c r="AL9" s="43" t="n">
        <x:f>_xlfn.COVARIANCE.S('Common sample'!E6:E75,'Common sample'!AL6:AL75)</x:f>
        <x:v>-0.0006292677052457292</x:v>
      </x:c>
      <x:c r="AM9" s="43" t="n">
        <x:f>_xlfn.COVARIANCE.S('Common sample'!E6:E75,'Common sample'!AM6:AM75)</x:f>
        <x:v>0.00040586024610709376</x:v>
      </x:c>
      <x:c r="AN9" s="43" t="n">
        <x:f>_xlfn.COVARIANCE.S('Common sample'!E6:E75,'Common sample'!AN6:AN75)</x:f>
        <x:v>0.0004576509362351944</x:v>
      </x:c>
      <x:c r="AO9" s="43" t="n">
        <x:f>_xlfn.COVARIANCE.S('Common sample'!E6:E75,'Common sample'!AO6:AO75)</x:f>
        <x:v>0.00005635651361766015</x:v>
      </x:c>
      <x:c r="AP9" s="43" t="n">
        <x:f>_xlfn.COVARIANCE.S('Common sample'!E6:E75,'Common sample'!AP6:AP75)</x:f>
        <x:v>0.0001618131653215568</x:v>
      </x:c>
      <x:c r="AQ9" s="43" t="n">
        <x:f>_xlfn.COVARIANCE.S('Common sample'!E6:E75,'Common sample'!AQ6:AQ75)</x:f>
        <x:v>0.00028344401205488833</x:v>
      </x:c>
      <x:c r="AR9" s="43" t="n">
        <x:f>_xlfn.COVARIANCE.S('Common sample'!E6:E75,'Common sample'!AR6:AR75)</x:f>
        <x:v>0.0001575188530364857</x:v>
      </x:c>
    </x:row>
    <x:row r="10" ht="19" customHeight="1">
      <x:c r="A10" s="30" t="str">
        <x:v>DIS</x:v>
      </x:c>
      <x:c r="B10" s="43" t="n">
        <x:f>_xlfn.COVARIANCE.S('Common sample'!F6:F75,'Common sample'!B6:B75)</x:f>
        <x:v>0.001081629723390629</x:v>
      </x:c>
      <x:c r="C10" s="43" t="n">
        <x:f>_xlfn.COVARIANCE.S('Common sample'!F6:F75,'Common sample'!C6:C75)</x:f>
        <x:v>0.0005065701196748721</x:v>
      </x:c>
      <x:c r="D10" s="43" t="n">
        <x:f>_xlfn.COVARIANCE.S('Common sample'!F6:F75,'Common sample'!D6:D75)</x:f>
        <x:v>0.00046966195453147834</x:v>
      </x:c>
      <x:c r="E10" s="43" t="n">
        <x:f>_xlfn.COVARIANCE.S('Common sample'!F6:F75,'Common sample'!E6:E75)</x:f>
        <x:v>-0.00008648599495420614</x:v>
      </x:c>
      <x:c r="F10" s="43" t="n">
        <x:f>_xlfn.COVARIANCE.S('Common sample'!F6:F75,'Common sample'!F6:F75)</x:f>
        <x:v>0.004109852067433852</x:v>
      </x:c>
      <x:c r="G10" s="43" t="n">
        <x:f>_xlfn.COVARIANCE.S('Common sample'!F6:F75,'Common sample'!G6:G75)</x:f>
        <x:v>0.0016963599951916274</x:v>
      </x:c>
      <x:c r="H10" s="43" t="n">
        <x:f>_xlfn.COVARIANCE.S('Common sample'!F6:F75,'Common sample'!H6:H75)</x:f>
        <x:v>0.0002710150014461815</x:v>
      </x:c>
      <x:c r="I10" s="43" t="n">
        <x:f>_xlfn.COVARIANCE.S('Common sample'!F6:F75,'Common sample'!I6:I75)</x:f>
        <x:v>0.00026187698766772974</x:v>
      </x:c>
      <x:c r="J10" s="43" t="n">
        <x:f>_xlfn.COVARIANCE.S('Common sample'!F6:F75,'Common sample'!J6:J75)</x:f>
        <x:v>0.001774775384233477</x:v>
      </x:c>
      <x:c r="K10" s="43" t="n">
        <x:f>_xlfn.COVARIANCE.S('Common sample'!F6:F75,'Common sample'!K6:K75)</x:f>
        <x:v>-0.0002254427631555971</x:v>
      </x:c>
      <x:c r="L10" s="43" t="n">
        <x:f>_xlfn.COVARIANCE.S('Common sample'!F6:F75,'Common sample'!L6:L75)</x:f>
        <x:v>0.0001262914116983644</x:v>
      </x:c>
      <x:c r="M10" s="43" t="n">
        <x:f>_xlfn.COVARIANCE.S('Common sample'!F6:F75,'Common sample'!M6:M75)</x:f>
        <x:v>0.000792105512808812</x:v>
      </x:c>
      <x:c r="N10" s="43" t="n">
        <x:f>_xlfn.COVARIANCE.S('Common sample'!F6:F75,'Common sample'!N6:N75)</x:f>
        <x:v>0.00033671035432728994</x:v>
      </x:c>
      <x:c r="O10" s="43" t="n">
        <x:f>_xlfn.COVARIANCE.S('Common sample'!F6:F75,'Common sample'!O6:O75)</x:f>
        <x:v>0.0017743134848984478</x:v>
      </x:c>
      <x:c r="P10" s="43" t="n">
        <x:f>_xlfn.COVARIANCE.S('Common sample'!F6:F75,'Common sample'!P6:P75)</x:f>
        <x:v>-0.0009632335651719846</x:v>
      </x:c>
      <x:c r="Q10" s="43" t="n">
        <x:f>_xlfn.COVARIANCE.S('Common sample'!F6:F75,'Common sample'!Q6:Q75)</x:f>
        <x:v>-0.0008213467630376107</x:v>
      </x:c>
      <x:c r="R10" s="43" t="n">
        <x:f>_xlfn.COVARIANCE.S('Common sample'!F6:F75,'Common sample'!R6:R75)</x:f>
        <x:v>0.0007715699933511177</x:v>
      </x:c>
      <x:c r="S10" s="43" t="n">
        <x:f>_xlfn.COVARIANCE.S('Common sample'!F6:F75,'Common sample'!S6:S75)</x:f>
        <x:v>0.0014350557268534437</x:v>
      </x:c>
      <x:c r="T10" s="43" t="n">
        <x:f>_xlfn.COVARIANCE.S('Common sample'!F6:F75,'Common sample'!T6:T75)</x:f>
        <x:v>0.0003561671314102072</x:v>
      </x:c>
      <x:c r="U10" s="43" t="n">
        <x:f>_xlfn.COVARIANCE.S('Common sample'!F6:F75,'Common sample'!U6:U75)</x:f>
        <x:v>0.0014128343305160594</x:v>
      </x:c>
      <x:c r="V10" s="43" t="n">
        <x:f>_xlfn.COVARIANCE.S('Common sample'!F6:F75,'Common sample'!V6:V75)</x:f>
        <x:v>0.0002625285371971356</x:v>
      </x:c>
      <x:c r="W10" s="43" t="n">
        <x:f>_xlfn.COVARIANCE.S('Common sample'!F6:F75,'Common sample'!W6:W75)</x:f>
        <x:v>0.0007639504012591035</x:v>
      </x:c>
      <x:c r="X10" s="43" t="n">
        <x:f>_xlfn.COVARIANCE.S('Common sample'!F6:F75,'Common sample'!X6:X75)</x:f>
        <x:v>0.003183269583529941</x:v>
      </x:c>
      <x:c r="Y10" s="43" t="n">
        <x:f>_xlfn.COVARIANCE.S('Common sample'!F6:F75,'Common sample'!Y6:Y75)</x:f>
        <x:v>0.0005861257140477627</x:v>
      </x:c>
      <x:c r="Z10" s="43" t="n">
        <x:f>_xlfn.COVARIANCE.S('Common sample'!F6:F75,'Common sample'!Z6:Z75)</x:f>
        <x:v>0.0005126496074744462</x:v>
      </x:c>
      <x:c r="AA10" s="43" t="n">
        <x:f>_xlfn.COVARIANCE.S('Common sample'!F6:F75,'Common sample'!AA6:AA75)</x:f>
        <x:v>-0.002181117170111453</x:v>
      </x:c>
      <x:c r="AB10" s="43" t="n">
        <x:f>_xlfn.COVARIANCE.S('Common sample'!F6:F75,'Common sample'!AB6:AB75)</x:f>
        <x:v>-0.0028098667755517316</x:v>
      </x:c>
      <x:c r="AC10" s="43" t="n">
        <x:f>_xlfn.COVARIANCE.S('Common sample'!F6:F75,'Common sample'!AC6:AC75)</x:f>
        <x:v>0.0007627469763855656</x:v>
      </x:c>
      <x:c r="AD10" s="43" t="n">
        <x:f>_xlfn.COVARIANCE.S('Common sample'!F6:F75,'Common sample'!AD6:AD75)</x:f>
        <x:v>0.0008095144623221494</x:v>
      </x:c>
      <x:c r="AE10" s="43" t="n">
        <x:f>_xlfn.COVARIANCE.S('Common sample'!F6:F75,'Common sample'!AE6:AE75)</x:f>
        <x:v>0.00030406029444009957</x:v>
      </x:c>
      <x:c r="AF10" s="43" t="n">
        <x:f>_xlfn.COVARIANCE.S('Common sample'!F6:F75,'Common sample'!AF6:AF75)</x:f>
        <x:v>0.0007646465012174172</x:v>
      </x:c>
      <x:c r="AG10" s="43" t="n">
        <x:f>_xlfn.COVARIANCE.S('Common sample'!F6:F75,'Common sample'!AG6:AG75)</x:f>
        <x:v>0.0012088704118333419</x:v>
      </x:c>
      <x:c r="AH10" s="43" t="n">
        <x:f>_xlfn.COVARIANCE.S('Common sample'!F6:F75,'Common sample'!AH6:AH75)</x:f>
        <x:v>0.000012570138260790066</x:v>
      </x:c>
      <x:c r="AI10" s="43" t="n">
        <x:f>_xlfn.COVARIANCE.S('Common sample'!F6:F75,'Common sample'!AI6:AI75)</x:f>
        <x:v>0.0003501270701852401</x:v>
      </x:c>
      <x:c r="AJ10" s="43" t="n">
        <x:f>_xlfn.COVARIANCE.S('Common sample'!F6:F75,'Common sample'!AJ6:AJ75)</x:f>
        <x:v>-0.00019196045198024986</x:v>
      </x:c>
      <x:c r="AK10" s="43" t="n">
        <x:f>_xlfn.COVARIANCE.S('Common sample'!F6:F75,'Common sample'!AK6:AK75)</x:f>
        <x:v>-0.00020186916748737372</x:v>
      </x:c>
      <x:c r="AL10" s="43" t="n">
        <x:f>_xlfn.COVARIANCE.S('Common sample'!F6:F75,'Common sample'!AL6:AL75)</x:f>
        <x:v>0.0006955732899155208</x:v>
      </x:c>
      <x:c r="AM10" s="43" t="n">
        <x:f>_xlfn.COVARIANCE.S('Common sample'!F6:F75,'Common sample'!AM6:AM75)</x:f>
        <x:v>-0.0006764400420122078</x:v>
      </x:c>
      <x:c r="AN10" s="43" t="n">
        <x:f>_xlfn.COVARIANCE.S('Common sample'!F6:F75,'Common sample'!AN6:AN75)</x:f>
        <x:v>0.00015701015631418996</x:v>
      </x:c>
      <x:c r="AO10" s="43" t="n">
        <x:f>_xlfn.COVARIANCE.S('Common sample'!F6:F75,'Common sample'!AO6:AO75)</x:f>
        <x:v>0.0006523412862234939</x:v>
      </x:c>
      <x:c r="AP10" s="43" t="n">
        <x:f>_xlfn.COVARIANCE.S('Common sample'!F6:F75,'Common sample'!AP6:AP75)</x:f>
        <x:v>0.00046568878138570106</x:v>
      </x:c>
      <x:c r="AQ10" s="43" t="n">
        <x:f>_xlfn.COVARIANCE.S('Common sample'!F6:F75,'Common sample'!AQ6:AQ75)</x:f>
        <x:v>0.00009167705706448417</x:v>
      </x:c>
      <x:c r="AR10" s="43" t="n">
        <x:f>_xlfn.COVARIANCE.S('Common sample'!F6:F75,'Common sample'!AR6:AR75)</x:f>
        <x:v>0.00009446107632669749</x:v>
      </x:c>
    </x:row>
    <x:row r="11" ht="19" customHeight="1">
      <x:c r="A11" s="30" t="str">
        <x:v>CMG</x:v>
      </x:c>
      <x:c r="B11" s="43" t="n">
        <x:f>_xlfn.COVARIANCE.S('Common sample'!G6:G75,'Common sample'!B6:B75)</x:f>
        <x:v>0.0020358403891367477</x:v>
      </x:c>
      <x:c r="C11" s="43" t="n">
        <x:f>_xlfn.COVARIANCE.S('Common sample'!G6:G75,'Common sample'!C6:C75)</x:f>
        <x:v>0.00003291689648099036</x:v>
      </x:c>
      <x:c r="D11" s="43" t="n">
        <x:f>_xlfn.COVARIANCE.S('Common sample'!G6:G75,'Common sample'!D6:D75)</x:f>
        <x:v>-0.0004068650320018402</x:v>
      </x:c>
      <x:c r="E11" s="43" t="n">
        <x:f>_xlfn.COVARIANCE.S('Common sample'!G6:G75,'Common sample'!E6:E75)</x:f>
        <x:v>-0.0005062664081902387</x:v>
      </x:c>
      <x:c r="F11" s="43" t="n">
        <x:f>_xlfn.COVARIANCE.S('Common sample'!G6:G75,'Common sample'!F6:F75)</x:f>
        <x:v>0.0016963599951916274</x:v>
      </x:c>
      <x:c r="G11" s="43" t="n">
        <x:f>_xlfn.COVARIANCE.S('Common sample'!G6:G75,'Common sample'!G6:G75)</x:f>
        <x:v>0.009546390931252226</x:v>
      </x:c>
      <x:c r="H11" s="43" t="n">
        <x:f>_xlfn.COVARIANCE.S('Common sample'!G6:G75,'Common sample'!H6:H75)</x:f>
        <x:v>0.0006576451189084935</x:v>
      </x:c>
      <x:c r="I11" s="43" t="n">
        <x:f>_xlfn.COVARIANCE.S('Common sample'!G6:G75,'Common sample'!I6:I75)</x:f>
        <x:v>-0.001736510159464094</x:v>
      </x:c>
      <x:c r="J11" s="43" t="n">
        <x:f>_xlfn.COVARIANCE.S('Common sample'!G6:G75,'Common sample'!J6:J75)</x:f>
        <x:v>-0.004447883909028513</x:v>
      </x:c>
      <x:c r="K11" s="43" t="n">
        <x:f>_xlfn.COVARIANCE.S('Common sample'!G6:G75,'Common sample'!K6:K75)</x:f>
        <x:v>-0.0007673055659491215</x:v>
      </x:c>
      <x:c r="L11" s="43" t="n">
        <x:f>_xlfn.COVARIANCE.S('Common sample'!G6:G75,'Common sample'!L6:L75)</x:f>
        <x:v>0.0013805656758307321</x:v>
      </x:c>
      <x:c r="M11" s="43" t="n">
        <x:f>_xlfn.COVARIANCE.S('Common sample'!G6:G75,'Common sample'!M6:M75)</x:f>
        <x:v>0.0009419614037383343</x:v>
      </x:c>
      <x:c r="N11" s="43" t="n">
        <x:f>_xlfn.COVARIANCE.S('Common sample'!G6:G75,'Common sample'!N6:N75)</x:f>
        <x:v>0.00130709439044632</x:v>
      </x:c>
      <x:c r="O11" s="43" t="n">
        <x:f>_xlfn.COVARIANCE.S('Common sample'!G6:G75,'Common sample'!O6:O75)</x:f>
        <x:v>-0.00446228980603443</x:v>
      </x:c>
      <x:c r="P11" s="43" t="n">
        <x:f>_xlfn.COVARIANCE.S('Common sample'!G6:G75,'Common sample'!P6:P75)</x:f>
        <x:v>-0.0008332091071071364</x:v>
      </x:c>
      <x:c r="Q11" s="43" t="n">
        <x:f>_xlfn.COVARIANCE.S('Common sample'!G6:G75,'Common sample'!Q6:Q75)</x:f>
        <x:v>-0.004345757874861598</x:v>
      </x:c>
      <x:c r="R11" s="43" t="n">
        <x:f>_xlfn.COVARIANCE.S('Common sample'!G6:G75,'Common sample'!R6:R75)</x:f>
        <x:v>-0.000602497907787624</x:v>
      </x:c>
      <x:c r="S11" s="43" t="n">
        <x:f>_xlfn.COVARIANCE.S('Common sample'!G6:G75,'Common sample'!S6:S75)</x:f>
        <x:v>0.0005908077086175252</x:v>
      </x:c>
      <x:c r="T11" s="43" t="n">
        <x:f>_xlfn.COVARIANCE.S('Common sample'!G6:G75,'Common sample'!T6:T75)</x:f>
        <x:v>0.0028666913164901507</x:v>
      </x:c>
      <x:c r="U11" s="43" t="n">
        <x:f>_xlfn.COVARIANCE.S('Common sample'!G6:G75,'Common sample'!U6:U75)</x:f>
        <x:v>0.002829398640754738</x:v>
      </x:c>
      <x:c r="V11" s="43" t="n">
        <x:f>_xlfn.COVARIANCE.S('Common sample'!G6:G75,'Common sample'!V6:V75)</x:f>
        <x:v>0.0004586605448984999</x:v>
      </x:c>
      <x:c r="W11" s="43" t="n">
        <x:f>_xlfn.COVARIANCE.S('Common sample'!G6:G75,'Common sample'!W6:W75)</x:f>
        <x:v>0.0007369349924307566</x:v>
      </x:c>
      <x:c r="X11" s="43" t="n">
        <x:f>_xlfn.COVARIANCE.S('Common sample'!G6:G75,'Common sample'!X6:X75)</x:f>
        <x:v>-0.0015575882453167918</x:v>
      </x:c>
      <x:c r="Y11" s="43" t="n">
        <x:f>_xlfn.COVARIANCE.S('Common sample'!G6:G75,'Common sample'!Y6:Y75)</x:f>
        <x:v>-0.0017490281816838215</x:v>
      </x:c>
      <x:c r="Z11" s="43" t="n">
        <x:f>_xlfn.COVARIANCE.S('Common sample'!G6:G75,'Common sample'!Z6:Z75)</x:f>
        <x:v>0.0004923070203467164</x:v>
      </x:c>
      <x:c r="AA11" s="43" t="n">
        <x:f>_xlfn.COVARIANCE.S('Common sample'!G6:G75,'Common sample'!AA6:AA75)</x:f>
        <x:v>0.0015585737801434533</x:v>
      </x:c>
      <x:c r="AB11" s="43" t="n">
        <x:f>_xlfn.COVARIANCE.S('Common sample'!G6:G75,'Common sample'!AB6:AB75)</x:f>
        <x:v>0.0024958531108190017</x:v>
      </x:c>
      <x:c r="AC11" s="43" t="n">
        <x:f>_xlfn.COVARIANCE.S('Common sample'!G6:G75,'Common sample'!AC6:AC75)</x:f>
        <x:v>0.00004086004058854991</x:v>
      </x:c>
      <x:c r="AD11" s="43" t="n">
        <x:f>_xlfn.COVARIANCE.S('Common sample'!G6:G75,'Common sample'!AD6:AD75)</x:f>
        <x:v>-0.0018240731960501252</x:v>
      </x:c>
      <x:c r="AE11" s="43" t="n">
        <x:f>_xlfn.COVARIANCE.S('Common sample'!G6:G75,'Common sample'!AE6:AE75)</x:f>
        <x:v>-0.0011202444829961212</x:v>
      </x:c>
      <x:c r="AF11" s="43" t="n">
        <x:f>_xlfn.COVARIANCE.S('Common sample'!G6:G75,'Common sample'!AF6:AF75)</x:f>
        <x:v>-0.0003189674748054691</x:v>
      </x:c>
      <x:c r="AG11" s="43" t="n">
        <x:f>_xlfn.COVARIANCE.S('Common sample'!G6:G75,'Common sample'!AG6:AG75)</x:f>
        <x:v>-0.0004887479954857064</x:v>
      </x:c>
      <x:c r="AH11" s="43" t="n">
        <x:f>_xlfn.COVARIANCE.S('Common sample'!G6:G75,'Common sample'!AH6:AH75)</x:f>
        <x:v>0.0007014933112967992</x:v>
      </x:c>
      <x:c r="AI11" s="43" t="n">
        <x:f>_xlfn.COVARIANCE.S('Common sample'!G6:G75,'Common sample'!AI6:AI75)</x:f>
        <x:v>0.0014065450378699161</x:v>
      </x:c>
      <x:c r="AJ11" s="43" t="n">
        <x:f>_xlfn.COVARIANCE.S('Common sample'!G6:G75,'Common sample'!AJ6:AJ75)</x:f>
        <x:v>-0.0007596231428523921</x:v>
      </x:c>
      <x:c r="AK11" s="43" t="n">
        <x:f>_xlfn.COVARIANCE.S('Common sample'!G6:G75,'Common sample'!AK6:AK75)</x:f>
        <x:v>-0.0035336959120227554</x:v>
      </x:c>
      <x:c r="AL11" s="43" t="n">
        <x:f>_xlfn.COVARIANCE.S('Common sample'!G6:G75,'Common sample'!AL6:AL75)</x:f>
        <x:v>0.001435159481695748</x:v>
      </x:c>
      <x:c r="AM11" s="43" t="n">
        <x:f>_xlfn.COVARIANCE.S('Common sample'!G6:G75,'Common sample'!AM6:AM75)</x:f>
        <x:v>-0.001426619885184095</x:v>
      </x:c>
      <x:c r="AN11" s="43" t="n">
        <x:f>_xlfn.COVARIANCE.S('Common sample'!G6:G75,'Common sample'!AN6:AN75)</x:f>
        <x:v>-0.000025298506486124194</x:v>
      </x:c>
      <x:c r="AO11" s="43" t="n">
        <x:f>_xlfn.COVARIANCE.S('Common sample'!G6:G75,'Common sample'!AO6:AO75)</x:f>
        <x:v>-0.0001310971058398727</x:v>
      </x:c>
      <x:c r="AP11" s="43" t="n">
        <x:f>_xlfn.COVARIANCE.S('Common sample'!G6:G75,'Common sample'!AP6:AP75)</x:f>
        <x:v>-0.0004670679693707453</x:v>
      </x:c>
      <x:c r="AQ11" s="43" t="n">
        <x:f>_xlfn.COVARIANCE.S('Common sample'!G6:G75,'Common sample'!AQ6:AQ75)</x:f>
        <x:v>-0.0005488020942470967</x:v>
      </x:c>
      <x:c r="AR11" s="43" t="n">
        <x:f>_xlfn.COVARIANCE.S('Common sample'!G6:G75,'Common sample'!AR6:AR75)</x:f>
        <x:v>-0.0003689185233539204</x:v>
      </x:c>
    </x:row>
    <x:row r="12" ht="19" customHeight="1">
      <x:c r="A12" s="30" t="str">
        <x:v>AMZN</x:v>
      </x:c>
      <x:c r="B12" s="43" t="n">
        <x:f>_xlfn.COVARIANCE.S('Common sample'!H6:H75,'Common sample'!B6:B75)</x:f>
        <x:v>-0.00004973125106065662</x:v>
      </x:c>
      <x:c r="C12" s="43" t="n">
        <x:f>_xlfn.COVARIANCE.S('Common sample'!H6:H75,'Common sample'!C6:C75)</x:f>
        <x:v>0.0005288479795142119</x:v>
      </x:c>
      <x:c r="D12" s="43" t="n">
        <x:f>_xlfn.COVARIANCE.S('Common sample'!H6:H75,'Common sample'!D6:D75)</x:f>
        <x:v>0.00020580530712190835</x:v>
      </x:c>
      <x:c r="E12" s="43" t="n">
        <x:f>_xlfn.COVARIANCE.S('Common sample'!H6:H75,'Common sample'!E6:E75)</x:f>
        <x:v>-0.00006874950997393004</x:v>
      </x:c>
      <x:c r="F12" s="43" t="n">
        <x:f>_xlfn.COVARIANCE.S('Common sample'!H6:H75,'Common sample'!F6:F75)</x:f>
        <x:v>0.0002710150014461815</x:v>
      </x:c>
      <x:c r="G12" s="43" t="n">
        <x:f>_xlfn.COVARIANCE.S('Common sample'!H6:H75,'Common sample'!G6:G75)</x:f>
        <x:v>0.0006576451189084935</x:v>
      </x:c>
      <x:c r="H12" s="43" t="n">
        <x:f>_xlfn.COVARIANCE.S('Common sample'!H6:H75,'Common sample'!H6:H75)</x:f>
        <x:v>0.0025196951016799693</x:v>
      </x:c>
      <x:c r="I12" s="43" t="n">
        <x:f>_xlfn.COVARIANCE.S('Common sample'!H6:H75,'Common sample'!I6:I75)</x:f>
        <x:v>-0.000306723449525093</x:v>
      </x:c>
      <x:c r="J12" s="43" t="n">
        <x:f>_xlfn.COVARIANCE.S('Common sample'!H6:H75,'Common sample'!J6:J75)</x:f>
        <x:v>0.000627770161102404</x:v>
      </x:c>
      <x:c r="K12" s="43" t="n">
        <x:f>_xlfn.COVARIANCE.S('Common sample'!H6:H75,'Common sample'!K6:K75)</x:f>
        <x:v>0.0005187196581484412</x:v>
      </x:c>
      <x:c r="L12" s="43" t="n">
        <x:f>_xlfn.COVARIANCE.S('Common sample'!H6:H75,'Common sample'!L6:L75)</x:f>
        <x:v>0.0005600133927123704</x:v>
      </x:c>
      <x:c r="M12" s="43" t="n">
        <x:f>_xlfn.COVARIANCE.S('Common sample'!H6:H75,'Common sample'!M6:M75)</x:f>
        <x:v>-0.00034942616550393533</x:v>
      </x:c>
      <x:c r="N12" s="43" t="n">
        <x:f>_xlfn.COVARIANCE.S('Common sample'!H6:H75,'Common sample'!N6:N75)</x:f>
        <x:v>-0.001121257512312116</x:v>
      </x:c>
      <x:c r="O12" s="43" t="n">
        <x:f>_xlfn.COVARIANCE.S('Common sample'!H6:H75,'Common sample'!O6:O75)</x:f>
        <x:v>0.0005495503385478179</x:v>
      </x:c>
      <x:c r="P12" s="43" t="n">
        <x:f>_xlfn.COVARIANCE.S('Common sample'!H6:H75,'Common sample'!P6:P75)</x:f>
        <x:v>-0.0004282786538310558</x:v>
      </x:c>
      <x:c r="Q12" s="43" t="n">
        <x:f>_xlfn.COVARIANCE.S('Common sample'!H6:H75,'Common sample'!Q6:Q75)</x:f>
        <x:v>0.00016071646666951066</x:v>
      </x:c>
      <x:c r="R12" s="43" t="n">
        <x:f>_xlfn.COVARIANCE.S('Common sample'!H6:H75,'Common sample'!R6:R75)</x:f>
        <x:v>0.0002537478726534454</x:v>
      </x:c>
      <x:c r="S12" s="43" t="n">
        <x:f>_xlfn.COVARIANCE.S('Common sample'!H6:H75,'Common sample'!S6:S75)</x:f>
        <x:v>0.00012098168033125619</x:v>
      </x:c>
      <x:c r="T12" s="43" t="n">
        <x:f>_xlfn.COVARIANCE.S('Common sample'!H6:H75,'Common sample'!T6:T75)</x:f>
        <x:v>0.0001542710339669425</x:v>
      </x:c>
      <x:c r="U12" s="43" t="n">
        <x:f>_xlfn.COVARIANCE.S('Common sample'!H6:H75,'Common sample'!U6:U75)</x:f>
        <x:v>-0.001180200224850753</x:v>
      </x:c>
      <x:c r="V12" s="43" t="n">
        <x:f>_xlfn.COVARIANCE.S('Common sample'!H6:H75,'Common sample'!V6:V75)</x:f>
        <x:v>0.0001895284919606406</x:v>
      </x:c>
      <x:c r="W12" s="43" t="n">
        <x:f>_xlfn.COVARIANCE.S('Common sample'!H6:H75,'Common sample'!W6:W75)</x:f>
        <x:v>0.00013243519070751768</x:v>
      </x:c>
      <x:c r="X12" s="43" t="n">
        <x:f>_xlfn.COVARIANCE.S('Common sample'!H6:H75,'Common sample'!X6:X75)</x:f>
        <x:v>0.00039782024026914275</x:v>
      </x:c>
      <x:c r="Y12" s="43" t="n">
        <x:f>_xlfn.COVARIANCE.S('Common sample'!H6:H75,'Common sample'!Y6:Y75)</x:f>
        <x:v>0.0001060684238422962</x:v>
      </x:c>
      <x:c r="Z12" s="43" t="n">
        <x:f>_xlfn.COVARIANCE.S('Common sample'!H6:H75,'Common sample'!Z6:Z75)</x:f>
        <x:v>-0.000038940498321281696</x:v>
      </x:c>
      <x:c r="AA12" s="43" t="n">
        <x:f>_xlfn.COVARIANCE.S('Common sample'!H6:H75,'Common sample'!AA6:AA75)</x:f>
        <x:v>0.002596075127094177</x:v>
      </x:c>
      <x:c r="AB12" s="43" t="n">
        <x:f>_xlfn.COVARIANCE.S('Common sample'!H6:H75,'Common sample'!AB6:AB75)</x:f>
        <x:v>-0.0012938355661725122</x:v>
      </x:c>
      <x:c r="AC12" s="43" t="n">
        <x:f>_xlfn.COVARIANCE.S('Common sample'!H6:H75,'Common sample'!AC6:AC75)</x:f>
        <x:v>0.000028953803064561626</x:v>
      </x:c>
      <x:c r="AD12" s="43" t="n">
        <x:f>_xlfn.COVARIANCE.S('Common sample'!H6:H75,'Common sample'!AD6:AD75)</x:f>
        <x:v>-0.0008695818036574673</x:v>
      </x:c>
      <x:c r="AE12" s="43" t="n">
        <x:f>_xlfn.COVARIANCE.S('Common sample'!H6:H75,'Common sample'!AE6:AE75)</x:f>
        <x:v>-0.0011846870715878299</x:v>
      </x:c>
      <x:c r="AF12" s="43" t="n">
        <x:f>_xlfn.COVARIANCE.S('Common sample'!H6:H75,'Common sample'!AF6:AF75)</x:f>
        <x:v>0.00009306238281545746</x:v>
      </x:c>
      <x:c r="AG12" s="43" t="n">
        <x:f>_xlfn.COVARIANCE.S('Common sample'!H6:H75,'Common sample'!AG6:AG75)</x:f>
        <x:v>0.0009818250061219187</x:v>
      </x:c>
      <x:c r="AH12" s="43" t="n">
        <x:f>_xlfn.COVARIANCE.S('Common sample'!H6:H75,'Common sample'!AH6:AH75)</x:f>
        <x:v>0.0016264912008108537</x:v>
      </x:c>
      <x:c r="AI12" s="43" t="n">
        <x:f>_xlfn.COVARIANCE.S('Common sample'!H6:H75,'Common sample'!AI6:AI75)</x:f>
        <x:v>-0.00018289852151326112</x:v>
      </x:c>
      <x:c r="AJ12" s="43" t="n">
        <x:f>_xlfn.COVARIANCE.S('Common sample'!H6:H75,'Common sample'!AJ6:AJ75)</x:f>
        <x:v>0.000012519772905037924</x:v>
      </x:c>
      <x:c r="AK12" s="43" t="n">
        <x:f>_xlfn.COVARIANCE.S('Common sample'!H6:H75,'Common sample'!AK6:AK75)</x:f>
        <x:v>0.0004588572134961473</x:v>
      </x:c>
      <x:c r="AL12" s="43" t="n">
        <x:f>_xlfn.COVARIANCE.S('Common sample'!H6:H75,'Common sample'!AL6:AL75)</x:f>
        <x:v>0.0006744359487213882</x:v>
      </x:c>
      <x:c r="AM12" s="43" t="n">
        <x:f>_xlfn.COVARIANCE.S('Common sample'!H6:H75,'Common sample'!AM6:AM75)</x:f>
        <x:v>0.00029151466782712757</x:v>
      </x:c>
      <x:c r="AN12" s="43" t="n">
        <x:f>_xlfn.COVARIANCE.S('Common sample'!H6:H75,'Common sample'!AN6:AN75)</x:f>
        <x:v>0.00020540715479868036</x:v>
      </x:c>
      <x:c r="AO12" s="43" t="n">
        <x:f>_xlfn.COVARIANCE.S('Common sample'!H6:H75,'Common sample'!AO6:AO75)</x:f>
        <x:v>-0.00035654606140765014</x:v>
      </x:c>
      <x:c r="AP12" s="43" t="n">
        <x:f>_xlfn.COVARIANCE.S('Common sample'!H6:H75,'Common sample'!AP6:AP75)</x:f>
        <x:v>0.00022476613610221137</x:v>
      </x:c>
      <x:c r="AQ12" s="43" t="n">
        <x:f>_xlfn.COVARIANCE.S('Common sample'!H6:H75,'Common sample'!AQ6:AQ75)</x:f>
        <x:v>-0.00015237499246323395</x:v>
      </x:c>
      <x:c r="AR12" s="43" t="n">
        <x:f>_xlfn.COVARIANCE.S('Common sample'!H6:H75,'Common sample'!AR6:AR75)</x:f>
        <x:v>-0.00018157061633124422</x:v>
      </x:c>
    </x:row>
    <x:row r="13" ht="19" customHeight="1">
      <x:c r="A13" s="30" t="str">
        <x:v>FIX</x:v>
      </x:c>
      <x:c r="B13" s="43" t="n">
        <x:f>_xlfn.COVARIANCE.S('Common sample'!I6:I75,'Common sample'!B6:B75)</x:f>
        <x:v>0.002437006606649486</x:v>
      </x:c>
      <x:c r="C13" s="43" t="n">
        <x:f>_xlfn.COVARIANCE.S('Common sample'!I6:I75,'Common sample'!C6:C75)</x:f>
        <x:v>0.0005007112102401941</x:v>
      </x:c>
      <x:c r="D13" s="43" t="n">
        <x:f>_xlfn.COVARIANCE.S('Common sample'!I6:I75,'Common sample'!D6:D75)</x:f>
        <x:v>0.000886220787631315</x:v>
      </x:c>
      <x:c r="E13" s="43" t="n">
        <x:f>_xlfn.COVARIANCE.S('Common sample'!I6:I75,'Common sample'!E6:E75)</x:f>
        <x:v>0.0006569809455554825</x:v>
      </x:c>
      <x:c r="F13" s="43" t="n">
        <x:f>_xlfn.COVARIANCE.S('Common sample'!I6:I75,'Common sample'!F6:F75)</x:f>
        <x:v>0.00026187698766772974</x:v>
      </x:c>
      <x:c r="G13" s="43" t="n">
        <x:f>_xlfn.COVARIANCE.S('Common sample'!I6:I75,'Common sample'!G6:G75)</x:f>
        <x:v>-0.001736510159464094</x:v>
      </x:c>
      <x:c r="H13" s="43" t="n">
        <x:f>_xlfn.COVARIANCE.S('Common sample'!I6:I75,'Common sample'!H6:H75)</x:f>
        <x:v>-0.000306723449525093</x:v>
      </x:c>
      <x:c r="I13" s="43" t="n">
        <x:f>_xlfn.COVARIANCE.S('Common sample'!I6:I75,'Common sample'!I6:I75)</x:f>
        <x:v>0.008730722413373826</x:v>
      </x:c>
      <x:c r="J13" s="43" t="n">
        <x:f>_xlfn.COVARIANCE.S('Common sample'!I6:I75,'Common sample'!J6:J75)</x:f>
        <x:v>0.002252142794757391</x:v>
      </x:c>
      <x:c r="K13" s="43" t="n">
        <x:f>_xlfn.COVARIANCE.S('Common sample'!I6:I75,'Common sample'!K6:K75)</x:f>
        <x:v>0.0006927766798638849</x:v>
      </x:c>
      <x:c r="L13" s="43" t="n">
        <x:f>_xlfn.COVARIANCE.S('Common sample'!I6:I75,'Common sample'!L6:L75)</x:f>
        <x:v>0.001030134633651326</x:v>
      </x:c>
      <x:c r="M13" s="43" t="n">
        <x:f>_xlfn.COVARIANCE.S('Common sample'!I6:I75,'Common sample'!M6:M75)</x:f>
        <x:v>0.00036770616553718236</x:v>
      </x:c>
      <x:c r="N13" s="43" t="n">
        <x:f>_xlfn.COVARIANCE.S('Common sample'!I6:I75,'Common sample'!N6:N75)</x:f>
        <x:v>-0.00021752325616773761</x:v>
      </x:c>
      <x:c r="O13" s="43" t="n">
        <x:f>_xlfn.COVARIANCE.S('Common sample'!I6:I75,'Common sample'!O6:O75)</x:f>
        <x:v>0.004682971093830032</x:v>
      </x:c>
      <x:c r="P13" s="43" t="n">
        <x:f>_xlfn.COVARIANCE.S('Common sample'!I6:I75,'Common sample'!P6:P75)</x:f>
        <x:v>0.00016434637894278186</x:v>
      </x:c>
      <x:c r="Q13" s="43" t="n">
        <x:f>_xlfn.COVARIANCE.S('Common sample'!I6:I75,'Common sample'!Q6:Q75)</x:f>
        <x:v>0.0028842416336297364</x:v>
      </x:c>
      <x:c r="R13" s="43" t="n">
        <x:f>_xlfn.COVARIANCE.S('Common sample'!I6:I75,'Common sample'!R6:R75)</x:f>
        <x:v>0.0004950409527464941</x:v>
      </x:c>
      <x:c r="S13" s="43" t="n">
        <x:f>_xlfn.COVARIANCE.S('Common sample'!I6:I75,'Common sample'!S6:S75)</x:f>
        <x:v>0.0003976686744884739</x:v>
      </x:c>
      <x:c r="T13" s="43" t="n">
        <x:f>_xlfn.COVARIANCE.S('Common sample'!I6:I75,'Common sample'!T6:T75)</x:f>
        <x:v>-0.0010984214291232062</x:v>
      </x:c>
      <x:c r="U13" s="43" t="n">
        <x:f>_xlfn.COVARIANCE.S('Common sample'!I6:I75,'Common sample'!U6:U75)</x:f>
        <x:v>0.0008966869161832247</x:v>
      </x:c>
      <x:c r="V13" s="43" t="n">
        <x:f>_xlfn.COVARIANCE.S('Common sample'!I6:I75,'Common sample'!V6:V75)</x:f>
        <x:v>0.0019759893584923665</x:v>
      </x:c>
      <x:c r="W13" s="43" t="n">
        <x:f>_xlfn.COVARIANCE.S('Common sample'!I6:I75,'Common sample'!W6:W75)</x:f>
        <x:v>-0.0003575832496305772</x:v>
      </x:c>
      <x:c r="X13" s="43" t="n">
        <x:f>_xlfn.COVARIANCE.S('Common sample'!I6:I75,'Common sample'!X6:X75)</x:f>
        <x:v>0.0029045370775302123</x:v>
      </x:c>
      <x:c r="Y13" s="43" t="n">
        <x:f>_xlfn.COVARIANCE.S('Common sample'!I6:I75,'Common sample'!Y6:Y75)</x:f>
        <x:v>-0.0006201905268679218</x:v>
      </x:c>
      <x:c r="Z13" s="43" t="n">
        <x:f>_xlfn.COVARIANCE.S('Common sample'!I6:I75,'Common sample'!Z6:Z75)</x:f>
        <x:v>-0.0005737259789309456</x:v>
      </x:c>
      <x:c r="AA13" s="43" t="n">
        <x:f>_xlfn.COVARIANCE.S('Common sample'!I6:I75,'Common sample'!AA6:AA75)</x:f>
        <x:v>-0.002494677576293143</x:v>
      </x:c>
      <x:c r="AB13" s="43" t="n">
        <x:f>_xlfn.COVARIANCE.S('Common sample'!I6:I75,'Common sample'!AB6:AB75)</x:f>
        <x:v>-0.005087348960344712</x:v>
      </x:c>
      <x:c r="AC13" s="43" t="n">
        <x:f>_xlfn.COVARIANCE.S('Common sample'!I6:I75,'Common sample'!AC6:AC75)</x:f>
        <x:v>0.000586497505072984</x:v>
      </x:c>
      <x:c r="AD13" s="43" t="n">
        <x:f>_xlfn.COVARIANCE.S('Common sample'!I6:I75,'Common sample'!AD6:AD75)</x:f>
        <x:v>0.0005401225333778573</x:v>
      </x:c>
      <x:c r="AE13" s="43" t="n">
        <x:f>_xlfn.COVARIANCE.S('Common sample'!I6:I75,'Common sample'!AE6:AE75)</x:f>
        <x:v>-0.0004993650313388967</x:v>
      </x:c>
      <x:c r="AF13" s="43" t="n">
        <x:f>_xlfn.COVARIANCE.S('Common sample'!I6:I75,'Common sample'!AF6:AF75)</x:f>
        <x:v>-0.0007461978536801377</x:v>
      </x:c>
      <x:c r="AG13" s="43" t="n">
        <x:f>_xlfn.COVARIANCE.S('Common sample'!I6:I75,'Common sample'!AG6:AG75)</x:f>
        <x:v>-0.0001512170407849341</x:v>
      </x:c>
      <x:c r="AH13" s="43" t="n">
        <x:f>_xlfn.COVARIANCE.S('Common sample'!I6:I75,'Common sample'!AH6:AH75)</x:f>
        <x:v>0.001198409613987419</x:v>
      </x:c>
      <x:c r="AI13" s="43" t="n">
        <x:f>_xlfn.COVARIANCE.S('Common sample'!I6:I75,'Common sample'!AI6:AI75)</x:f>
        <x:v>0.0004734790590560412</x:v>
      </x:c>
      <x:c r="AJ13" s="43" t="n">
        <x:f>_xlfn.COVARIANCE.S('Common sample'!I6:I75,'Common sample'!AJ6:AJ75)</x:f>
        <x:v>0.0007927931239194402</x:v>
      </x:c>
      <x:c r="AK13" s="43" t="n">
        <x:f>_xlfn.COVARIANCE.S('Common sample'!I6:I75,'Common sample'!AK6:AK75)</x:f>
        <x:v>0.0021311806104479455</x:v>
      </x:c>
      <x:c r="AL13" s="43" t="n">
        <x:f>_xlfn.COVARIANCE.S('Common sample'!I6:I75,'Common sample'!AL6:AL75)</x:f>
        <x:v>-0.001090110600758641</x:v>
      </x:c>
      <x:c r="AM13" s="43" t="n">
        <x:f>_xlfn.COVARIANCE.S('Common sample'!I6:I75,'Common sample'!AM6:AM75)</x:f>
        <x:v>0.0007535875382560357</x:v>
      </x:c>
      <x:c r="AN13" s="43" t="n">
        <x:f>_xlfn.COVARIANCE.S('Common sample'!I6:I75,'Common sample'!AN6:AN75)</x:f>
        <x:v>0.0006083463201362082</x:v>
      </x:c>
      <x:c r="AO13" s="43" t="n">
        <x:f>_xlfn.COVARIANCE.S('Common sample'!I6:I75,'Common sample'!AO6:AO75)</x:f>
        <x:v>0.0009113966798013128</x:v>
      </x:c>
      <x:c r="AP13" s="43" t="n">
        <x:f>_xlfn.COVARIANCE.S('Common sample'!I6:I75,'Common sample'!AP6:AP75)</x:f>
        <x:v>0.00010167932470341749</x:v>
      </x:c>
      <x:c r="AQ13" s="43" t="n">
        <x:f>_xlfn.COVARIANCE.S('Common sample'!I6:I75,'Common sample'!AQ6:AQ75)</x:f>
        <x:v>0.00033538282426539184</x:v>
      </x:c>
      <x:c r="AR13" s="43" t="n">
        <x:f>_xlfn.COVARIANCE.S('Common sample'!I6:I75,'Common sample'!AR6:AR75)</x:f>
        <x:v>0.000867470822384379</x:v>
      </x:c>
    </x:row>
    <x:row r="14" ht="19" customHeight="1">
      <x:c r="A14" s="30" t="str">
        <x:v>STX</x:v>
      </x:c>
      <x:c r="B14" s="43" t="n">
        <x:f>_xlfn.COVARIANCE.S('Common sample'!J6:J75,'Common sample'!B6:B75)</x:f>
        <x:v>-0.0009950707239845546</x:v>
      </x:c>
      <x:c r="C14" s="43" t="n">
        <x:f>_xlfn.COVARIANCE.S('Common sample'!J6:J75,'Common sample'!C6:C75)</x:f>
        <x:v>-0.00020037638607053973</x:v>
      </x:c>
      <x:c r="D14" s="43" t="n">
        <x:f>_xlfn.COVARIANCE.S('Common sample'!J6:J75,'Common sample'!D6:D75)</x:f>
        <x:v>0.0009073492366662406</x:v>
      </x:c>
      <x:c r="E14" s="43" t="n">
        <x:f>_xlfn.COVARIANCE.S('Common sample'!J6:J75,'Common sample'!E6:E75)</x:f>
        <x:v>0.0005577335170380214</x:v>
      </x:c>
      <x:c r="F14" s="43" t="n">
        <x:f>_xlfn.COVARIANCE.S('Common sample'!J6:J75,'Common sample'!F6:F75)</x:f>
        <x:v>0.001774775384233477</x:v>
      </x:c>
      <x:c r="G14" s="43" t="n">
        <x:f>_xlfn.COVARIANCE.S('Common sample'!J6:J75,'Common sample'!G6:G75)</x:f>
        <x:v>-0.004447883909028513</x:v>
      </x:c>
      <x:c r="H14" s="43" t="n">
        <x:f>_xlfn.COVARIANCE.S('Common sample'!J6:J75,'Common sample'!H6:H75)</x:f>
        <x:v>0.000627770161102404</x:v>
      </x:c>
      <x:c r="I14" s="43" t="n">
        <x:f>_xlfn.COVARIANCE.S('Common sample'!J6:J75,'Common sample'!I6:I75)</x:f>
        <x:v>0.002252142794757391</x:v>
      </x:c>
      <x:c r="J14" s="43" t="n">
        <x:f>_xlfn.COVARIANCE.S('Common sample'!J6:J75,'Common sample'!J6:J75)</x:f>
        <x:v>0.013429995905622683</x:v>
      </x:c>
      <x:c r="K14" s="43" t="n">
        <x:f>_xlfn.COVARIANCE.S('Common sample'!J6:J75,'Common sample'!K6:K75)</x:f>
        <x:v>0.000597140494422439</x:v>
      </x:c>
      <x:c r="L14" s="43" t="n">
        <x:f>_xlfn.COVARIANCE.S('Common sample'!J6:J75,'Common sample'!L6:L75)</x:f>
        <x:v>-0.001484835515662692</x:v>
      </x:c>
      <x:c r="M14" s="43" t="n">
        <x:f>_xlfn.COVARIANCE.S('Common sample'!J6:J75,'Common sample'!M6:M75)</x:f>
        <x:v>-0.00037880276927578817</x:v>
      </x:c>
      <x:c r="N14" s="43" t="n">
        <x:f>_xlfn.COVARIANCE.S('Common sample'!J6:J75,'Common sample'!N6:N75)</x:f>
        <x:v>-0.0010636219039505772</x:v>
      </x:c>
      <x:c r="O14" s="43" t="n">
        <x:f>_xlfn.COVARIANCE.S('Common sample'!J6:J75,'Common sample'!O6:O75)</x:f>
        <x:v>0.012194969862488332</x:v>
      </x:c>
      <x:c r="P14" s="43" t="n">
        <x:f>_xlfn.COVARIANCE.S('Common sample'!J6:J75,'Common sample'!P6:P75)</x:f>
        <x:v>-0.0011976188580875566</x:v>
      </x:c>
      <x:c r="Q14" s="43" t="n">
        <x:f>_xlfn.COVARIANCE.S('Common sample'!J6:J75,'Common sample'!Q6:Q75)</x:f>
        <x:v>0.004914602091844413</x:v>
      </x:c>
      <x:c r="R14" s="43" t="n">
        <x:f>_xlfn.COVARIANCE.S('Common sample'!J6:J75,'Common sample'!R6:R75)</x:f>
        <x:v>-0.000369254852857922</x:v>
      </x:c>
      <x:c r="S14" s="43" t="n">
        <x:f>_xlfn.COVARIANCE.S('Common sample'!J6:J75,'Common sample'!S6:S75)</x:f>
        <x:v>-0.0013446944878704652</x:v>
      </x:c>
      <x:c r="T14" s="43" t="n">
        <x:f>_xlfn.COVARIANCE.S('Common sample'!J6:J75,'Common sample'!T6:T75)</x:f>
        <x:v>0.0023612979575774345</x:v>
      </x:c>
      <x:c r="U14" s="43" t="n">
        <x:f>_xlfn.COVARIANCE.S('Common sample'!J6:J75,'Common sample'!U6:U75)</x:f>
        <x:v>-0.005442066213399306</x:v>
      </x:c>
      <x:c r="V14" s="43" t="n">
        <x:f>_xlfn.COVARIANCE.S('Common sample'!J6:J75,'Common sample'!V6:V75)</x:f>
        <x:v>-0.004177402883793703</x:v>
      </x:c>
      <x:c r="W14" s="43" t="n">
        <x:f>_xlfn.COVARIANCE.S('Common sample'!J6:J75,'Common sample'!W6:W75)</x:f>
        <x:v>-0.0010049783319269867</x:v>
      </x:c>
      <x:c r="X14" s="43" t="n">
        <x:f>_xlfn.COVARIANCE.S('Common sample'!J6:J75,'Common sample'!X6:X75)</x:f>
        <x:v>0.010933086562937105</x:v>
      </x:c>
      <x:c r="Y14" s="43" t="n">
        <x:f>_xlfn.COVARIANCE.S('Common sample'!J6:J75,'Common sample'!Y6:Y75)</x:f>
        <x:v>0.0017747974810487105</x:v>
      </x:c>
      <x:c r="Z14" s="43" t="n">
        <x:f>_xlfn.COVARIANCE.S('Common sample'!J6:J75,'Common sample'!Z6:Z75)</x:f>
        <x:v>0.00020307274806045087</x:v>
      </x:c>
      <x:c r="AA14" s="43" t="n">
        <x:f>_xlfn.COVARIANCE.S('Common sample'!J6:J75,'Common sample'!AA6:AA75)</x:f>
        <x:v>0.001819431856977914</x:v>
      </x:c>
      <x:c r="AB14" s="43" t="n">
        <x:f>_xlfn.COVARIANCE.S('Common sample'!J6:J75,'Common sample'!AB6:AB75)</x:f>
        <x:v>-0.005729555774260834</x:v>
      </x:c>
      <x:c r="AC14" s="43" t="n">
        <x:f>_xlfn.COVARIANCE.S('Common sample'!J6:J75,'Common sample'!AC6:AC75)</x:f>
        <x:v>0.0009651555388362179</x:v>
      </x:c>
      <x:c r="AD14" s="43" t="n">
        <x:f>_xlfn.COVARIANCE.S('Common sample'!J6:J75,'Common sample'!AD6:AD75)</x:f>
        <x:v>0.001230607127177387</x:v>
      </x:c>
      <x:c r="AE14" s="43" t="n">
        <x:f>_xlfn.COVARIANCE.S('Common sample'!J6:J75,'Common sample'!AE6:AE75)</x:f>
        <x:v>0.0014994759016276047</x:v>
      </x:c>
      <x:c r="AF14" s="43" t="n">
        <x:f>_xlfn.COVARIANCE.S('Common sample'!J6:J75,'Common sample'!AF6:AF75)</x:f>
        <x:v>-0.0008367453209131451</x:v>
      </x:c>
      <x:c r="AG14" s="43" t="n">
        <x:f>_xlfn.COVARIANCE.S('Common sample'!J6:J75,'Common sample'!AG6:AG75)</x:f>
        <x:v>0.0007255300222935317</x:v>
      </x:c>
      <x:c r="AH14" s="43" t="n">
        <x:f>_xlfn.COVARIANCE.S('Common sample'!J6:J75,'Common sample'!AH6:AH75)</x:f>
        <x:v>0.0011007677336105624</x:v>
      </x:c>
      <x:c r="AI14" s="43" t="n">
        <x:f>_xlfn.COVARIANCE.S('Common sample'!J6:J75,'Common sample'!AI6:AI75)</x:f>
        <x:v>0.0009089801554839319</x:v>
      </x:c>
      <x:c r="AJ14" s="43" t="n">
        <x:f>_xlfn.COVARIANCE.S('Common sample'!J6:J75,'Common sample'!AJ6:AJ75)</x:f>
        <x:v>0.00019051790177204413</x:v>
      </x:c>
      <x:c r="AK14" s="43" t="n">
        <x:f>_xlfn.COVARIANCE.S('Common sample'!J6:J75,'Common sample'!AK6:AK75)</x:f>
        <x:v>0.003322053893646942</x:v>
      </x:c>
      <x:c r="AL14" s="43" t="n">
        <x:f>_xlfn.COVARIANCE.S('Common sample'!J6:J75,'Common sample'!AL6:AL75)</x:f>
        <x:v>-0.0030926567299313368</x:v>
      </x:c>
      <x:c r="AM14" s="43" t="n">
        <x:f>_xlfn.COVARIANCE.S('Common sample'!J6:J75,'Common sample'!AM6:AM75)</x:f>
        <x:v>0.0032533094380664458</x:v>
      </x:c>
      <x:c r="AN14" s="43" t="n">
        <x:f>_xlfn.COVARIANCE.S('Common sample'!J6:J75,'Common sample'!AN6:AN75)</x:f>
        <x:v>-0.0001774133265151411</x:v>
      </x:c>
      <x:c r="AO14" s="43" t="n">
        <x:f>_xlfn.COVARIANCE.S('Common sample'!J6:J75,'Common sample'!AO6:AO75)</x:f>
        <x:v>0.0006769368800185659</x:v>
      </x:c>
      <x:c r="AP14" s="43" t="n">
        <x:f>_xlfn.COVARIANCE.S('Common sample'!J6:J75,'Common sample'!AP6:AP75)</x:f>
        <x:v>0.0005928813868129665</x:v>
      </x:c>
      <x:c r="AQ14" s="43" t="n">
        <x:f>_xlfn.COVARIANCE.S('Common sample'!J6:J75,'Common sample'!AQ6:AQ75)</x:f>
        <x:v>0.0012196171010531987</x:v>
      </x:c>
      <x:c r="AR14" s="43" t="n">
        <x:f>_xlfn.COVARIANCE.S('Common sample'!J6:J75,'Common sample'!AR6:AR75)</x:f>
        <x:v>-0.0001917665521423774</x:v>
      </x:c>
    </x:row>
    <x:row r="15" ht="19" customHeight="1">
      <x:c r="A15" s="30" t="str">
        <x:v>VLO</x:v>
      </x:c>
      <x:c r="B15" s="43" t="n">
        <x:f>_xlfn.COVARIANCE.S('Common sample'!K6:K75,'Common sample'!B6:B75)</x:f>
        <x:v>0.0008033440781742541</x:v>
      </x:c>
      <x:c r="C15" s="43" t="n">
        <x:f>_xlfn.COVARIANCE.S('Common sample'!K6:K75,'Common sample'!C6:C75)</x:f>
        <x:v>-0.0011028316608240607</x:v>
      </x:c>
      <x:c r="D15" s="43" t="n">
        <x:f>_xlfn.COVARIANCE.S('Common sample'!K6:K75,'Common sample'!D6:D75)</x:f>
        <x:v>-0.000013779641191453795</x:v>
      </x:c>
      <x:c r="E15" s="43" t="n">
        <x:f>_xlfn.COVARIANCE.S('Common sample'!K6:K75,'Common sample'!E6:E75)</x:f>
        <x:v>-0.00008762982557659722</x:v>
      </x:c>
      <x:c r="F15" s="43" t="n">
        <x:f>_xlfn.COVARIANCE.S('Common sample'!K6:K75,'Common sample'!F6:F75)</x:f>
        <x:v>-0.0002254427631555971</x:v>
      </x:c>
      <x:c r="G15" s="43" t="n">
        <x:f>_xlfn.COVARIANCE.S('Common sample'!K6:K75,'Common sample'!G6:G75)</x:f>
        <x:v>-0.0007673055659491215</x:v>
      </x:c>
      <x:c r="H15" s="43" t="n">
        <x:f>_xlfn.COVARIANCE.S('Common sample'!K6:K75,'Common sample'!H6:H75)</x:f>
        <x:v>0.0005187196581484412</x:v>
      </x:c>
      <x:c r="I15" s="43" t="n">
        <x:f>_xlfn.COVARIANCE.S('Common sample'!K6:K75,'Common sample'!I6:I75)</x:f>
        <x:v>0.0006927766798638849</x:v>
      </x:c>
      <x:c r="J15" s="43" t="n">
        <x:f>_xlfn.COVARIANCE.S('Common sample'!K6:K75,'Common sample'!J6:J75)</x:f>
        <x:v>0.000597140494422439</x:v>
      </x:c>
      <x:c r="K15" s="43" t="n">
        <x:f>_xlfn.COVARIANCE.S('Common sample'!K6:K75,'Common sample'!K6:K75)</x:f>
        <x:v>0.005286965588227249</x:v>
      </x:c>
      <x:c r="L15" s="43" t="n">
        <x:f>_xlfn.COVARIANCE.S('Common sample'!K6:K75,'Common sample'!L6:L75)</x:f>
        <x:v>0.0016194294969818033</x:v>
      </x:c>
      <x:c r="M15" s="43" t="n">
        <x:f>_xlfn.COVARIANCE.S('Common sample'!K6:K75,'Common sample'!M6:M75)</x:f>
        <x:v>0.0008948716043611884</x:v>
      </x:c>
      <x:c r="N15" s="43" t="n">
        <x:f>_xlfn.COVARIANCE.S('Common sample'!K6:K75,'Common sample'!N6:N75)</x:f>
        <x:v>0.0002730119903671431</x:v>
      </x:c>
      <x:c r="O15" s="43" t="n">
        <x:f>_xlfn.COVARIANCE.S('Common sample'!K6:K75,'Common sample'!O6:O75)</x:f>
        <x:v>0.0003670723878784881</x:v>
      </x:c>
      <x:c r="P15" s="43" t="n">
        <x:f>_xlfn.COVARIANCE.S('Common sample'!K6:K75,'Common sample'!P6:P75)</x:f>
        <x:v>0.001196480345969322</x:v>
      </x:c>
      <x:c r="Q15" s="43" t="n">
        <x:f>_xlfn.COVARIANCE.S('Common sample'!K6:K75,'Common sample'!Q6:Q75)</x:f>
        <x:v>-0.0000901944139798595</x:v>
      </x:c>
      <x:c r="R15" s="43" t="n">
        <x:f>_xlfn.COVARIANCE.S('Common sample'!K6:K75,'Common sample'!R6:R75)</x:f>
        <x:v>-0.00035835078574493023</x:v>
      </x:c>
      <x:c r="S15" s="43" t="n">
        <x:f>_xlfn.COVARIANCE.S('Common sample'!K6:K75,'Common sample'!S6:S75)</x:f>
        <x:v>0.004368593345845167</x:v>
      </x:c>
      <x:c r="T15" s="43" t="n">
        <x:f>_xlfn.COVARIANCE.S('Common sample'!K6:K75,'Common sample'!T6:T75)</x:f>
        <x:v>0.001548255343986039</x:v>
      </x:c>
      <x:c r="U15" s="43" t="n">
        <x:f>_xlfn.COVARIANCE.S('Common sample'!K6:K75,'Common sample'!U6:U75)</x:f>
        <x:v>0.0009986692562067199</x:v>
      </x:c>
      <x:c r="V15" s="43" t="n">
        <x:f>_xlfn.COVARIANCE.S('Common sample'!K6:K75,'Common sample'!V6:V75)</x:f>
        <x:v>-0.0004902199961304971</x:v>
      </x:c>
      <x:c r="W15" s="43" t="n">
        <x:f>_xlfn.COVARIANCE.S('Common sample'!K6:K75,'Common sample'!W6:W75)</x:f>
        <x:v>-0.0004996150622703359</x:v>
      </x:c>
      <x:c r="X15" s="43" t="n">
        <x:f>_xlfn.COVARIANCE.S('Common sample'!K6:K75,'Common sample'!X6:X75)</x:f>
        <x:v>-0.0002815760205862061</x:v>
      </x:c>
      <x:c r="Y15" s="43" t="n">
        <x:f>_xlfn.COVARIANCE.S('Common sample'!K6:K75,'Common sample'!Y6:Y75)</x:f>
        <x:v>-0.0015105354335649232</x:v>
      </x:c>
      <x:c r="Z15" s="43" t="n">
        <x:f>_xlfn.COVARIANCE.S('Common sample'!K6:K75,'Common sample'!Z6:Z75)</x:f>
        <x:v>-0.000271193106566135</x:v>
      </x:c>
      <x:c r="AA15" s="43" t="n">
        <x:f>_xlfn.COVARIANCE.S('Common sample'!K6:K75,'Common sample'!AA6:AA75)</x:f>
        <x:v>0.002766442991827611</x:v>
      </x:c>
      <x:c r="AB15" s="43" t="n">
        <x:f>_xlfn.COVARIANCE.S('Common sample'!K6:K75,'Common sample'!AB6:AB75)</x:f>
        <x:v>-0.0014537086812185186</x:v>
      </x:c>
      <x:c r="AC15" s="43" t="n">
        <x:f>_xlfn.COVARIANCE.S('Common sample'!K6:K75,'Common sample'!AC6:AC75)</x:f>
        <x:v>0.00011249060105145595</x:v>
      </x:c>
      <x:c r="AD15" s="43" t="n">
        <x:f>_xlfn.COVARIANCE.S('Common sample'!K6:K75,'Common sample'!AD6:AD75)</x:f>
        <x:v>-0.0003704691282910529</x:v>
      </x:c>
      <x:c r="AE15" s="43" t="n">
        <x:f>_xlfn.COVARIANCE.S('Common sample'!K6:K75,'Common sample'!AE6:AE75)</x:f>
        <x:v>0.0011638184786900902</x:v>
      </x:c>
      <x:c r="AF15" s="43" t="n">
        <x:f>_xlfn.COVARIANCE.S('Common sample'!K6:K75,'Common sample'!AF6:AF75)</x:f>
        <x:v>0.00011548829892643355</x:v>
      </x:c>
      <x:c r="AG15" s="43" t="n">
        <x:f>_xlfn.COVARIANCE.S('Common sample'!K6:K75,'Common sample'!AG6:AG75)</x:f>
        <x:v>-0.0008147682017675433</x:v>
      </x:c>
      <x:c r="AH15" s="43" t="n">
        <x:f>_xlfn.COVARIANCE.S('Common sample'!K6:K75,'Common sample'!AH6:AH75)</x:f>
        <x:v>0.0017174267829453606</x:v>
      </x:c>
      <x:c r="AI15" s="43" t="n">
        <x:f>_xlfn.COVARIANCE.S('Common sample'!K6:K75,'Common sample'!AI6:AI75)</x:f>
        <x:v>-0.0005182483121994923</x:v>
      </x:c>
      <x:c r="AJ15" s="43" t="n">
        <x:f>_xlfn.COVARIANCE.S('Common sample'!K6:K75,'Common sample'!AJ6:AJ75)</x:f>
        <x:v>0.000732821008339763</x:v>
      </x:c>
      <x:c r="AK15" s="43" t="n">
        <x:f>_xlfn.COVARIANCE.S('Common sample'!K6:K75,'Common sample'!AK6:AK75)</x:f>
        <x:v>-0.0004793435458536592</x:v>
      </x:c>
      <x:c r="AL15" s="43" t="n">
        <x:f>_xlfn.COVARIANCE.S('Common sample'!K6:K75,'Common sample'!AL6:AL75)</x:f>
        <x:v>0.0007187611259534855</x:v>
      </x:c>
      <x:c r="AM15" s="43" t="n">
        <x:f>_xlfn.COVARIANCE.S('Common sample'!K6:K75,'Common sample'!AM6:AM75)</x:f>
        <x:v>-0.00011457497854789804</x:v>
      </x:c>
      <x:c r="AN15" s="43" t="n">
        <x:f>_xlfn.COVARIANCE.S('Common sample'!K6:K75,'Common sample'!AN6:AN75)</x:f>
        <x:v>-0.00004021466401676513</x:v>
      </x:c>
      <x:c r="AO15" s="43" t="n">
        <x:f>_xlfn.COVARIANCE.S('Common sample'!K6:K75,'Common sample'!AO6:AO75)</x:f>
        <x:v>-0.00003797332123521782</x:v>
      </x:c>
      <x:c r="AP15" s="43" t="n">
        <x:f>_xlfn.COVARIANCE.S('Common sample'!K6:K75,'Common sample'!AP6:AP75)</x:f>
        <x:v>0.00019727524228659466</x:v>
      </x:c>
      <x:c r="AQ15" s="43" t="n">
        <x:f>_xlfn.COVARIANCE.S('Common sample'!K6:K75,'Common sample'!AQ6:AQ75)</x:f>
        <x:v>0.00031351014467179264</x:v>
      </x:c>
      <x:c r="AR15" s="43" t="n">
        <x:f>_xlfn.COVARIANCE.S('Common sample'!K6:K75,'Common sample'!AR6:AR75)</x:f>
        <x:v>-0.0004025417660045372</x:v>
      </x:c>
    </x:row>
    <x:row r="16" ht="19" customHeight="1">
      <x:c r="A16" s="30" t="str">
        <x:v>CF</x:v>
      </x:c>
      <x:c r="B16" s="43" t="n">
        <x:f>_xlfn.COVARIANCE.S('Common sample'!L6:L75,'Common sample'!B6:B75)</x:f>
        <x:v>0.0009873216015609959</x:v>
      </x:c>
      <x:c r="C16" s="43" t="n">
        <x:f>_xlfn.COVARIANCE.S('Common sample'!L6:L75,'Common sample'!C6:C75)</x:f>
        <x:v>0.0015551899162668998</x:v>
      </x:c>
      <x:c r="D16" s="43" t="n">
        <x:f>_xlfn.COVARIANCE.S('Common sample'!L6:L75,'Common sample'!D6:D75)</x:f>
        <x:v>-0.0002651563171204229</x:v>
      </x:c>
      <x:c r="E16" s="43" t="n">
        <x:f>_xlfn.COVARIANCE.S('Common sample'!L6:L75,'Common sample'!E6:E75)</x:f>
        <x:v>0.00010686819097316795</x:v>
      </x:c>
      <x:c r="F16" s="43" t="n">
        <x:f>_xlfn.COVARIANCE.S('Common sample'!L6:L75,'Common sample'!F6:F75)</x:f>
        <x:v>0.0001262914116983644</x:v>
      </x:c>
      <x:c r="G16" s="43" t="n">
        <x:f>_xlfn.COVARIANCE.S('Common sample'!L6:L75,'Common sample'!G6:G75)</x:f>
        <x:v>0.0013805656758307321</x:v>
      </x:c>
      <x:c r="H16" s="43" t="n">
        <x:f>_xlfn.COVARIANCE.S('Common sample'!L6:L75,'Common sample'!H6:H75)</x:f>
        <x:v>0.0005600133927123704</x:v>
      </x:c>
      <x:c r="I16" s="43" t="n">
        <x:f>_xlfn.COVARIANCE.S('Common sample'!L6:L75,'Common sample'!I6:I75)</x:f>
        <x:v>0.001030134633651326</x:v>
      </x:c>
      <x:c r="J16" s="43" t="n">
        <x:f>_xlfn.COVARIANCE.S('Common sample'!L6:L75,'Common sample'!J6:J75)</x:f>
        <x:v>-0.001484835515662692</x:v>
      </x:c>
      <x:c r="K16" s="43" t="n">
        <x:f>_xlfn.COVARIANCE.S('Common sample'!L6:L75,'Common sample'!K6:K75)</x:f>
        <x:v>0.0016194294969818033</x:v>
      </x:c>
      <x:c r="L16" s="43" t="n">
        <x:f>_xlfn.COVARIANCE.S('Common sample'!L6:L75,'Common sample'!L6:L75)</x:f>
        <x:v>0.007480265991039486</x:v>
      </x:c>
      <x:c r="M16" s="43" t="n">
        <x:f>_xlfn.COVARIANCE.S('Common sample'!L6:L75,'Common sample'!M6:M75)</x:f>
        <x:v>0.002277560446965129</x:v>
      </x:c>
      <x:c r="N16" s="43" t="n">
        <x:f>_xlfn.COVARIANCE.S('Common sample'!L6:L75,'Common sample'!N6:N75)</x:f>
        <x:v>0.00037040303610681393</x:v>
      </x:c>
      <x:c r="O16" s="43" t="n">
        <x:f>_xlfn.COVARIANCE.S('Common sample'!L6:L75,'Common sample'!O6:O75)</x:f>
        <x:v>-0.00260813053018989</x:v>
      </x:c>
      <x:c r="P16" s="43" t="n">
        <x:f>_xlfn.COVARIANCE.S('Common sample'!L6:L75,'Common sample'!P6:P75)</x:f>
        <x:v>0.0005360798017059514</x:v>
      </x:c>
      <x:c r="Q16" s="43" t="n">
        <x:f>_xlfn.COVARIANCE.S('Common sample'!L6:L75,'Common sample'!Q6:Q75)</x:f>
        <x:v>0.0015130524048817652</x:v>
      </x:c>
      <x:c r="R16" s="43" t="n">
        <x:f>_xlfn.COVARIANCE.S('Common sample'!L6:L75,'Common sample'!R6:R75)</x:f>
        <x:v>0.0005449729451381092</x:v>
      </x:c>
      <x:c r="S16" s="43" t="n">
        <x:f>_xlfn.COVARIANCE.S('Common sample'!L6:L75,'Common sample'!S6:S75)</x:f>
        <x:v>0.004738696007821836</x:v>
      </x:c>
      <x:c r="T16" s="43" t="n">
        <x:f>_xlfn.COVARIANCE.S('Common sample'!L6:L75,'Common sample'!T6:T75)</x:f>
        <x:v>-0.0013463738658332613</x:v>
      </x:c>
      <x:c r="U16" s="43" t="n">
        <x:f>_xlfn.COVARIANCE.S('Common sample'!L6:L75,'Common sample'!U6:U75)</x:f>
        <x:v>0.0011442865634173167</x:v>
      </x:c>
      <x:c r="V16" s="43" t="n">
        <x:f>_xlfn.COVARIANCE.S('Common sample'!L6:L75,'Common sample'!V6:V75)</x:f>
        <x:v>0.0012516848784334422</x:v>
      </x:c>
      <x:c r="W16" s="43" t="n">
        <x:f>_xlfn.COVARIANCE.S('Common sample'!L6:L75,'Common sample'!W6:W75)</x:f>
        <x:v>-0.0006476714409470793</x:v>
      </x:c>
      <x:c r="X16" s="43" t="n">
        <x:f>_xlfn.COVARIANCE.S('Common sample'!L6:L75,'Common sample'!X6:X75)</x:f>
        <x:v>-0.003112205640722967</x:v>
      </x:c>
      <x:c r="Y16" s="43" t="n">
        <x:f>_xlfn.COVARIANCE.S('Common sample'!L6:L75,'Common sample'!Y6:Y75)</x:f>
        <x:v>-0.002710193853753159</x:v>
      </x:c>
      <x:c r="Z16" s="43" t="n">
        <x:f>_xlfn.COVARIANCE.S('Common sample'!L6:L75,'Common sample'!Z6:Z75)</x:f>
        <x:v>-0.000549985994636836</x:v>
      </x:c>
      <x:c r="AA16" s="43" t="n">
        <x:f>_xlfn.COVARIANCE.S('Common sample'!L6:L75,'Common sample'!AA6:AA75)</x:f>
        <x:v>0.0002558786313787477</x:v>
      </x:c>
      <x:c r="AB16" s="43" t="n">
        <x:f>_xlfn.COVARIANCE.S('Common sample'!L6:L75,'Common sample'!AB6:AB75)</x:f>
        <x:v>0.00022636276239803966</x:v>
      </x:c>
      <x:c r="AC16" s="43" t="n">
        <x:f>_xlfn.COVARIANCE.S('Common sample'!L6:L75,'Common sample'!AC6:AC75)</x:f>
        <x:v>-0.0008190312684023582</x:v>
      </x:c>
      <x:c r="AD16" s="43" t="n">
        <x:f>_xlfn.COVARIANCE.S('Common sample'!L6:L75,'Common sample'!AD6:AD75)</x:f>
        <x:v>-0.0014427414757888404</x:v>
      </x:c>
      <x:c r="AE16" s="43" t="n">
        <x:f>_xlfn.COVARIANCE.S('Common sample'!L6:L75,'Common sample'!AE6:AE75)</x:f>
        <x:v>0.000016987444533854905</x:v>
      </x:c>
      <x:c r="AF16" s="43" t="n">
        <x:f>_xlfn.COVARIANCE.S('Common sample'!L6:L75,'Common sample'!AF6:AF75)</x:f>
        <x:v>-0.0006071892950821608</x:v>
      </x:c>
      <x:c r="AG16" s="43" t="n">
        <x:f>_xlfn.COVARIANCE.S('Common sample'!L6:L75,'Common sample'!AG6:AG75)</x:f>
        <x:v>-0.00019384247333355552</x:v>
      </x:c>
      <x:c r="AH16" s="43" t="n">
        <x:f>_xlfn.COVARIANCE.S('Common sample'!L6:L75,'Common sample'!AH6:AH75)</x:f>
        <x:v>0.0018957000661521978</x:v>
      </x:c>
      <x:c r="AI16" s="43" t="n">
        <x:f>_xlfn.COVARIANCE.S('Common sample'!L6:L75,'Common sample'!AI6:AI75)</x:f>
        <x:v>-0.0005022019117375096</x:v>
      </x:c>
      <x:c r="AJ16" s="43" t="n">
        <x:f>_xlfn.COVARIANCE.S('Common sample'!L6:L75,'Common sample'!AJ6:AJ75)</x:f>
        <x:v>-0.0003167889189200238</x:v>
      </x:c>
      <x:c r="AK16" s="43" t="n">
        <x:f>_xlfn.COVARIANCE.S('Common sample'!L6:L75,'Common sample'!AK6:AK75)</x:f>
        <x:v>-0.000043273212281077106</x:v>
      </x:c>
      <x:c r="AL16" s="43" t="n">
        <x:f>_xlfn.COVARIANCE.S('Common sample'!L6:L75,'Common sample'!AL6:AL75)</x:f>
        <x:v>0.0005089711270054701</x:v>
      </x:c>
      <x:c r="AM16" s="43" t="n">
        <x:f>_xlfn.COVARIANCE.S('Common sample'!L6:L75,'Common sample'!AM6:AM75)</x:f>
        <x:v>-0.0015030560235811676</x:v>
      </x:c>
      <x:c r="AN16" s="43" t="n">
        <x:f>_xlfn.COVARIANCE.S('Common sample'!L6:L75,'Common sample'!AN6:AN75)</x:f>
        <x:v>0.0010633419077618993</x:v>
      </x:c>
      <x:c r="AO16" s="43" t="n">
        <x:f>_xlfn.COVARIANCE.S('Common sample'!L6:L75,'Common sample'!AO6:AO75)</x:f>
        <x:v>-0.0009861955992812772</x:v>
      </x:c>
      <x:c r="AP16" s="43" t="n">
        <x:f>_xlfn.COVARIANCE.S('Common sample'!L6:L75,'Common sample'!AP6:AP75)</x:f>
        <x:v>-0.00032468391894652335</x:v>
      </x:c>
      <x:c r="AQ16" s="43" t="n">
        <x:f>_xlfn.COVARIANCE.S('Common sample'!L6:L75,'Common sample'!AQ6:AQ75)</x:f>
        <x:v>0.00038930295887317705</x:v>
      </x:c>
      <x:c r="AR16" s="43" t="n">
        <x:f>_xlfn.COVARIANCE.S('Common sample'!L6:L75,'Common sample'!AR6:AR75)</x:f>
        <x:v>-0.0008156574122348638</x:v>
      </x:c>
    </x:row>
    <x:row r="17" ht="19" customHeight="1">
      <x:c r="A17" s="30" t="str">
        <x:v>NTR</x:v>
      </x:c>
      <x:c r="B17" s="43" t="n">
        <x:f>_xlfn.COVARIANCE.S('Common sample'!M6:M75,'Common sample'!B6:B75)</x:f>
        <x:v>0.001469278828001789</x:v>
      </x:c>
      <x:c r="C17" s="43" t="n">
        <x:f>_xlfn.COVARIANCE.S('Common sample'!M6:M75,'Common sample'!C6:C75)</x:f>
        <x:v>0.0009017186829062659</x:v>
      </x:c>
      <x:c r="D17" s="43" t="n">
        <x:f>_xlfn.COVARIANCE.S('Common sample'!M6:M75,'Common sample'!D6:D75)</x:f>
        <x:v>0.00007325436708231604</x:v>
      </x:c>
      <x:c r="E17" s="43" t="n">
        <x:f>_xlfn.COVARIANCE.S('Common sample'!M6:M75,'Common sample'!E6:E75)</x:f>
        <x:v>0.00018585458005612593</x:v>
      </x:c>
      <x:c r="F17" s="43" t="n">
        <x:f>_xlfn.COVARIANCE.S('Common sample'!M6:M75,'Common sample'!F6:F75)</x:f>
        <x:v>0.000792105512808812</x:v>
      </x:c>
      <x:c r="G17" s="43" t="n">
        <x:f>_xlfn.COVARIANCE.S('Common sample'!M6:M75,'Common sample'!G6:G75)</x:f>
        <x:v>0.0009419614037383343</x:v>
      </x:c>
      <x:c r="H17" s="43" t="n">
        <x:f>_xlfn.COVARIANCE.S('Common sample'!M6:M75,'Common sample'!H6:H75)</x:f>
        <x:v>-0.00034942616550393533</x:v>
      </x:c>
      <x:c r="I17" s="43" t="n">
        <x:f>_xlfn.COVARIANCE.S('Common sample'!M6:M75,'Common sample'!I6:I75)</x:f>
        <x:v>0.00036770616553718236</x:v>
      </x:c>
      <x:c r="J17" s="43" t="n">
        <x:f>_xlfn.COVARIANCE.S('Common sample'!M6:M75,'Common sample'!J6:J75)</x:f>
        <x:v>-0.00037880276927578817</x:v>
      </x:c>
      <x:c r="K17" s="43" t="n">
        <x:f>_xlfn.COVARIANCE.S('Common sample'!M6:M75,'Common sample'!K6:K75)</x:f>
        <x:v>0.0008948716043611884</x:v>
      </x:c>
      <x:c r="L17" s="43" t="n">
        <x:f>_xlfn.COVARIANCE.S('Common sample'!M6:M75,'Common sample'!L6:L75)</x:f>
        <x:v>0.002277560446965129</x:v>
      </x:c>
      <x:c r="M17" s="43" t="n">
        <x:f>_xlfn.COVARIANCE.S('Common sample'!M6:M75,'Common sample'!M6:M75)</x:f>
        <x:v>0.004097789288150628</x:v>
      </x:c>
      <x:c r="N17" s="43" t="n">
        <x:f>_xlfn.COVARIANCE.S('Common sample'!M6:M75,'Common sample'!N6:N75)</x:f>
        <x:v>0.0006898395953938897</x:v>
      </x:c>
      <x:c r="O17" s="43" t="n">
        <x:f>_xlfn.COVARIANCE.S('Common sample'!M6:M75,'Common sample'!O6:O75)</x:f>
        <x:v>-0.0011583350168103044</x:v>
      </x:c>
      <x:c r="P17" s="43" t="n">
        <x:f>_xlfn.COVARIANCE.S('Common sample'!M6:M75,'Common sample'!P6:P75)</x:f>
        <x:v>0.00015502272640611998</x:v>
      </x:c>
      <x:c r="Q17" s="43" t="n">
        <x:f>_xlfn.COVARIANCE.S('Common sample'!M6:M75,'Common sample'!Q6:Q75)</x:f>
        <x:v>-0.0011933703296074715</x:v>
      </x:c>
      <x:c r="R17" s="43" t="n">
        <x:f>_xlfn.COVARIANCE.S('Common sample'!M6:M75,'Common sample'!R6:R75)</x:f>
        <x:v>0.0009001467676675815</x:v>
      </x:c>
      <x:c r="S17" s="43" t="n">
        <x:f>_xlfn.COVARIANCE.S('Common sample'!M6:M75,'Common sample'!S6:S75)</x:f>
        <x:v>0.0013676000995989461</x:v>
      </x:c>
      <x:c r="T17" s="43" t="n">
        <x:f>_xlfn.COVARIANCE.S('Common sample'!M6:M75,'Common sample'!T6:T75)</x:f>
        <x:v>0.0017980786936169265</x:v>
      </x:c>
      <x:c r="U17" s="43" t="n">
        <x:f>_xlfn.COVARIANCE.S('Common sample'!M6:M75,'Common sample'!U6:U75)</x:f>
        <x:v>0.0003468435277316554</x:v>
      </x:c>
      <x:c r="V17" s="43" t="n">
        <x:f>_xlfn.COVARIANCE.S('Common sample'!M6:M75,'Common sample'!V6:V75)</x:f>
        <x:v>-0.0003525240592816923</x:v>
      </x:c>
      <x:c r="W17" s="43" t="n">
        <x:f>_xlfn.COVARIANCE.S('Common sample'!M6:M75,'Common sample'!W6:W75)</x:f>
        <x:v>-0.0007567750067546147</x:v>
      </x:c>
      <x:c r="X17" s="43" t="n">
        <x:f>_xlfn.COVARIANCE.S('Common sample'!M6:M75,'Common sample'!X6:X75)</x:f>
        <x:v>-0.0009116808389115884</x:v>
      </x:c>
      <x:c r="Y17" s="43" t="n">
        <x:f>_xlfn.COVARIANCE.S('Common sample'!M6:M75,'Common sample'!Y6:Y75)</x:f>
        <x:v>-0.0008363832527482983</x:v>
      </x:c>
      <x:c r="Z17" s="43" t="n">
        <x:f>_xlfn.COVARIANCE.S('Common sample'!M6:M75,'Common sample'!Z6:Z75)</x:f>
        <x:v>-0.000451448873431182</x:v>
      </x:c>
      <x:c r="AA17" s="43" t="n">
        <x:f>_xlfn.COVARIANCE.S('Common sample'!M6:M75,'Common sample'!AA6:AA75)</x:f>
        <x:v>-0.0001879225664044448</x:v>
      </x:c>
      <x:c r="AB17" s="43" t="n">
        <x:f>_xlfn.COVARIANCE.S('Common sample'!M6:M75,'Common sample'!AB6:AB75)</x:f>
        <x:v>0.00001880375690131156</x:v>
      </x:c>
      <x:c r="AC17" s="43" t="n">
        <x:f>_xlfn.COVARIANCE.S('Common sample'!M6:M75,'Common sample'!AC6:AC75)</x:f>
        <x:v>-0.00011236186764788287</x:v>
      </x:c>
      <x:c r="AD17" s="43" t="n">
        <x:f>_xlfn.COVARIANCE.S('Common sample'!M6:M75,'Common sample'!AD6:AD75)</x:f>
        <x:v>0.0003417606927307939</x:v>
      </x:c>
      <x:c r="AE17" s="43" t="n">
        <x:f>_xlfn.COVARIANCE.S('Common sample'!M6:M75,'Common sample'!AE6:AE75)</x:f>
        <x:v>-0.00007092806313689713</x:v>
      </x:c>
      <x:c r="AF17" s="43" t="n">
        <x:f>_xlfn.COVARIANCE.S('Common sample'!M6:M75,'Common sample'!AF6:AF75)</x:f>
        <x:v>-0.00001394724208150935</x:v>
      </x:c>
      <x:c r="AG17" s="43" t="n">
        <x:f>_xlfn.COVARIANCE.S('Common sample'!M6:M75,'Common sample'!AG6:AG75)</x:f>
        <x:v>-0.0005691299656190476</x:v>
      </x:c>
      <x:c r="AH17" s="43" t="n">
        <x:f>_xlfn.COVARIANCE.S('Common sample'!M6:M75,'Common sample'!AH6:AH75)</x:f>
        <x:v>-0.00029659896859531747</x:v>
      </x:c>
      <x:c r="AI17" s="43" t="n">
        <x:f>_xlfn.COVARIANCE.S('Common sample'!M6:M75,'Common sample'!AI6:AI75)</x:f>
        <x:v>-0.00030923289987714036</x:v>
      </x:c>
      <x:c r="AJ17" s="43" t="n">
        <x:f>_xlfn.COVARIANCE.S('Common sample'!M6:M75,'Common sample'!AJ6:AJ75)</x:f>
        <x:v>0.00035176309568437156</x:v>
      </x:c>
      <x:c r="AK17" s="43" t="n">
        <x:f>_xlfn.COVARIANCE.S('Common sample'!M6:M75,'Common sample'!AK6:AK75)</x:f>
        <x:v>0.00014905336211037097</x:v>
      </x:c>
      <x:c r="AL17" s="43" t="n">
        <x:f>_xlfn.COVARIANCE.S('Common sample'!M6:M75,'Common sample'!AL6:AL75)</x:f>
        <x:v>0.0002842712128740202</x:v>
      </x:c>
      <x:c r="AM17" s="43" t="n">
        <x:f>_xlfn.COVARIANCE.S('Common sample'!M6:M75,'Common sample'!AM6:AM75)</x:f>
        <x:v>0.00009778664216472437</x:v>
      </x:c>
      <x:c r="AN17" s="43" t="n">
        <x:f>_xlfn.COVARIANCE.S('Common sample'!M6:M75,'Common sample'!AN6:AN75)</x:f>
        <x:v>0.000358415479193271</x:v>
      </x:c>
      <x:c r="AO17" s="43" t="n">
        <x:f>_xlfn.COVARIANCE.S('Common sample'!M6:M75,'Common sample'!AO6:AO75)</x:f>
        <x:v>-0.0005931111379422679</x:v>
      </x:c>
      <x:c r="AP17" s="43" t="n">
        <x:f>_xlfn.COVARIANCE.S('Common sample'!M6:M75,'Common sample'!AP6:AP75)</x:f>
        <x:v>-0.0001322735767168378</x:v>
      </x:c>
      <x:c r="AQ17" s="43" t="n">
        <x:f>_xlfn.COVARIANCE.S('Common sample'!M6:M75,'Common sample'!AQ6:AQ75)</x:f>
        <x:v>0.0003621053481705343</x:v>
      </x:c>
      <x:c r="AR17" s="43" t="n">
        <x:f>_xlfn.COVARIANCE.S('Common sample'!M6:M75,'Common sample'!AR6:AR75)</x:f>
        <x:v>-0.000292189058328648</x:v>
      </x:c>
    </x:row>
    <x:row r="18" ht="19" customHeight="1">
      <x:c r="A18" s="30" t="str">
        <x:v>LNN</x:v>
      </x:c>
      <x:c r="B18" s="43" t="n">
        <x:f>_xlfn.COVARIANCE.S('Common sample'!N6:N75,'Common sample'!B6:B75)</x:f>
        <x:v>0.0003882577511490511</x:v>
      </x:c>
      <x:c r="C18" s="43" t="n">
        <x:f>_xlfn.COVARIANCE.S('Common sample'!N6:N75,'Common sample'!C6:C75)</x:f>
        <x:v>-0.0011405712436186064</x:v>
      </x:c>
      <x:c r="D18" s="43" t="n">
        <x:f>_xlfn.COVARIANCE.S('Common sample'!N6:N75,'Common sample'!D6:D75)</x:f>
        <x:v>0.0000373486036124598</x:v>
      </x:c>
      <x:c r="E18" s="43" t="n">
        <x:f>_xlfn.COVARIANCE.S('Common sample'!N6:N75,'Common sample'!E6:E75)</x:f>
        <x:v>0.00024987764954337993</x:v>
      </x:c>
      <x:c r="F18" s="43" t="n">
        <x:f>_xlfn.COVARIANCE.S('Common sample'!N6:N75,'Common sample'!F6:F75)</x:f>
        <x:v>0.00033671035432728994</x:v>
      </x:c>
      <x:c r="G18" s="43" t="n">
        <x:f>_xlfn.COVARIANCE.S('Common sample'!N6:N75,'Common sample'!G6:G75)</x:f>
        <x:v>0.00130709439044632</x:v>
      </x:c>
      <x:c r="H18" s="43" t="n">
        <x:f>_xlfn.COVARIANCE.S('Common sample'!N6:N75,'Common sample'!H6:H75)</x:f>
        <x:v>-0.001121257512312116</x:v>
      </x:c>
      <x:c r="I18" s="43" t="n">
        <x:f>_xlfn.COVARIANCE.S('Common sample'!N6:N75,'Common sample'!I6:I75)</x:f>
        <x:v>-0.00021752325616773761</x:v>
      </x:c>
      <x:c r="J18" s="43" t="n">
        <x:f>_xlfn.COVARIANCE.S('Common sample'!N6:N75,'Common sample'!J6:J75)</x:f>
        <x:v>-0.0010636219039505772</x:v>
      </x:c>
      <x:c r="K18" s="43" t="n">
        <x:f>_xlfn.COVARIANCE.S('Common sample'!N6:N75,'Common sample'!K6:K75)</x:f>
        <x:v>0.0002730119903671431</x:v>
      </x:c>
      <x:c r="L18" s="43" t="n">
        <x:f>_xlfn.COVARIANCE.S('Common sample'!N6:N75,'Common sample'!L6:L75)</x:f>
        <x:v>0.00037040303610681393</x:v>
      </x:c>
      <x:c r="M18" s="43" t="n">
        <x:f>_xlfn.COVARIANCE.S('Common sample'!N6:N75,'Common sample'!M6:M75)</x:f>
        <x:v>0.0006898395953938897</x:v>
      </x:c>
      <x:c r="N18" s="43" t="n">
        <x:f>_xlfn.COVARIANCE.S('Common sample'!N6:N75,'Common sample'!N6:N75)</x:f>
        <x:v>0.004544080226974538</x:v>
      </x:c>
      <x:c r="O18" s="43" t="n">
        <x:f>_xlfn.COVARIANCE.S('Common sample'!N6:N75,'Common sample'!O6:O75)</x:f>
        <x:v>-0.0015260451110749827</x:v>
      </x:c>
      <x:c r="P18" s="43" t="n">
        <x:f>_xlfn.COVARIANCE.S('Common sample'!N6:N75,'Common sample'!P6:P75)</x:f>
        <x:v>0.0011486642092904513</x:v>
      </x:c>
      <x:c r="Q18" s="43" t="n">
        <x:f>_xlfn.COVARIANCE.S('Common sample'!N6:N75,'Common sample'!Q6:Q75)</x:f>
        <x:v>0.00044041209528330517</x:v>
      </x:c>
      <x:c r="R18" s="43" t="n">
        <x:f>_xlfn.COVARIANCE.S('Common sample'!N6:N75,'Common sample'!R6:R75)</x:f>
        <x:v>-0.00022049904071033113</x:v>
      </x:c>
      <x:c r="S18" s="43" t="n">
        <x:f>_xlfn.COVARIANCE.S('Common sample'!N6:N75,'Common sample'!S6:S75)</x:f>
        <x:v>0.0021952873523730537</x:v>
      </x:c>
      <x:c r="T18" s="43" t="n">
        <x:f>_xlfn.COVARIANCE.S('Common sample'!N6:N75,'Common sample'!T6:T75)</x:f>
        <x:v>0.00044616797598406584</x:v>
      </x:c>
      <x:c r="U18" s="43" t="n">
        <x:f>_xlfn.COVARIANCE.S('Common sample'!N6:N75,'Common sample'!U6:U75)</x:f>
        <x:v>0.0027930517713667196</x:v>
      </x:c>
      <x:c r="V18" s="43" t="n">
        <x:f>_xlfn.COVARIANCE.S('Common sample'!N6:N75,'Common sample'!V6:V75)</x:f>
        <x:v>0.0017126444195419471</x:v>
      </x:c>
      <x:c r="W18" s="43" t="n">
        <x:f>_xlfn.COVARIANCE.S('Common sample'!N6:N75,'Common sample'!W6:W75)</x:f>
        <x:v>-0.00041671097051328696</x:v>
      </x:c>
      <x:c r="X18" s="43" t="n">
        <x:f>_xlfn.COVARIANCE.S('Common sample'!N6:N75,'Common sample'!X6:X75)</x:f>
        <x:v>-0.000538751366764009</x:v>
      </x:c>
      <x:c r="Y18" s="43" t="n">
        <x:f>_xlfn.COVARIANCE.S('Common sample'!N6:N75,'Common sample'!Y6:Y75)</x:f>
        <x:v>-0.000826544854196493</x:v>
      </x:c>
      <x:c r="Z18" s="43" t="n">
        <x:f>_xlfn.COVARIANCE.S('Common sample'!N6:N75,'Common sample'!Z6:Z75)</x:f>
        <x:v>0.0008744552991235925</x:v>
      </x:c>
      <x:c r="AA18" s="43" t="n">
        <x:f>_xlfn.COVARIANCE.S('Common sample'!N6:N75,'Common sample'!AA6:AA75)</x:f>
        <x:v>-0.005171794827139011</x:v>
      </x:c>
      <x:c r="AB18" s="43" t="n">
        <x:f>_xlfn.COVARIANCE.S('Common sample'!N6:N75,'Common sample'!AB6:AB75)</x:f>
        <x:v>0.0026541578027854187</x:v>
      </x:c>
      <x:c r="AC18" s="43" t="n">
        <x:f>_xlfn.COVARIANCE.S('Common sample'!N6:N75,'Common sample'!AC6:AC75)</x:f>
        <x:v>0.00008120547387137827</x:v>
      </x:c>
      <x:c r="AD18" s="43" t="n">
        <x:f>_xlfn.COVARIANCE.S('Common sample'!N6:N75,'Common sample'!AD6:AD75)</x:f>
        <x:v>-0.00032339349091165513</x:v>
      </x:c>
      <x:c r="AE18" s="43" t="n">
        <x:f>_xlfn.COVARIANCE.S('Common sample'!N6:N75,'Common sample'!AE6:AE75)</x:f>
        <x:v>0.0010586296227045179</x:v>
      </x:c>
      <x:c r="AF18" s="43" t="n">
        <x:f>_xlfn.COVARIANCE.S('Common sample'!N6:N75,'Common sample'!AF6:AF75)</x:f>
        <x:v>0.0002753141500081388</x:v>
      </x:c>
      <x:c r="AG18" s="43" t="n">
        <x:f>_xlfn.COVARIANCE.S('Common sample'!N6:N75,'Common sample'!AG6:AG75)</x:f>
        <x:v>-0.000872487065435729</x:v>
      </x:c>
      <x:c r="AH18" s="43" t="n">
        <x:f>_xlfn.COVARIANCE.S('Common sample'!N6:N75,'Common sample'!AH6:AH75)</x:f>
        <x:v>-0.001400348145541093</x:v>
      </x:c>
      <x:c r="AI18" s="43" t="n">
        <x:f>_xlfn.COVARIANCE.S('Common sample'!N6:N75,'Common sample'!AI6:AI75)</x:f>
        <x:v>-0.00027003033659270346</x:v>
      </x:c>
      <x:c r="AJ18" s="43" t="n">
        <x:f>_xlfn.COVARIANCE.S('Common sample'!N6:N75,'Common sample'!AJ6:AJ75)</x:f>
        <x:v>-0.0003623994087366509</x:v>
      </x:c>
      <x:c r="AK18" s="43" t="n">
        <x:f>_xlfn.COVARIANCE.S('Common sample'!N6:N75,'Common sample'!AK6:AK75)</x:f>
        <x:v>-0.0016098668459284358</x:v>
      </x:c>
      <x:c r="AL18" s="43" t="n">
        <x:f>_xlfn.COVARIANCE.S('Common sample'!N6:N75,'Common sample'!AL6:AL75)</x:f>
        <x:v>0.00007698551047169803</x:v>
      </x:c>
      <x:c r="AM18" s="43" t="n">
        <x:f>_xlfn.COVARIANCE.S('Common sample'!N6:N75,'Common sample'!AM6:AM75)</x:f>
        <x:v>-0.00046286009777406505</x:v>
      </x:c>
      <x:c r="AN18" s="43" t="n">
        <x:f>_xlfn.COVARIANCE.S('Common sample'!N6:N75,'Common sample'!AN6:AN75)</x:f>
        <x:v>0.0006235807183289521</x:v>
      </x:c>
      <x:c r="AO18" s="43" t="n">
        <x:f>_xlfn.COVARIANCE.S('Common sample'!N6:N75,'Common sample'!AO6:AO75)</x:f>
        <x:v>0.0006607583328926673</x:v>
      </x:c>
      <x:c r="AP18" s="43" t="n">
        <x:f>_xlfn.COVARIANCE.S('Common sample'!N6:N75,'Common sample'!AP6:AP75)</x:f>
        <x:v>-0.0000594588706958321</x:v>
      </x:c>
      <x:c r="AQ18" s="43" t="n">
        <x:f>_xlfn.COVARIANCE.S('Common sample'!N6:N75,'Common sample'!AQ6:AQ75)</x:f>
        <x:v>-0.00006883638106246338</x:v>
      </x:c>
      <x:c r="AR18" s="43" t="n">
        <x:f>_xlfn.COVARIANCE.S('Common sample'!N6:N75,'Common sample'!AR6:AR75)</x:f>
        <x:v>0.00019714530530776407</x:v>
      </x:c>
    </x:row>
    <x:row r="19" ht="19" customHeight="1">
      <x:c r="A19" s="30" t="str">
        <x:v>WDC</x:v>
      </x:c>
      <x:c r="B19" s="43" t="n">
        <x:f>_xlfn.COVARIANCE.S('Common sample'!O6:O75,'Common sample'!B6:B75)</x:f>
        <x:v>-0.000028878767130218368</x:v>
      </x:c>
      <x:c r="C19" s="43" t="n">
        <x:f>_xlfn.COVARIANCE.S('Common sample'!O6:O75,'Common sample'!C6:C75)</x:f>
        <x:v>0.000941441747233383</x:v>
      </x:c>
      <x:c r="D19" s="43" t="n">
        <x:f>_xlfn.COVARIANCE.S('Common sample'!O6:O75,'Common sample'!D6:D75)</x:f>
        <x:v>0.001357358856773198</x:v>
      </x:c>
      <x:c r="E19" s="43" t="n">
        <x:f>_xlfn.COVARIANCE.S('Common sample'!O6:O75,'Common sample'!E6:E75)</x:f>
        <x:v>0.0011684301827026302</x:v>
      </x:c>
      <x:c r="F19" s="43" t="n">
        <x:f>_xlfn.COVARIANCE.S('Common sample'!O6:O75,'Common sample'!F6:F75)</x:f>
        <x:v>0.0017743134848984478</x:v>
      </x:c>
      <x:c r="G19" s="43" t="n">
        <x:f>_xlfn.COVARIANCE.S('Common sample'!O6:O75,'Common sample'!G6:G75)</x:f>
        <x:v>-0.00446228980603443</x:v>
      </x:c>
      <x:c r="H19" s="43" t="n">
        <x:f>_xlfn.COVARIANCE.S('Common sample'!O6:O75,'Common sample'!H6:H75)</x:f>
        <x:v>0.0005495503385478179</x:v>
      </x:c>
      <x:c r="I19" s="43" t="n">
        <x:f>_xlfn.COVARIANCE.S('Common sample'!O6:O75,'Common sample'!I6:I75)</x:f>
        <x:v>0.004682971093830032</x:v>
      </x:c>
      <x:c r="J19" s="43" t="n">
        <x:f>_xlfn.COVARIANCE.S('Common sample'!O6:O75,'Common sample'!J6:J75)</x:f>
        <x:v>0.012194969862488332</x:v>
      </x:c>
      <x:c r="K19" s="43" t="n">
        <x:f>_xlfn.COVARIANCE.S('Common sample'!O6:O75,'Common sample'!K6:K75)</x:f>
        <x:v>0.0003670723878784881</x:v>
      </x:c>
      <x:c r="L19" s="43" t="n">
        <x:f>_xlfn.COVARIANCE.S('Common sample'!O6:O75,'Common sample'!L6:L75)</x:f>
        <x:v>-0.00260813053018989</x:v>
      </x:c>
      <x:c r="M19" s="43" t="n">
        <x:f>_xlfn.COVARIANCE.S('Common sample'!O6:O75,'Common sample'!M6:M75)</x:f>
        <x:v>-0.0011583350168103044</x:v>
      </x:c>
      <x:c r="N19" s="43" t="n">
        <x:f>_xlfn.COVARIANCE.S('Common sample'!O6:O75,'Common sample'!N6:N75)</x:f>
        <x:v>-0.0015260451110749827</x:v>
      </x:c>
      <x:c r="O19" s="43" t="n">
        <x:f>_xlfn.COVARIANCE.S('Common sample'!O6:O75,'Common sample'!O6:O75)</x:f>
        <x:v>0.01886272643093616</x:v>
      </x:c>
      <x:c r="P19" s="43" t="n">
        <x:f>_xlfn.COVARIANCE.S('Common sample'!O6:O75,'Common sample'!P6:P75)</x:f>
        <x:v>-0.0007975550825794272</x:v>
      </x:c>
      <x:c r="Q19" s="43" t="n">
        <x:f>_xlfn.COVARIANCE.S('Common sample'!O6:O75,'Common sample'!Q6:Q75)</x:f>
        <x:v>0.005721298903609366</x:v>
      </x:c>
      <x:c r="R19" s="43" t="n">
        <x:f>_xlfn.COVARIANCE.S('Common sample'!O6:O75,'Common sample'!R6:R75)</x:f>
        <x:v>-0.0015486064896312551</x:v>
      </x:c>
      <x:c r="S19" s="43" t="n">
        <x:f>_xlfn.COVARIANCE.S('Common sample'!O6:O75,'Common sample'!S6:S75)</x:f>
        <x:v>-0.003966723847832016</x:v>
      </x:c>
      <x:c r="T19" s="43" t="n">
        <x:f>_xlfn.COVARIANCE.S('Common sample'!O6:O75,'Common sample'!T6:T75)</x:f>
        <x:v>0.004496046558993088</x:v>
      </x:c>
      <x:c r="U19" s="43" t="n">
        <x:f>_xlfn.COVARIANCE.S('Common sample'!O6:O75,'Common sample'!U6:U75)</x:f>
        <x:v>-0.006172099011187038</x:v>
      </x:c>
      <x:c r="V19" s="43" t="n">
        <x:f>_xlfn.COVARIANCE.S('Common sample'!O6:O75,'Common sample'!V6:V75)</x:f>
        <x:v>-0.00456846153653241</x:v>
      </x:c>
      <x:c r="W19" s="43" t="n">
        <x:f>_xlfn.COVARIANCE.S('Common sample'!O6:O75,'Common sample'!W6:W75)</x:f>
        <x:v>-0.0015083898576476753</x:v>
      </x:c>
      <x:c r="X19" s="43" t="n">
        <x:f>_xlfn.COVARIANCE.S('Common sample'!O6:O75,'Common sample'!X6:X75)</x:f>
        <x:v>0.014215439187906968</x:v>
      </x:c>
      <x:c r="Y19" s="43" t="n">
        <x:f>_xlfn.COVARIANCE.S('Common sample'!O6:O75,'Common sample'!Y6:Y75)</x:f>
        <x:v>0.002864939551496231</x:v>
      </x:c>
      <x:c r="Z19" s="43" t="n">
        <x:f>_xlfn.COVARIANCE.S('Common sample'!O6:O75,'Common sample'!Z6:Z75)</x:f>
        <x:v>-0.00022012614717114703</x:v>
      </x:c>
      <x:c r="AA19" s="43" t="n">
        <x:f>_xlfn.COVARIANCE.S('Common sample'!O6:O75,'Common sample'!AA6:AA75)</x:f>
        <x:v>0.0029068487006276844</x:v>
      </x:c>
      <x:c r="AB19" s="43" t="n">
        <x:f>_xlfn.COVARIANCE.S('Common sample'!O6:O75,'Common sample'!AB6:AB75)</x:f>
        <x:v>-0.005163208563914991</x:v>
      </x:c>
      <x:c r="AC19" s="43" t="n">
        <x:f>_xlfn.COVARIANCE.S('Common sample'!O6:O75,'Common sample'!AC6:AC75)</x:f>
        <x:v>0.001566230888158988</x:v>
      </x:c>
      <x:c r="AD19" s="43" t="n">
        <x:f>_xlfn.COVARIANCE.S('Common sample'!O6:O75,'Common sample'!AD6:AD75)</x:f>
        <x:v>0.002068959210843715</x:v>
      </x:c>
      <x:c r="AE19" s="43" t="n">
        <x:f>_xlfn.COVARIANCE.S('Common sample'!O6:O75,'Common sample'!AE6:AE75)</x:f>
        <x:v>0.0010555917909678978</x:v>
      </x:c>
      <x:c r="AF19" s="43" t="n">
        <x:f>_xlfn.COVARIANCE.S('Common sample'!O6:O75,'Common sample'!AF6:AF75)</x:f>
        <x:v>-0.0014909517230473246</x:v>
      </x:c>
      <x:c r="AG19" s="43" t="n">
        <x:f>_xlfn.COVARIANCE.S('Common sample'!O6:O75,'Common sample'!AG6:AG75)</x:f>
        <x:v>0.00024015610345780962</x:v>
      </x:c>
      <x:c r="AH19" s="43" t="n">
        <x:f>_xlfn.COVARIANCE.S('Common sample'!O6:O75,'Common sample'!AH6:AH75)</x:f>
        <x:v>0.002012868295768239</x:v>
      </x:c>
      <x:c r="AI19" s="43" t="n">
        <x:f>_xlfn.COVARIANCE.S('Common sample'!O6:O75,'Common sample'!AI6:AI75)</x:f>
        <x:v>0.0016750125733192304</x:v>
      </x:c>
      <x:c r="AJ19" s="43" t="n">
        <x:f>_xlfn.COVARIANCE.S('Common sample'!O6:O75,'Common sample'!AJ6:AJ75)</x:f>
        <x:v>0.0013600535581034595</x:v>
      </x:c>
      <x:c r="AK19" s="43" t="n">
        <x:f>_xlfn.COVARIANCE.S('Common sample'!O6:O75,'Common sample'!AK6:AK75)</x:f>
        <x:v>0.003230140615116105</x:v>
      </x:c>
      <x:c r="AL19" s="43" t="n">
        <x:f>_xlfn.COVARIANCE.S('Common sample'!O6:O75,'Common sample'!AL6:AL75)</x:f>
        <x:v>-0.004213546446903126</x:v>
      </x:c>
      <x:c r="AM19" s="43" t="n">
        <x:f>_xlfn.COVARIANCE.S('Common sample'!O6:O75,'Common sample'!AM6:AM75)</x:f>
        <x:v>0.004132462210380391</x:v>
      </x:c>
      <x:c r="AN19" s="43" t="n">
        <x:f>_xlfn.COVARIANCE.S('Common sample'!O6:O75,'Common sample'!AN6:AN75)</x:f>
        <x:v>0.000170562524425557</x:v>
      </x:c>
      <x:c r="AO19" s="43" t="n">
        <x:f>_xlfn.COVARIANCE.S('Common sample'!O6:O75,'Common sample'!AO6:AO75)</x:f>
        <x:v>0.0012157420520885333</x:v>
      </x:c>
      <x:c r="AP19" s="43" t="n">
        <x:f>_xlfn.COVARIANCE.S('Common sample'!O6:O75,'Common sample'!AP6:AP75)</x:f>
        <x:v>0.00033004091983709715</x:v>
      </x:c>
      <x:c r="AQ19" s="43" t="n">
        <x:f>_xlfn.COVARIANCE.S('Common sample'!O6:O75,'Common sample'!AQ6:AQ75)</x:f>
        <x:v>0.0011045377238204212</x:v>
      </x:c>
      <x:c r="AR19" s="43" t="n">
        <x:f>_xlfn.COVARIANCE.S('Common sample'!O6:O75,'Common sample'!AR6:AR75)</x:f>
        <x:v>0.00045915810980051074</x:v>
      </x:c>
    </x:row>
    <x:row r="20" ht="19" customHeight="1">
      <x:c r="A20" s="30" t="str">
        <x:v>ASND</x:v>
      </x:c>
      <x:c r="B20" s="43" t="n">
        <x:f>_xlfn.COVARIANCE.S('Common sample'!P6:P75,'Common sample'!B6:B75)</x:f>
        <x:v>-0.00048651812625548666</x:v>
      </x:c>
      <x:c r="C20" s="43" t="n">
        <x:f>_xlfn.COVARIANCE.S('Common sample'!P6:P75,'Common sample'!C6:C75)</x:f>
        <x:v>-0.0002716127026862527</x:v>
      </x:c>
      <x:c r="D20" s="43" t="n">
        <x:f>_xlfn.COVARIANCE.S('Common sample'!P6:P75,'Common sample'!D6:D75)</x:f>
        <x:v>-0.00030686892726475984</x:v>
      </x:c>
      <x:c r="E20" s="43" t="n">
        <x:f>_xlfn.COVARIANCE.S('Common sample'!P6:P75,'Common sample'!E6:E75)</x:f>
        <x:v>0.0001405390845095729</x:v>
      </x:c>
      <x:c r="F20" s="43" t="n">
        <x:f>_xlfn.COVARIANCE.S('Common sample'!P6:P75,'Common sample'!F6:F75)</x:f>
        <x:v>-0.0009632335651719846</x:v>
      </x:c>
      <x:c r="G20" s="43" t="n">
        <x:f>_xlfn.COVARIANCE.S('Common sample'!P6:P75,'Common sample'!G6:G75)</x:f>
        <x:v>-0.0008332091071071364</x:v>
      </x:c>
      <x:c r="H20" s="43" t="n">
        <x:f>_xlfn.COVARIANCE.S('Common sample'!P6:P75,'Common sample'!H6:H75)</x:f>
        <x:v>-0.0004282786538310558</x:v>
      </x:c>
      <x:c r="I20" s="43" t="n">
        <x:f>_xlfn.COVARIANCE.S('Common sample'!P6:P75,'Common sample'!I6:I75)</x:f>
        <x:v>0.00016434637894278186</x:v>
      </x:c>
      <x:c r="J20" s="43" t="n">
        <x:f>_xlfn.COVARIANCE.S('Common sample'!P6:P75,'Common sample'!J6:J75)</x:f>
        <x:v>-0.0011976188580875566</x:v>
      </x:c>
      <x:c r="K20" s="43" t="n">
        <x:f>_xlfn.COVARIANCE.S('Common sample'!P6:P75,'Common sample'!K6:K75)</x:f>
        <x:v>0.001196480345969322</x:v>
      </x:c>
      <x:c r="L20" s="43" t="n">
        <x:f>_xlfn.COVARIANCE.S('Common sample'!P6:P75,'Common sample'!L6:L75)</x:f>
        <x:v>0.0005360798017059514</x:v>
      </x:c>
      <x:c r="M20" s="43" t="n">
        <x:f>_xlfn.COVARIANCE.S('Common sample'!P6:P75,'Common sample'!M6:M75)</x:f>
        <x:v>0.00015502272640611998</x:v>
      </x:c>
      <x:c r="N20" s="43" t="n">
        <x:f>_xlfn.COVARIANCE.S('Common sample'!P6:P75,'Common sample'!N6:N75)</x:f>
        <x:v>0.0011486642092904513</x:v>
      </x:c>
      <x:c r="O20" s="43" t="n">
        <x:f>_xlfn.COVARIANCE.S('Common sample'!P6:P75,'Common sample'!O6:O75)</x:f>
        <x:v>-0.0007975550825794272</x:v>
      </x:c>
      <x:c r="P20" s="43" t="n">
        <x:f>_xlfn.COVARIANCE.S('Common sample'!P6:P75,'Common sample'!P6:P75)</x:f>
        <x:v>0.011461839398223954</x:v>
      </x:c>
      <x:c r="Q20" s="43" t="n">
        <x:f>_xlfn.COVARIANCE.S('Common sample'!P6:P75,'Common sample'!Q6:Q75)</x:f>
        <x:v>0.0009604992747440253</x:v>
      </x:c>
      <x:c r="R20" s="43" t="n">
        <x:f>_xlfn.COVARIANCE.S('Common sample'!P6:P75,'Common sample'!R6:R75)</x:f>
        <x:v>0.00013808391027903945</x:v>
      </x:c>
      <x:c r="S20" s="43" t="n">
        <x:f>_xlfn.COVARIANCE.S('Common sample'!P6:P75,'Common sample'!S6:S75)</x:f>
        <x:v>0.004296917949163101</x:v>
      </x:c>
      <x:c r="T20" s="43" t="n">
        <x:f>_xlfn.COVARIANCE.S('Common sample'!P6:P75,'Common sample'!T6:T75)</x:f>
        <x:v>0.0009316021209759955</x:v>
      </x:c>
      <x:c r="U20" s="43" t="n">
        <x:f>_xlfn.COVARIANCE.S('Common sample'!P6:P75,'Common sample'!U6:U75)</x:f>
        <x:v>0.0008804904272454258</x:v>
      </x:c>
      <x:c r="V20" s="43" t="n">
        <x:f>_xlfn.COVARIANCE.S('Common sample'!P6:P75,'Common sample'!V6:V75)</x:f>
        <x:v>0.0017301799041935957</x:v>
      </x:c>
      <x:c r="W20" s="43" t="n">
        <x:f>_xlfn.COVARIANCE.S('Common sample'!P6:P75,'Common sample'!W6:W75)</x:f>
        <x:v>-0.0008591105807400828</x:v>
      </x:c>
      <x:c r="X20" s="43" t="n">
        <x:f>_xlfn.COVARIANCE.S('Common sample'!P6:P75,'Common sample'!X6:X75)</x:f>
        <x:v>0.0002712229864626252</x:v>
      </x:c>
      <x:c r="Y20" s="43" t="n">
        <x:f>_xlfn.COVARIANCE.S('Common sample'!P6:P75,'Common sample'!Y6:Y75)</x:f>
        <x:v>-0.0011969843983188158</x:v>
      </x:c>
      <x:c r="Z20" s="43" t="n">
        <x:f>_xlfn.COVARIANCE.S('Common sample'!P6:P75,'Common sample'!Z6:Z75)</x:f>
        <x:v>0.0001651369249689184</x:v>
      </x:c>
      <x:c r="AA20" s="43" t="n">
        <x:f>_xlfn.COVARIANCE.S('Common sample'!P6:P75,'Common sample'!AA6:AA75)</x:f>
        <x:v>-0.0011180221473773098</x:v>
      </x:c>
      <x:c r="AB20" s="43" t="n">
        <x:f>_xlfn.COVARIANCE.S('Common sample'!P6:P75,'Common sample'!AB6:AB75)</x:f>
        <x:v>0.002341275767106337</x:v>
      </x:c>
      <x:c r="AC20" s="43" t="n">
        <x:f>_xlfn.COVARIANCE.S('Common sample'!P6:P75,'Common sample'!AC6:AC75)</x:f>
        <x:v>-0.0006057611110987766</x:v>
      </x:c>
      <x:c r="AD20" s="43" t="n">
        <x:f>_xlfn.COVARIANCE.S('Common sample'!P6:P75,'Common sample'!AD6:AD75)</x:f>
        <x:v>0.0009315964276521465</x:v>
      </x:c>
      <x:c r="AE20" s="43" t="n">
        <x:f>_xlfn.COVARIANCE.S('Common sample'!P6:P75,'Common sample'!AE6:AE75)</x:f>
        <x:v>-0.00018285417652749844</x:v>
      </x:c>
      <x:c r="AF20" s="43" t="n">
        <x:f>_xlfn.COVARIANCE.S('Common sample'!P6:P75,'Common sample'!AF6:AF75)</x:f>
        <x:v>0.0018077348345567794</x:v>
      </x:c>
      <x:c r="AG20" s="43" t="n">
        <x:f>_xlfn.COVARIANCE.S('Common sample'!P6:P75,'Common sample'!AG6:AG75)</x:f>
        <x:v>-0.0006170716657851115</x:v>
      </x:c>
      <x:c r="AH20" s="43" t="n">
        <x:f>_xlfn.COVARIANCE.S('Common sample'!P6:P75,'Common sample'!AH6:AH75)</x:f>
        <x:v>0.0024704808978993353</x:v>
      </x:c>
      <x:c r="AI20" s="43" t="n">
        <x:f>_xlfn.COVARIANCE.S('Common sample'!P6:P75,'Common sample'!AI6:AI75)</x:f>
        <x:v>0.00012159463175917248</x:v>
      </x:c>
      <x:c r="AJ20" s="43" t="n">
        <x:f>_xlfn.COVARIANCE.S('Common sample'!P6:P75,'Common sample'!AJ6:AJ75)</x:f>
        <x:v>-0.0010061656160146577</x:v>
      </x:c>
      <x:c r="AK20" s="43" t="n">
        <x:f>_xlfn.COVARIANCE.S('Common sample'!P6:P75,'Common sample'!AK6:AK75)</x:f>
        <x:v>-0.000016129978901890704</x:v>
      </x:c>
      <x:c r="AL20" s="43" t="n">
        <x:f>_xlfn.COVARIANCE.S('Common sample'!P6:P75,'Common sample'!AL6:AL75)</x:f>
        <x:v>-0.0011820359660909884</x:v>
      </x:c>
      <x:c r="AM20" s="43" t="n">
        <x:f>_xlfn.COVARIANCE.S('Common sample'!P6:P75,'Common sample'!AM6:AM75)</x:f>
        <x:v>-0.0011260661919268338</x:v>
      </x:c>
      <x:c r="AN20" s="43" t="n">
        <x:f>_xlfn.COVARIANCE.S('Common sample'!P6:P75,'Common sample'!AN6:AN75)</x:f>
        <x:v>0.00045654076948279336</x:v>
      </x:c>
      <x:c r="AO20" s="43" t="n">
        <x:f>_xlfn.COVARIANCE.S('Common sample'!P6:P75,'Common sample'!AO6:AO75)</x:f>
        <x:v>-0.000040358146211005036</x:v>
      </x:c>
      <x:c r="AP20" s="43" t="n">
        <x:f>_xlfn.COVARIANCE.S('Common sample'!P6:P75,'Common sample'!AP6:AP75)</x:f>
        <x:v>-0.00041214919417656415</x:v>
      </x:c>
      <x:c r="AQ20" s="43" t="n">
        <x:f>_xlfn.COVARIANCE.S('Common sample'!P6:P75,'Common sample'!AQ6:AQ75)</x:f>
        <x:v>0.0002597890227436974</x:v>
      </x:c>
      <x:c r="AR20" s="43" t="n">
        <x:f>_xlfn.COVARIANCE.S('Common sample'!P6:P75,'Common sample'!AR6:AR75)</x:f>
        <x:v>-0.00008419881186295644</x:v>
      </x:c>
    </x:row>
    <x:row r="21" ht="19" customHeight="1">
      <x:c r="A21" s="30" t="str">
        <x:v>DOCN</x:v>
      </x:c>
      <x:c r="B21" s="43" t="n">
        <x:f>_xlfn.COVARIANCE.S('Common sample'!Q6:Q75,'Common sample'!B6:B75)</x:f>
        <x:v>-0.0029653024697013485</x:v>
      </x:c>
      <x:c r="C21" s="43" t="n">
        <x:f>_xlfn.COVARIANCE.S('Common sample'!Q6:Q75,'Common sample'!C6:C75)</x:f>
        <x:v>0.004854208712287481</x:v>
      </x:c>
      <x:c r="D21" s="43" t="n">
        <x:f>_xlfn.COVARIANCE.S('Common sample'!Q6:Q75,'Common sample'!D6:D75)</x:f>
        <x:v>0.0006952327871290943</x:v>
      </x:c>
      <x:c r="E21" s="43" t="n">
        <x:f>_xlfn.COVARIANCE.S('Common sample'!Q6:Q75,'Common sample'!E6:E75)</x:f>
        <x:v>0.001409315106426363</x:v>
      </x:c>
      <x:c r="F21" s="43" t="n">
        <x:f>_xlfn.COVARIANCE.S('Common sample'!Q6:Q75,'Common sample'!F6:F75)</x:f>
        <x:v>-0.0008213467630376107</x:v>
      </x:c>
      <x:c r="G21" s="43" t="n">
        <x:f>_xlfn.COVARIANCE.S('Common sample'!Q6:Q75,'Common sample'!G6:G75)</x:f>
        <x:v>-0.004345757874861598</x:v>
      </x:c>
      <x:c r="H21" s="43" t="n">
        <x:f>_xlfn.COVARIANCE.S('Common sample'!Q6:Q75,'Common sample'!H6:H75)</x:f>
        <x:v>0.00016071646666951066</x:v>
      </x:c>
      <x:c r="I21" s="43" t="n">
        <x:f>_xlfn.COVARIANCE.S('Common sample'!Q6:Q75,'Common sample'!I6:I75)</x:f>
        <x:v>0.0028842416336297364</x:v>
      </x:c>
      <x:c r="J21" s="43" t="n">
        <x:f>_xlfn.COVARIANCE.S('Common sample'!Q6:Q75,'Common sample'!J6:J75)</x:f>
        <x:v>0.004914602091844413</x:v>
      </x:c>
      <x:c r="K21" s="43" t="n">
        <x:f>_xlfn.COVARIANCE.S('Common sample'!Q6:Q75,'Common sample'!K6:K75)</x:f>
        <x:v>-0.0000901944139798595</x:v>
      </x:c>
      <x:c r="L21" s="43" t="n">
        <x:f>_xlfn.COVARIANCE.S('Common sample'!Q6:Q75,'Common sample'!L6:L75)</x:f>
        <x:v>0.0015130524048817652</x:v>
      </x:c>
      <x:c r="M21" s="43" t="n">
        <x:f>_xlfn.COVARIANCE.S('Common sample'!Q6:Q75,'Common sample'!M6:M75)</x:f>
        <x:v>-0.0011933703296074715</x:v>
      </x:c>
      <x:c r="N21" s="43" t="n">
        <x:f>_xlfn.COVARIANCE.S('Common sample'!Q6:Q75,'Common sample'!N6:N75)</x:f>
        <x:v>0.00044041209528330517</x:v>
      </x:c>
      <x:c r="O21" s="43" t="n">
        <x:f>_xlfn.COVARIANCE.S('Common sample'!Q6:Q75,'Common sample'!O6:O75)</x:f>
        <x:v>0.005721298903609366</x:v>
      </x:c>
      <x:c r="P21" s="43" t="n">
        <x:f>_xlfn.COVARIANCE.S('Common sample'!Q6:Q75,'Common sample'!P6:P75)</x:f>
        <x:v>0.0009604992747440253</x:v>
      </x:c>
      <x:c r="Q21" s="43" t="n">
        <x:f>_xlfn.COVARIANCE.S('Common sample'!Q6:Q75,'Common sample'!Q6:Q75)</x:f>
        <x:v>0.028283132853531016</x:v>
      </x:c>
      <x:c r="R21" s="43" t="n">
        <x:f>_xlfn.COVARIANCE.S('Common sample'!Q6:Q75,'Common sample'!R6:R75)</x:f>
        <x:v>-0.0005553339872246861</x:v>
      </x:c>
      <x:c r="S21" s="43" t="n">
        <x:f>_xlfn.COVARIANCE.S('Common sample'!Q6:Q75,'Common sample'!S6:S75)</x:f>
        <x:v>0.004193953008697465</x:v>
      </x:c>
      <x:c r="T21" s="43" t="n">
        <x:f>_xlfn.COVARIANCE.S('Common sample'!Q6:Q75,'Common sample'!T6:T75)</x:f>
        <x:v>0.00016414486309525335</x:v>
      </x:c>
      <x:c r="U21" s="43" t="n">
        <x:f>_xlfn.COVARIANCE.S('Common sample'!Q6:Q75,'Common sample'!U6:U75)</x:f>
        <x:v>-0.007165638210040896</x:v>
      </x:c>
      <x:c r="V21" s="43" t="n">
        <x:f>_xlfn.COVARIANCE.S('Common sample'!Q6:Q75,'Common sample'!V6:V75)</x:f>
        <x:v>0.001962590116264487</x:v>
      </x:c>
      <x:c r="W21" s="43" t="n">
        <x:f>_xlfn.COVARIANCE.S('Common sample'!Q6:Q75,'Common sample'!W6:W75)</x:f>
        <x:v>-0.0030857569819997296</x:v>
      </x:c>
      <x:c r="X21" s="43" t="n">
        <x:f>_xlfn.COVARIANCE.S('Common sample'!Q6:Q75,'Common sample'!X6:X75)</x:f>
        <x:v>0.0032617349631128656</x:v>
      </x:c>
      <x:c r="Y21" s="43" t="n">
        <x:f>_xlfn.COVARIANCE.S('Common sample'!Q6:Q75,'Common sample'!Y6:Y75)</x:f>
        <x:v>-0.0013882830973582063</x:v>
      </x:c>
      <x:c r="Z21" s="43" t="n">
        <x:f>_xlfn.COVARIANCE.S('Common sample'!Q6:Q75,'Common sample'!Z6:Z75)</x:f>
        <x:v>-0.0008092962718432311</x:v>
      </x:c>
      <x:c r="AA21" s="43" t="n">
        <x:f>_xlfn.COVARIANCE.S('Common sample'!Q6:Q75,'Common sample'!AA6:AA75)</x:f>
        <x:v>-0.006838179113842345</x:v>
      </x:c>
      <x:c r="AB21" s="43" t="n">
        <x:f>_xlfn.COVARIANCE.S('Common sample'!Q6:Q75,'Common sample'!AB6:AB75)</x:f>
        <x:v>0.006120375471960759</x:v>
      </x:c>
      <x:c r="AC21" s="43" t="n">
        <x:f>_xlfn.COVARIANCE.S('Common sample'!Q6:Q75,'Common sample'!AC6:AC75)</x:f>
        <x:v>-0.0014637423139087647</x:v>
      </x:c>
      <x:c r="AD21" s="43" t="n">
        <x:f>_xlfn.COVARIANCE.S('Common sample'!Q6:Q75,'Common sample'!AD6:AD75)</x:f>
        <x:v>0.0008886237077061165</x:v>
      </x:c>
      <x:c r="AE21" s="43" t="n">
        <x:f>_xlfn.COVARIANCE.S('Common sample'!Q6:Q75,'Common sample'!AE6:AE75)</x:f>
        <x:v>0.0016026108015069415</x:v>
      </x:c>
      <x:c r="AF21" s="43" t="n">
        <x:f>_xlfn.COVARIANCE.S('Common sample'!Q6:Q75,'Common sample'!AF6:AF75)</x:f>
        <x:v>-0.0029188837566767115</x:v>
      </x:c>
      <x:c r="AG21" s="43" t="n">
        <x:f>_xlfn.COVARIANCE.S('Common sample'!Q6:Q75,'Common sample'!AG6:AG75)</x:f>
        <x:v>-0.0006453186418155304</x:v>
      </x:c>
      <x:c r="AH21" s="43" t="n">
        <x:f>_xlfn.COVARIANCE.S('Common sample'!Q6:Q75,'Common sample'!AH6:AH75)</x:f>
        <x:v>0.001645997099655889</x:v>
      </x:c>
      <x:c r="AI21" s="43" t="n">
        <x:f>_xlfn.COVARIANCE.S('Common sample'!Q6:Q75,'Common sample'!AI6:AI75)</x:f>
        <x:v>-0.00018563365746833397</x:v>
      </x:c>
      <x:c r="AJ21" s="43" t="n">
        <x:f>_xlfn.COVARIANCE.S('Common sample'!Q6:Q75,'Common sample'!AJ6:AJ75)</x:f>
        <x:v>0.000091604165429427</x:v>
      </x:c>
      <x:c r="AK21" s="43" t="n">
        <x:f>_xlfn.COVARIANCE.S('Common sample'!Q6:Q75,'Common sample'!AK6:AK75)</x:f>
        <x:v>0.006793586189889034</x:v>
      </x:c>
      <x:c r="AL21" s="43" t="n">
        <x:f>_xlfn.COVARIANCE.S('Common sample'!Q6:Q75,'Common sample'!AL6:AL75)</x:f>
        <x:v>-0.004056060874673336</x:v>
      </x:c>
      <x:c r="AM21" s="43" t="n">
        <x:f>_xlfn.COVARIANCE.S('Common sample'!Q6:Q75,'Common sample'!AM6:AM75)</x:f>
        <x:v>0.0015559560738350822</x:v>
      </x:c>
      <x:c r="AN21" s="43" t="n">
        <x:f>_xlfn.COVARIANCE.S('Common sample'!Q6:Q75,'Common sample'!AN6:AN75)</x:f>
        <x:v>0.0011347709708181206</x:v>
      </x:c>
      <x:c r="AO21" s="43" t="n">
        <x:f>_xlfn.COVARIANCE.S('Common sample'!Q6:Q75,'Common sample'!AO6:AO75)</x:f>
        <x:v>-0.0010671407216198785</x:v>
      </x:c>
      <x:c r="AP21" s="43" t="n">
        <x:f>_xlfn.COVARIANCE.S('Common sample'!Q6:Q75,'Common sample'!AP6:AP75)</x:f>
        <x:v>0.0013190035736120186</x:v>
      </x:c>
      <x:c r="AQ21" s="43" t="n">
        <x:f>_xlfn.COVARIANCE.S('Common sample'!Q6:Q75,'Common sample'!AQ6:AQ75)</x:f>
        <x:v>0.0006508546700555275</x:v>
      </x:c>
      <x:c r="AR21" s="43" t="n">
        <x:f>_xlfn.COVARIANCE.S('Common sample'!Q6:Q75,'Common sample'!AR6:AR75)</x:f>
        <x:v>-0.0003024881220368215</x:v>
      </x:c>
    </x:row>
    <x:row r="22" ht="19" customHeight="1">
      <x:c r="A22" s="30" t="str">
        <x:v>CME</x:v>
      </x:c>
      <x:c r="B22" s="43" t="n">
        <x:f>_xlfn.COVARIANCE.S('Common sample'!R6:R75,'Common sample'!B6:B75)</x:f>
        <x:v>0.0004109103437287455</x:v>
      </x:c>
      <x:c r="C22" s="43" t="n">
        <x:f>_xlfn.COVARIANCE.S('Common sample'!R6:R75,'Common sample'!C6:C75)</x:f>
        <x:v>0.0005845396167216935</x:v>
      </x:c>
      <x:c r="D22" s="43" t="n">
        <x:f>_xlfn.COVARIANCE.S('Common sample'!R6:R75,'Common sample'!D6:D75)</x:f>
        <x:v>0.00016691210624805302</x:v>
      </x:c>
      <x:c r="E22" s="43" t="n">
        <x:f>_xlfn.COVARIANCE.S('Common sample'!R6:R75,'Common sample'!E6:E75)</x:f>
        <x:v>0.000042781869070731445</x:v>
      </x:c>
      <x:c r="F22" s="43" t="n">
        <x:f>_xlfn.COVARIANCE.S('Common sample'!R6:R75,'Common sample'!F6:F75)</x:f>
        <x:v>0.0007715699933511177</x:v>
      </x:c>
      <x:c r="G22" s="43" t="n">
        <x:f>_xlfn.COVARIANCE.S('Common sample'!R6:R75,'Common sample'!G6:G75)</x:f>
        <x:v>-0.000602497907787624</x:v>
      </x:c>
      <x:c r="H22" s="43" t="n">
        <x:f>_xlfn.COVARIANCE.S('Common sample'!R6:R75,'Common sample'!H6:H75)</x:f>
        <x:v>0.0002537478726534454</x:v>
      </x:c>
      <x:c r="I22" s="43" t="n">
        <x:f>_xlfn.COVARIANCE.S('Common sample'!R6:R75,'Common sample'!I6:I75)</x:f>
        <x:v>0.0004950409527464941</x:v>
      </x:c>
      <x:c r="J22" s="43" t="n">
        <x:f>_xlfn.COVARIANCE.S('Common sample'!R6:R75,'Common sample'!J6:J75)</x:f>
        <x:v>-0.000369254852857922</x:v>
      </x:c>
      <x:c r="K22" s="43" t="n">
        <x:f>_xlfn.COVARIANCE.S('Common sample'!R6:R75,'Common sample'!K6:K75)</x:f>
        <x:v>-0.00035835078574493023</x:v>
      </x:c>
      <x:c r="L22" s="43" t="n">
        <x:f>_xlfn.COVARIANCE.S('Common sample'!R6:R75,'Common sample'!L6:L75)</x:f>
        <x:v>0.0005449729451381092</x:v>
      </x:c>
      <x:c r="M22" s="43" t="n">
        <x:f>_xlfn.COVARIANCE.S('Common sample'!R6:R75,'Common sample'!M6:M75)</x:f>
        <x:v>0.0009001467676675815</x:v>
      </x:c>
      <x:c r="N22" s="43" t="n">
        <x:f>_xlfn.COVARIANCE.S('Common sample'!R6:R75,'Common sample'!N6:N75)</x:f>
        <x:v>-0.00022049904071033113</x:v>
      </x:c>
      <x:c r="O22" s="43" t="n">
        <x:f>_xlfn.COVARIANCE.S('Common sample'!R6:R75,'Common sample'!O6:O75)</x:f>
        <x:v>-0.0015486064896312551</x:v>
      </x:c>
      <x:c r="P22" s="43" t="n">
        <x:f>_xlfn.COVARIANCE.S('Common sample'!R6:R75,'Common sample'!P6:P75)</x:f>
        <x:v>0.00013808391027903945</x:v>
      </x:c>
      <x:c r="Q22" s="43" t="n">
        <x:f>_xlfn.COVARIANCE.S('Common sample'!R6:R75,'Common sample'!Q6:Q75)</x:f>
        <x:v>-0.0005553339872246861</x:v>
      </x:c>
      <x:c r="R22" s="43" t="n">
        <x:f>_xlfn.COVARIANCE.S('Common sample'!R6:R75,'Common sample'!R6:R75)</x:f>
        <x:v>0.0028858312672345203</x:v>
      </x:c>
      <x:c r="S22" s="43" t="n">
        <x:f>_xlfn.COVARIANCE.S('Common sample'!R6:R75,'Common sample'!S6:S75)</x:f>
        <x:v>0.0011206159939956071</x:v>
      </x:c>
      <x:c r="T22" s="43" t="n">
        <x:f>_xlfn.COVARIANCE.S('Common sample'!R6:R75,'Common sample'!T6:T75)</x:f>
        <x:v>-0.0027664496791720596</x:v>
      </x:c>
      <x:c r="U22" s="43" t="n">
        <x:f>_xlfn.COVARIANCE.S('Common sample'!R6:R75,'Common sample'!U6:U75)</x:f>
        <x:v>0.001260959225378546</x:v>
      </x:c>
      <x:c r="V22" s="43" t="n">
        <x:f>_xlfn.COVARIANCE.S('Common sample'!R6:R75,'Common sample'!V6:V75)</x:f>
        <x:v>0.0016680844080982353</x:v>
      </x:c>
      <x:c r="W22" s="43" t="n">
        <x:f>_xlfn.COVARIANCE.S('Common sample'!R6:R75,'Common sample'!W6:W75)</x:f>
        <x:v>0.0005307832938206895</x:v>
      </x:c>
      <x:c r="X22" s="43" t="n">
        <x:f>_xlfn.COVARIANCE.S('Common sample'!R6:R75,'Common sample'!X6:X75)</x:f>
        <x:v>-0.0018823454291133155</x:v>
      </x:c>
      <x:c r="Y22" s="43" t="n">
        <x:f>_xlfn.COVARIANCE.S('Common sample'!R6:R75,'Common sample'!Y6:Y75)</x:f>
        <x:v>0.0010529127058813612</x:v>
      </x:c>
      <x:c r="Z22" s="43" t="n">
        <x:f>_xlfn.COVARIANCE.S('Common sample'!R6:R75,'Common sample'!Z6:Z75)</x:f>
        <x:v>0.00038318880972542025</x:v>
      </x:c>
      <x:c r="AA22" s="43" t="n">
        <x:f>_xlfn.COVARIANCE.S('Common sample'!R6:R75,'Common sample'!AA6:AA75)</x:f>
        <x:v>-0.0015079682272575979</x:v>
      </x:c>
      <x:c r="AB22" s="43" t="n">
        <x:f>_xlfn.COVARIANCE.S('Common sample'!R6:R75,'Common sample'!AB6:AB75)</x:f>
        <x:v>-0.0016712108987078991</x:v>
      </x:c>
      <x:c r="AC22" s="43" t="n">
        <x:f>_xlfn.COVARIANCE.S('Common sample'!R6:R75,'Common sample'!AC6:AC75)</x:f>
        <x:v>0.000048407784481574515</x:v>
      </x:c>
      <x:c r="AD22" s="43" t="n">
        <x:f>_xlfn.COVARIANCE.S('Common sample'!R6:R75,'Common sample'!AD6:AD75)</x:f>
        <x:v>0.0006061627422158637</x:v>
      </x:c>
      <x:c r="AE22" s="43" t="n">
        <x:f>_xlfn.COVARIANCE.S('Common sample'!R6:R75,'Common sample'!AE6:AE75)</x:f>
        <x:v>-0.0008651714606583072</x:v>
      </x:c>
      <x:c r="AF22" s="43" t="n">
        <x:f>_xlfn.COVARIANCE.S('Common sample'!R6:R75,'Common sample'!AF6:AF75)</x:f>
        <x:v>0.0006717771318796678</x:v>
      </x:c>
      <x:c r="AG22" s="43" t="n">
        <x:f>_xlfn.COVARIANCE.S('Common sample'!R6:R75,'Common sample'!AG6:AG75)</x:f>
        <x:v>0.0013411720710463698</x:v>
      </x:c>
      <x:c r="AH22" s="43" t="n">
        <x:f>_xlfn.COVARIANCE.S('Common sample'!R6:R75,'Common sample'!AH6:AH75)</x:f>
        <x:v>0.00004986374769258829</x:v>
      </x:c>
      <x:c r="AI22" s="43" t="n">
        <x:f>_xlfn.COVARIANCE.S('Common sample'!R6:R75,'Common sample'!AI6:AI75)</x:f>
        <x:v>0.00002394570859312874</x:v>
      </x:c>
      <x:c r="AJ22" s="43" t="n">
        <x:f>_xlfn.COVARIANCE.S('Common sample'!R6:R75,'Common sample'!AJ6:AJ75)</x:f>
        <x:v>0.0003651260235473266</x:v>
      </x:c>
      <x:c r="AK22" s="43" t="n">
        <x:f>_xlfn.COVARIANCE.S('Common sample'!R6:R75,'Common sample'!AK6:AK75)</x:f>
        <x:v>0.0018708143311301877</x:v>
      </x:c>
      <x:c r="AL22" s="43" t="n">
        <x:f>_xlfn.COVARIANCE.S('Common sample'!R6:R75,'Common sample'!AL6:AL75)</x:f>
        <x:v>0.0012337809899129416</x:v>
      </x:c>
      <x:c r="AM22" s="43" t="n">
        <x:f>_xlfn.COVARIANCE.S('Common sample'!R6:R75,'Common sample'!AM6:AM75)</x:f>
        <x:v>-0.0006542136227996137</x:v>
      </x:c>
      <x:c r="AN22" s="43" t="n">
        <x:f>_xlfn.COVARIANCE.S('Common sample'!R6:R75,'Common sample'!AN6:AN75)</x:f>
        <x:v>0.0006643252788357906</x:v>
      </x:c>
      <x:c r="AO22" s="43" t="n">
        <x:f>_xlfn.COVARIANCE.S('Common sample'!R6:R75,'Common sample'!AO6:AO75)</x:f>
        <x:v>-0.0006892900720300582</x:v>
      </x:c>
      <x:c r="AP22" s="43" t="n">
        <x:f>_xlfn.COVARIANCE.S('Common sample'!R6:R75,'Common sample'!AP6:AP75)</x:f>
        <x:v>0.0005193663737338986</x:v>
      </x:c>
      <x:c r="AQ22" s="43" t="n">
        <x:f>_xlfn.COVARIANCE.S('Common sample'!R6:R75,'Common sample'!AQ6:AQ75)</x:f>
        <x:v>0.0003178934325022374</x:v>
      </x:c>
      <x:c r="AR22" s="43" t="n">
        <x:f>_xlfn.COVARIANCE.S('Common sample'!R6:R75,'Common sample'!AR6:AR75)</x:f>
        <x:v>0.00032004798715184964</x:v>
      </x:c>
    </x:row>
    <x:row r="23" ht="19" customHeight="1">
      <x:c r="A23" s="30" t="str">
        <x:v>NET</x:v>
      </x:c>
      <x:c r="B23" s="43" t="n">
        <x:f>_xlfn.COVARIANCE.S('Common sample'!S6:S75,'Common sample'!B6:B75)</x:f>
        <x:v>0.00010766073458438994</x:v>
      </x:c>
      <x:c r="C23" s="43" t="n">
        <x:f>_xlfn.COVARIANCE.S('Common sample'!S6:S75,'Common sample'!C6:C75)</x:f>
        <x:v>0.0006720460974071548</x:v>
      </x:c>
      <x:c r="D23" s="43" t="n">
        <x:f>_xlfn.COVARIANCE.S('Common sample'!S6:S75,'Common sample'!D6:D75)</x:f>
        <x:v>0.000259421880610829</x:v>
      </x:c>
      <x:c r="E23" s="43" t="n">
        <x:f>_xlfn.COVARIANCE.S('Common sample'!S6:S75,'Common sample'!E6:E75)</x:f>
        <x:v>0.0003036385754330928</x:v>
      </x:c>
      <x:c r="F23" s="43" t="n">
        <x:f>_xlfn.COVARIANCE.S('Common sample'!S6:S75,'Common sample'!F6:F75)</x:f>
        <x:v>0.0014350557268534437</x:v>
      </x:c>
      <x:c r="G23" s="43" t="n">
        <x:f>_xlfn.COVARIANCE.S('Common sample'!S6:S75,'Common sample'!G6:G75)</x:f>
        <x:v>0.0005908077086175252</x:v>
      </x:c>
      <x:c r="H23" s="43" t="n">
        <x:f>_xlfn.COVARIANCE.S('Common sample'!S6:S75,'Common sample'!H6:H75)</x:f>
        <x:v>0.00012098168033125619</x:v>
      </x:c>
      <x:c r="I23" s="43" t="n">
        <x:f>_xlfn.COVARIANCE.S('Common sample'!S6:S75,'Common sample'!I6:I75)</x:f>
        <x:v>0.0003976686744884739</x:v>
      </x:c>
      <x:c r="J23" s="43" t="n">
        <x:f>_xlfn.COVARIANCE.S('Common sample'!S6:S75,'Common sample'!J6:J75)</x:f>
        <x:v>-0.0013446944878704652</x:v>
      </x:c>
      <x:c r="K23" s="43" t="n">
        <x:f>_xlfn.COVARIANCE.S('Common sample'!S6:S75,'Common sample'!K6:K75)</x:f>
        <x:v>0.004368593345845167</x:v>
      </x:c>
      <x:c r="L23" s="43" t="n">
        <x:f>_xlfn.COVARIANCE.S('Common sample'!S6:S75,'Common sample'!L6:L75)</x:f>
        <x:v>0.004738696007821836</x:v>
      </x:c>
      <x:c r="M23" s="43" t="n">
        <x:f>_xlfn.COVARIANCE.S('Common sample'!S6:S75,'Common sample'!M6:M75)</x:f>
        <x:v>0.0013676000995989461</x:v>
      </x:c>
      <x:c r="N23" s="43" t="n">
        <x:f>_xlfn.COVARIANCE.S('Common sample'!S6:S75,'Common sample'!N6:N75)</x:f>
        <x:v>0.0021952873523730537</x:v>
      </x:c>
      <x:c r="O23" s="43" t="n">
        <x:f>_xlfn.COVARIANCE.S('Common sample'!S6:S75,'Common sample'!O6:O75)</x:f>
        <x:v>-0.003966723847832016</x:v>
      </x:c>
      <x:c r="P23" s="43" t="n">
        <x:f>_xlfn.COVARIANCE.S('Common sample'!S6:S75,'Common sample'!P6:P75)</x:f>
        <x:v>0.004296917949163101</x:v>
      </x:c>
      <x:c r="Q23" s="43" t="n">
        <x:f>_xlfn.COVARIANCE.S('Common sample'!S6:S75,'Common sample'!Q6:Q75)</x:f>
        <x:v>0.004193953008697465</x:v>
      </x:c>
      <x:c r="R23" s="43" t="n">
        <x:f>_xlfn.COVARIANCE.S('Common sample'!S6:S75,'Common sample'!R6:R75)</x:f>
        <x:v>0.0011206159939956071</x:v>
      </x:c>
      <x:c r="S23" s="43" t="n">
        <x:f>_xlfn.COVARIANCE.S('Common sample'!S6:S75,'Common sample'!S6:S75)</x:f>
        <x:v>0.016565826526502507</x:v>
      </x:c>
      <x:c r="T23" s="43" t="n">
        <x:f>_xlfn.COVARIANCE.S('Common sample'!S6:S75,'Common sample'!T6:T75)</x:f>
        <x:v>-0.002598754657076334</x:v>
      </x:c>
      <x:c r="U23" s="43" t="n">
        <x:f>_xlfn.COVARIANCE.S('Common sample'!S6:S75,'Common sample'!U6:U75)</x:f>
        <x:v>0.005022036543640672</x:v>
      </x:c>
      <x:c r="V23" s="43" t="n">
        <x:f>_xlfn.COVARIANCE.S('Common sample'!S6:S75,'Common sample'!V6:V75)</x:f>
        <x:v>0.0033839265751013604</x:v>
      </x:c>
      <x:c r="W23" s="43" t="n">
        <x:f>_xlfn.COVARIANCE.S('Common sample'!S6:S75,'Common sample'!W6:W75)</x:f>
        <x:v>-0.0005305177564770853</x:v>
      </x:c>
      <x:c r="X23" s="43" t="n">
        <x:f>_xlfn.COVARIANCE.S('Common sample'!S6:S75,'Common sample'!X6:X75)</x:f>
        <x:v>-0.0033359400971721275</x:v>
      </x:c>
      <x:c r="Y23" s="43" t="n">
        <x:f>_xlfn.COVARIANCE.S('Common sample'!S6:S75,'Common sample'!Y6:Y75)</x:f>
        <x:v>-0.0017799852812724114</x:v>
      </x:c>
      <x:c r="Z23" s="43" t="n">
        <x:f>_xlfn.COVARIANCE.S('Common sample'!S6:S75,'Common sample'!Z6:Z75)</x:f>
        <x:v>-0.00008342767222797925</x:v>
      </x:c>
      <x:c r="AA23" s="43" t="n">
        <x:f>_xlfn.COVARIANCE.S('Common sample'!S6:S75,'Common sample'!AA6:AA75)</x:f>
        <x:v>-0.003925048251000214</x:v>
      </x:c>
      <x:c r="AB23" s="43" t="n">
        <x:f>_xlfn.COVARIANCE.S('Common sample'!S6:S75,'Common sample'!AB6:AB75)</x:f>
        <x:v>0.003829893288314671</x:v>
      </x:c>
      <x:c r="AC23" s="43" t="n">
        <x:f>_xlfn.COVARIANCE.S('Common sample'!S6:S75,'Common sample'!AC6:AC75)</x:f>
        <x:v>-0.0003473100871091172</x:v>
      </x:c>
      <x:c r="AD23" s="43" t="n">
        <x:f>_xlfn.COVARIANCE.S('Common sample'!S6:S75,'Common sample'!AD6:AD75)</x:f>
        <x:v>-0.0003467817138782786</x:v>
      </x:c>
      <x:c r="AE23" s="43" t="n">
        <x:f>_xlfn.COVARIANCE.S('Common sample'!S6:S75,'Common sample'!AE6:AE75)</x:f>
        <x:v>0.0017125882819592783</x:v>
      </x:c>
      <x:c r="AF23" s="43" t="n">
        <x:f>_xlfn.COVARIANCE.S('Common sample'!S6:S75,'Common sample'!AF6:AF75)</x:f>
        <x:v>0.0003109793969332296</x:v>
      </x:c>
      <x:c r="AG23" s="43" t="n">
        <x:f>_xlfn.COVARIANCE.S('Common sample'!S6:S75,'Common sample'!AG6:AG75)</x:f>
        <x:v>-0.00019447087257671146</x:v>
      </x:c>
      <x:c r="AH23" s="43" t="n">
        <x:f>_xlfn.COVARIANCE.S('Common sample'!S6:S75,'Common sample'!AH6:AH75)</x:f>
        <x:v>0.001581317212993246</x:v>
      </x:c>
      <x:c r="AI23" s="43" t="n">
        <x:f>_xlfn.COVARIANCE.S('Common sample'!S6:S75,'Common sample'!AI6:AI75)</x:f>
        <x:v>-0.00031421795354371343</x:v>
      </x:c>
      <x:c r="AJ23" s="43" t="n">
        <x:f>_xlfn.COVARIANCE.S('Common sample'!S6:S75,'Common sample'!AJ6:AJ75)</x:f>
        <x:v>0.0008219784388704186</x:v>
      </x:c>
      <x:c r="AK23" s="43" t="n">
        <x:f>_xlfn.COVARIANCE.S('Common sample'!S6:S75,'Common sample'!AK6:AK75)</x:f>
        <x:v>-0.002464484118224745</x:v>
      </x:c>
      <x:c r="AL23" s="43" t="n">
        <x:f>_xlfn.COVARIANCE.S('Common sample'!S6:S75,'Common sample'!AL6:AL75)</x:f>
        <x:v>0.0018609907387807953</x:v>
      </x:c>
      <x:c r="AM23" s="43" t="n">
        <x:f>_xlfn.COVARIANCE.S('Common sample'!S6:S75,'Common sample'!AM6:AM75)</x:f>
        <x:v>-0.0021838533841434587</x:v>
      </x:c>
      <x:c r="AN23" s="43" t="n">
        <x:f>_xlfn.COVARIANCE.S('Common sample'!S6:S75,'Common sample'!AN6:AN75)</x:f>
        <x:v>0.0018873744078449584</x:v>
      </x:c>
      <x:c r="AO23" s="43" t="n">
        <x:f>_xlfn.COVARIANCE.S('Common sample'!S6:S75,'Common sample'!AO6:AO75)</x:f>
        <x:v>0.00009633290058742339</x:v>
      </x:c>
      <x:c r="AP23" s="43" t="n">
        <x:f>_xlfn.COVARIANCE.S('Common sample'!S6:S75,'Common sample'!AP6:AP75)</x:f>
        <x:v>0.0012003207058699792</x:v>
      </x:c>
      <x:c r="AQ23" s="43" t="n">
        <x:f>_xlfn.COVARIANCE.S('Common sample'!S6:S75,'Common sample'!AQ6:AQ75)</x:f>
        <x:v>0.0005412096533766813</x:v>
      </x:c>
      <x:c r="AR23" s="43" t="n">
        <x:f>_xlfn.COVARIANCE.S('Common sample'!S6:S75,'Common sample'!AR6:AR75)</x:f>
        <x:v>-0.00017517472153180026</x:v>
      </x:c>
    </x:row>
    <x:row r="24" ht="19" customHeight="1">
      <x:c r="A24" s="30" t="str">
        <x:v>MRNA</x:v>
      </x:c>
      <x:c r="B24" s="43" t="n">
        <x:f>_xlfn.COVARIANCE.S('Common sample'!T6:T75,'Common sample'!B6:B75)</x:f>
        <x:v>0.0020206003102176103</x:v>
      </x:c>
      <x:c r="C24" s="43" t="n">
        <x:f>_xlfn.COVARIANCE.S('Common sample'!T6:T75,'Common sample'!C6:C75)</x:f>
        <x:v>0.0022094447950184587</x:v>
      </x:c>
      <x:c r="D24" s="43" t="n">
        <x:f>_xlfn.COVARIANCE.S('Common sample'!T6:T75,'Common sample'!D6:D75)</x:f>
        <x:v>-0.0005209279218352396</x:v>
      </x:c>
      <x:c r="E24" s="43" t="n">
        <x:f>_xlfn.COVARIANCE.S('Common sample'!T6:T75,'Common sample'!E6:E75)</x:f>
        <x:v>-0.0009182638394963379</x:v>
      </x:c>
      <x:c r="F24" s="43" t="n">
        <x:f>_xlfn.COVARIANCE.S('Common sample'!T6:T75,'Common sample'!F6:F75)</x:f>
        <x:v>0.0003561671314102072</x:v>
      </x:c>
      <x:c r="G24" s="43" t="n">
        <x:f>_xlfn.COVARIANCE.S('Common sample'!T6:T75,'Common sample'!G6:G75)</x:f>
        <x:v>0.0028666913164901507</x:v>
      </x:c>
      <x:c r="H24" s="43" t="n">
        <x:f>_xlfn.COVARIANCE.S('Common sample'!T6:T75,'Common sample'!H6:H75)</x:f>
        <x:v>0.0001542710339669425</x:v>
      </x:c>
      <x:c r="I24" s="43" t="n">
        <x:f>_xlfn.COVARIANCE.S('Common sample'!T6:T75,'Common sample'!I6:I75)</x:f>
        <x:v>-0.0010984214291232062</x:v>
      </x:c>
      <x:c r="J24" s="43" t="n">
        <x:f>_xlfn.COVARIANCE.S('Common sample'!T6:T75,'Common sample'!J6:J75)</x:f>
        <x:v>0.0023612979575774345</x:v>
      </x:c>
      <x:c r="K24" s="43" t="n">
        <x:f>_xlfn.COVARIANCE.S('Common sample'!T6:T75,'Common sample'!K6:K75)</x:f>
        <x:v>0.001548255343986039</x:v>
      </x:c>
      <x:c r="L24" s="43" t="n">
        <x:f>_xlfn.COVARIANCE.S('Common sample'!T6:T75,'Common sample'!L6:L75)</x:f>
        <x:v>-0.0013463738658332613</x:v>
      </x:c>
      <x:c r="M24" s="43" t="n">
        <x:f>_xlfn.COVARIANCE.S('Common sample'!T6:T75,'Common sample'!M6:M75)</x:f>
        <x:v>0.0017980786936169265</x:v>
      </x:c>
      <x:c r="N24" s="43" t="n">
        <x:f>_xlfn.COVARIANCE.S('Common sample'!T6:T75,'Common sample'!N6:N75)</x:f>
        <x:v>0.00044616797598406584</x:v>
      </x:c>
      <x:c r="O24" s="43" t="n">
        <x:f>_xlfn.COVARIANCE.S('Common sample'!T6:T75,'Common sample'!O6:O75)</x:f>
        <x:v>0.004496046558993088</x:v>
      </x:c>
      <x:c r="P24" s="43" t="n">
        <x:f>_xlfn.COVARIANCE.S('Common sample'!T6:T75,'Common sample'!P6:P75)</x:f>
        <x:v>0.0009316021209759955</x:v>
      </x:c>
      <x:c r="Q24" s="43" t="n">
        <x:f>_xlfn.COVARIANCE.S('Common sample'!T6:T75,'Common sample'!Q6:Q75)</x:f>
        <x:v>0.00016414486309525335</x:v>
      </x:c>
      <x:c r="R24" s="43" t="n">
        <x:f>_xlfn.COVARIANCE.S('Common sample'!T6:T75,'Common sample'!R6:R75)</x:f>
        <x:v>-0.0027664496791720596</x:v>
      </x:c>
      <x:c r="S24" s="43" t="n">
        <x:f>_xlfn.COVARIANCE.S('Common sample'!T6:T75,'Common sample'!S6:S75)</x:f>
        <x:v>-0.002598754657076334</x:v>
      </x:c>
      <x:c r="T24" s="43" t="n">
        <x:f>_xlfn.COVARIANCE.S('Common sample'!T6:T75,'Common sample'!T6:T75)</x:f>
        <x:v>0.03252617887944142</x:v>
      </x:c>
      <x:c r="U24" s="43" t="n">
        <x:f>_xlfn.COVARIANCE.S('Common sample'!T6:T75,'Common sample'!U6:U75)</x:f>
        <x:v>-0.0036645044414503392</x:v>
      </x:c>
      <x:c r="V24" s="43" t="n">
        <x:f>_xlfn.COVARIANCE.S('Common sample'!T6:T75,'Common sample'!V6:V75)</x:f>
        <x:v>-0.002072234520658374</x:v>
      </x:c>
      <x:c r="W24" s="43" t="n">
        <x:f>_xlfn.COVARIANCE.S('Common sample'!T6:T75,'Common sample'!W6:W75)</x:f>
        <x:v>0.000720397055226027</x:v>
      </x:c>
      <x:c r="X24" s="43" t="n">
        <x:f>_xlfn.COVARIANCE.S('Common sample'!T6:T75,'Common sample'!X6:X75)</x:f>
        <x:v>0.004284854979475592</x:v>
      </x:c>
      <x:c r="Y24" s="43" t="n">
        <x:f>_xlfn.COVARIANCE.S('Common sample'!T6:T75,'Common sample'!Y6:Y75)</x:f>
        <x:v>-0.0011021463769584937</x:v>
      </x:c>
      <x:c r="Z24" s="43" t="n">
        <x:f>_xlfn.COVARIANCE.S('Common sample'!T6:T75,'Common sample'!Z6:Z75)</x:f>
        <x:v>-0.002248291573112699</x:v>
      </x:c>
      <x:c r="AA24" s="43" t="n">
        <x:f>_xlfn.COVARIANCE.S('Common sample'!T6:T75,'Common sample'!AA6:AA75)</x:f>
        <x:v>0.006575273038032295</x:v>
      </x:c>
      <x:c r="AB24" s="43" t="n">
        <x:f>_xlfn.COVARIANCE.S('Common sample'!T6:T75,'Common sample'!AB6:AB75)</x:f>
        <x:v>-0.0015691588216973041</x:v>
      </x:c>
      <x:c r="AC24" s="43" t="n">
        <x:f>_xlfn.COVARIANCE.S('Common sample'!T6:T75,'Common sample'!AC6:AC75)</x:f>
        <x:v>0.0003917774645646646</x:v>
      </x:c>
      <x:c r="AD24" s="43" t="n">
        <x:f>_xlfn.COVARIANCE.S('Common sample'!T6:T75,'Common sample'!AD6:AD75)</x:f>
        <x:v>-0.00021395844679303154</x:v>
      </x:c>
      <x:c r="AE24" s="43" t="n">
        <x:f>_xlfn.COVARIANCE.S('Common sample'!T6:T75,'Common sample'!AE6:AE75)</x:f>
        <x:v>0.0012253051806015085</x:v>
      </x:c>
      <x:c r="AF24" s="43" t="n">
        <x:f>_xlfn.COVARIANCE.S('Common sample'!T6:T75,'Common sample'!AF6:AF75)</x:f>
        <x:v>0.0016295469077858848</x:v>
      </x:c>
      <x:c r="AG24" s="43" t="n">
        <x:f>_xlfn.COVARIANCE.S('Common sample'!T6:T75,'Common sample'!AG6:AG75)</x:f>
        <x:v>-0.0010710865003753422</x:v>
      </x:c>
      <x:c r="AH24" s="43" t="n">
        <x:f>_xlfn.COVARIANCE.S('Common sample'!T6:T75,'Common sample'!AH6:AH75)</x:f>
        <x:v>0.0016197083520902488</x:v>
      </x:c>
      <x:c r="AI24" s="43" t="n">
        <x:f>_xlfn.COVARIANCE.S('Common sample'!T6:T75,'Common sample'!AI6:AI75)</x:f>
        <x:v>-0.0018906377776278427</x:v>
      </x:c>
      <x:c r="AJ24" s="43" t="n">
        <x:f>_xlfn.COVARIANCE.S('Common sample'!T6:T75,'Common sample'!AJ6:AJ75)</x:f>
        <x:v>-0.0013255597356931672</x:v>
      </x:c>
      <x:c r="AK24" s="43" t="n">
        <x:f>_xlfn.COVARIANCE.S('Common sample'!T6:T75,'Common sample'!AK6:AK75)</x:f>
        <x:v>-0.0022250992870265743</x:v>
      </x:c>
      <x:c r="AL24" s="43" t="n">
        <x:f>_xlfn.COVARIANCE.S('Common sample'!T6:T75,'Common sample'!AL6:AL75)</x:f>
        <x:v>-0.0017877666596628268</x:v>
      </x:c>
      <x:c r="AM24" s="43" t="n">
        <x:f>_xlfn.COVARIANCE.S('Common sample'!T6:T75,'Common sample'!AM6:AM75)</x:f>
        <x:v>0.002146183305981889</x:v>
      </x:c>
      <x:c r="AN24" s="43" t="n">
        <x:f>_xlfn.COVARIANCE.S('Common sample'!T6:T75,'Common sample'!AN6:AN75)</x:f>
        <x:v>-0.00027475868219836643</x:v>
      </x:c>
      <x:c r="AO24" s="43" t="n">
        <x:f>_xlfn.COVARIANCE.S('Common sample'!T6:T75,'Common sample'!AO6:AO75)</x:f>
        <x:v>0.00015363588227343948</x:v>
      </x:c>
      <x:c r="AP24" s="43" t="n">
        <x:f>_xlfn.COVARIANCE.S('Common sample'!T6:T75,'Common sample'!AP6:AP75)</x:f>
        <x:v>-0.00114381180536246</x:v>
      </x:c>
      <x:c r="AQ24" s="43" t="n">
        <x:f>_xlfn.COVARIANCE.S('Common sample'!T6:T75,'Common sample'!AQ6:AQ75)</x:f>
        <x:v>0.0008007450295085301</x:v>
      </x:c>
      <x:c r="AR24" s="43" t="n">
        <x:f>_xlfn.COVARIANCE.S('Common sample'!T6:T75,'Common sample'!AR6:AR75)</x:f>
        <x:v>-0.001322286274145472</x:v>
      </x:c>
    </x:row>
    <x:row r="25" ht="19" customHeight="1">
      <x:c r="A25" s="30" t="str">
        <x:v>AXON</x:v>
      </x:c>
      <x:c r="B25" s="43" t="n">
        <x:f>_xlfn.COVARIANCE.S('Common sample'!U6:U75,'Common sample'!B6:B75)</x:f>
        <x:v>0.003724308046304008</x:v>
      </x:c>
      <x:c r="C25" s="43" t="n">
        <x:f>_xlfn.COVARIANCE.S('Common sample'!U6:U75,'Common sample'!C6:C75)</x:f>
        <x:v>-0.001612361355496655</x:v>
      </x:c>
      <x:c r="D25" s="43" t="n">
        <x:f>_xlfn.COVARIANCE.S('Common sample'!U6:U75,'Common sample'!D6:D75)</x:f>
        <x:v>-0.0004061307174792631</x:v>
      </x:c>
      <x:c r="E25" s="43" t="n">
        <x:f>_xlfn.COVARIANCE.S('Common sample'!U6:U75,'Common sample'!E6:E75)</x:f>
        <x:v>-0.0003295414573599622</x:v>
      </x:c>
      <x:c r="F25" s="43" t="n">
        <x:f>_xlfn.COVARIANCE.S('Common sample'!U6:U75,'Common sample'!F6:F75)</x:f>
        <x:v>0.0014128343305160594</x:v>
      </x:c>
      <x:c r="G25" s="43" t="n">
        <x:f>_xlfn.COVARIANCE.S('Common sample'!U6:U75,'Common sample'!G6:G75)</x:f>
        <x:v>0.002829398640754738</x:v>
      </x:c>
      <x:c r="H25" s="43" t="n">
        <x:f>_xlfn.COVARIANCE.S('Common sample'!U6:U75,'Common sample'!H6:H75)</x:f>
        <x:v>-0.001180200224850753</x:v>
      </x:c>
      <x:c r="I25" s="43" t="n">
        <x:f>_xlfn.COVARIANCE.S('Common sample'!U6:U75,'Common sample'!I6:I75)</x:f>
        <x:v>0.0008966869161832247</x:v>
      </x:c>
      <x:c r="J25" s="43" t="n">
        <x:f>_xlfn.COVARIANCE.S('Common sample'!U6:U75,'Common sample'!J6:J75)</x:f>
        <x:v>-0.005442066213399306</x:v>
      </x:c>
      <x:c r="K25" s="43" t="n">
        <x:f>_xlfn.COVARIANCE.S('Common sample'!U6:U75,'Common sample'!K6:K75)</x:f>
        <x:v>0.0009986692562067199</x:v>
      </x:c>
      <x:c r="L25" s="43" t="n">
        <x:f>_xlfn.COVARIANCE.S('Common sample'!U6:U75,'Common sample'!L6:L75)</x:f>
        <x:v>0.0011442865634173167</x:v>
      </x:c>
      <x:c r="M25" s="43" t="n">
        <x:f>_xlfn.COVARIANCE.S('Common sample'!U6:U75,'Common sample'!M6:M75)</x:f>
        <x:v>0.0003468435277316554</x:v>
      </x:c>
      <x:c r="N25" s="43" t="n">
        <x:f>_xlfn.COVARIANCE.S('Common sample'!U6:U75,'Common sample'!N6:N75)</x:f>
        <x:v>0.0027930517713667196</x:v>
      </x:c>
      <x:c r="O25" s="43" t="n">
        <x:f>_xlfn.COVARIANCE.S('Common sample'!U6:U75,'Common sample'!O6:O75)</x:f>
        <x:v>-0.006172099011187038</x:v>
      </x:c>
      <x:c r="P25" s="43" t="n">
        <x:f>_xlfn.COVARIANCE.S('Common sample'!U6:U75,'Common sample'!P6:P75)</x:f>
        <x:v>0.0008804904272454258</x:v>
      </x:c>
      <x:c r="Q25" s="43" t="n">
        <x:f>_xlfn.COVARIANCE.S('Common sample'!U6:U75,'Common sample'!Q6:Q75)</x:f>
        <x:v>-0.007165638210040896</x:v>
      </x:c>
      <x:c r="R25" s="43" t="n">
        <x:f>_xlfn.COVARIANCE.S('Common sample'!U6:U75,'Common sample'!R6:R75)</x:f>
        <x:v>0.001260959225378546</x:v>
      </x:c>
      <x:c r="S25" s="43" t="n">
        <x:f>_xlfn.COVARIANCE.S('Common sample'!U6:U75,'Common sample'!S6:S75)</x:f>
        <x:v>0.005022036543640672</x:v>
      </x:c>
      <x:c r="T25" s="43" t="n">
        <x:f>_xlfn.COVARIANCE.S('Common sample'!U6:U75,'Common sample'!T6:T75)</x:f>
        <x:v>-0.0036645044414503392</x:v>
      </x:c>
      <x:c r="U25" s="43" t="n">
        <x:f>_xlfn.COVARIANCE.S('Common sample'!U6:U75,'Common sample'!U6:U75)</x:f>
        <x:v>0.014065489535833685</x:v>
      </x:c>
      <x:c r="V25" s="43" t="n">
        <x:f>_xlfn.COVARIANCE.S('Common sample'!U6:U75,'Common sample'!V6:V75)</x:f>
        <x:v>0.004028951147460731</x:v>
      </x:c>
      <x:c r="W25" s="43" t="n">
        <x:f>_xlfn.COVARIANCE.S('Common sample'!U6:U75,'Common sample'!W6:W75)</x:f>
        <x:v>0.001739077496923714</x:v>
      </x:c>
      <x:c r="X25" s="43" t="n">
        <x:f>_xlfn.COVARIANCE.S('Common sample'!U6:U75,'Common sample'!X6:X75)</x:f>
        <x:v>-0.0019744100755170304</x:v>
      </x:c>
      <x:c r="Y25" s="43" t="n">
        <x:f>_xlfn.COVARIANCE.S('Common sample'!U6:U75,'Common sample'!Y6:Y75)</x:f>
        <x:v>0.0007008481507271049</x:v>
      </x:c>
      <x:c r="Z25" s="43" t="n">
        <x:f>_xlfn.COVARIANCE.S('Common sample'!U6:U75,'Common sample'!Z6:Z75)</x:f>
        <x:v>0.00127776022424874</x:v>
      </x:c>
      <x:c r="AA25" s="43" t="n">
        <x:f>_xlfn.COVARIANCE.S('Common sample'!U6:U75,'Common sample'!AA6:AA75)</x:f>
        <x:v>-0.0026721412305857036</x:v>
      </x:c>
      <x:c r="AB25" s="43" t="n">
        <x:f>_xlfn.COVARIANCE.S('Common sample'!U6:U75,'Common sample'!AB6:AB75)</x:f>
        <x:v>0.0002809246443439903</x:v>
      </x:c>
      <x:c r="AC25" s="43" t="n">
        <x:f>_xlfn.COVARIANCE.S('Common sample'!U6:U75,'Common sample'!AC6:AC75)</x:f>
        <x:v>0.00028540808369370145</x:v>
      </x:c>
      <x:c r="AD25" s="43" t="n">
        <x:f>_xlfn.COVARIANCE.S('Common sample'!U6:U75,'Common sample'!AD6:AD75)</x:f>
        <x:v>-0.00021797277494015358</x:v>
      </x:c>
      <x:c r="AE25" s="43" t="n">
        <x:f>_xlfn.COVARIANCE.S('Common sample'!U6:U75,'Common sample'!AE6:AE75)</x:f>
        <x:v>0.0017092160923293323</x:v>
      </x:c>
      <x:c r="AF25" s="43" t="n">
        <x:f>_xlfn.COVARIANCE.S('Common sample'!U6:U75,'Common sample'!AF6:AF75)</x:f>
        <x:v>0.001663194822614141</x:v>
      </x:c>
      <x:c r="AG25" s="43" t="n">
        <x:f>_xlfn.COVARIANCE.S('Common sample'!U6:U75,'Common sample'!AG6:AG75)</x:f>
        <x:v>-0.0002659168390988471</x:v>
      </x:c>
      <x:c r="AH25" s="43" t="n">
        <x:f>_xlfn.COVARIANCE.S('Common sample'!U6:U75,'Common sample'!AH6:AH75)</x:f>
        <x:v>-0.00041482038999809495</x:v>
      </x:c>
      <x:c r="AI25" s="43" t="n">
        <x:f>_xlfn.COVARIANCE.S('Common sample'!U6:U75,'Common sample'!AI6:AI75)</x:f>
        <x:v>-0.00012075790915108792</x:v>
      </x:c>
      <x:c r="AJ25" s="43" t="n">
        <x:f>_xlfn.COVARIANCE.S('Common sample'!U6:U75,'Common sample'!AJ6:AJ75)</x:f>
        <x:v>0.000739848466825799</x:v>
      </x:c>
      <x:c r="AK25" s="43" t="n">
        <x:f>_xlfn.COVARIANCE.S('Common sample'!U6:U75,'Common sample'!AK6:AK75)</x:f>
        <x:v>-0.002923689083983825</x:v>
      </x:c>
      <x:c r="AL25" s="43" t="n">
        <x:f>_xlfn.COVARIANCE.S('Common sample'!U6:U75,'Common sample'!AL6:AL75)</x:f>
        <x:v>0.0028960574121568317</x:v>
      </x:c>
      <x:c r="AM25" s="43" t="n">
        <x:f>_xlfn.COVARIANCE.S('Common sample'!U6:U75,'Common sample'!AM6:AM75)</x:f>
        <x:v>-0.0025472297102082327</x:v>
      </x:c>
      <x:c r="AN25" s="43" t="n">
        <x:f>_xlfn.COVARIANCE.S('Common sample'!U6:U75,'Common sample'!AN6:AN75)</x:f>
        <x:v>0.0009556590453714759</x:v>
      </x:c>
      <x:c r="AO25" s="43" t="n">
        <x:f>_xlfn.COVARIANCE.S('Common sample'!U6:U75,'Common sample'!AO6:AO75)</x:f>
        <x:v>0.0007408832054324948</x:v>
      </x:c>
      <x:c r="AP25" s="43" t="n">
        <x:f>_xlfn.COVARIANCE.S('Common sample'!U6:U75,'Common sample'!AP6:AP75)</x:f>
        <x:v>-0.00007392377325758066</x:v>
      </x:c>
      <x:c r="AQ25" s="43" t="n">
        <x:f>_xlfn.COVARIANCE.S('Common sample'!U6:U75,'Common sample'!AQ6:AQ75)</x:f>
        <x:v>-0.0010365826119142186</x:v>
      </x:c>
      <x:c r="AR25" s="43" t="n">
        <x:f>_xlfn.COVARIANCE.S('Common sample'!U6:U75,'Common sample'!AR6:AR75)</x:f>
        <x:v>0.00038113353781585486</x:v>
      </x:c>
    </x:row>
    <x:row r="26" ht="19" customHeight="1">
      <x:c r="A26" s="30" t="str">
        <x:v>NFLX</x:v>
      </x:c>
      <x:c r="B26" s="43" t="n">
        <x:f>_xlfn.COVARIANCE.S('Common sample'!V6:V75,'Common sample'!B6:B75)</x:f>
        <x:v>0.0010232714099393757</x:v>
      </x:c>
      <x:c r="C26" s="43" t="n">
        <x:f>_xlfn.COVARIANCE.S('Common sample'!V6:V75,'Common sample'!C6:C75)</x:f>
        <x:v>0.0005973319117785963</x:v>
      </x:c>
      <x:c r="D26" s="43" t="n">
        <x:f>_xlfn.COVARIANCE.S('Common sample'!V6:V75,'Common sample'!D6:D75)</x:f>
        <x:v>-0.0001584369563176425</x:v>
      </x:c>
      <x:c r="E26" s="43" t="n">
        <x:f>_xlfn.COVARIANCE.S('Common sample'!V6:V75,'Common sample'!E6:E75)</x:f>
        <x:v>-0.0002467312452831889</x:v>
      </x:c>
      <x:c r="F26" s="43" t="n">
        <x:f>_xlfn.COVARIANCE.S('Common sample'!V6:V75,'Common sample'!F6:F75)</x:f>
        <x:v>0.0002625285371971356</x:v>
      </x:c>
      <x:c r="G26" s="43" t="n">
        <x:f>_xlfn.COVARIANCE.S('Common sample'!V6:V75,'Common sample'!G6:G75)</x:f>
        <x:v>0.0004586605448984999</x:v>
      </x:c>
      <x:c r="H26" s="43" t="n">
        <x:f>_xlfn.COVARIANCE.S('Common sample'!V6:V75,'Common sample'!H6:H75)</x:f>
        <x:v>0.0001895284919606406</x:v>
      </x:c>
      <x:c r="I26" s="43" t="n">
        <x:f>_xlfn.COVARIANCE.S('Common sample'!V6:V75,'Common sample'!I6:I75)</x:f>
        <x:v>0.0019759893584923665</x:v>
      </x:c>
      <x:c r="J26" s="43" t="n">
        <x:f>_xlfn.COVARIANCE.S('Common sample'!V6:V75,'Common sample'!J6:J75)</x:f>
        <x:v>-0.004177402883793703</x:v>
      </x:c>
      <x:c r="K26" s="43" t="n">
        <x:f>_xlfn.COVARIANCE.S('Common sample'!V6:V75,'Common sample'!K6:K75)</x:f>
        <x:v>-0.0004902199961304971</x:v>
      </x:c>
      <x:c r="L26" s="43" t="n">
        <x:f>_xlfn.COVARIANCE.S('Common sample'!V6:V75,'Common sample'!L6:L75)</x:f>
        <x:v>0.0012516848784334422</x:v>
      </x:c>
      <x:c r="M26" s="43" t="n">
        <x:f>_xlfn.COVARIANCE.S('Common sample'!V6:V75,'Common sample'!M6:M75)</x:f>
        <x:v>-0.0003525240592816923</x:v>
      </x:c>
      <x:c r="N26" s="43" t="n">
        <x:f>_xlfn.COVARIANCE.S('Common sample'!V6:V75,'Common sample'!N6:N75)</x:f>
        <x:v>0.0017126444195419471</x:v>
      </x:c>
      <x:c r="O26" s="43" t="n">
        <x:f>_xlfn.COVARIANCE.S('Common sample'!V6:V75,'Common sample'!O6:O75)</x:f>
        <x:v>-0.00456846153653241</x:v>
      </x:c>
      <x:c r="P26" s="43" t="n">
        <x:f>_xlfn.COVARIANCE.S('Common sample'!V6:V75,'Common sample'!P6:P75)</x:f>
        <x:v>0.0017301799041935957</x:v>
      </x:c>
      <x:c r="Q26" s="43" t="n">
        <x:f>_xlfn.COVARIANCE.S('Common sample'!V6:V75,'Common sample'!Q6:Q75)</x:f>
        <x:v>0.001962590116264487</x:v>
      </x:c>
      <x:c r="R26" s="43" t="n">
        <x:f>_xlfn.COVARIANCE.S('Common sample'!V6:V75,'Common sample'!R6:R75)</x:f>
        <x:v>0.0016680844080982353</x:v>
      </x:c>
      <x:c r="S26" s="43" t="n">
        <x:f>_xlfn.COVARIANCE.S('Common sample'!V6:V75,'Common sample'!S6:S75)</x:f>
        <x:v>0.0033839265751013604</x:v>
      </x:c>
      <x:c r="T26" s="43" t="n">
        <x:f>_xlfn.COVARIANCE.S('Common sample'!V6:V75,'Common sample'!T6:T75)</x:f>
        <x:v>-0.002072234520658374</x:v>
      </x:c>
      <x:c r="U26" s="43" t="n">
        <x:f>_xlfn.COVARIANCE.S('Common sample'!V6:V75,'Common sample'!U6:U75)</x:f>
        <x:v>0.004028951147460731</x:v>
      </x:c>
      <x:c r="V26" s="43" t="n">
        <x:f>_xlfn.COVARIANCE.S('Common sample'!V6:V75,'Common sample'!V6:V75)</x:f>
        <x:v>0.010265767051446916</x:v>
      </x:c>
      <x:c r="W26" s="43" t="n">
        <x:f>_xlfn.COVARIANCE.S('Common sample'!V6:V75,'Common sample'!W6:W75)</x:f>
        <x:v>0.00027629358255938343</x:v>
      </x:c>
      <x:c r="X26" s="43" t="n">
        <x:f>_xlfn.COVARIANCE.S('Common sample'!V6:V75,'Common sample'!X6:X75)</x:f>
        <x:v>-0.004167653196670912</x:v>
      </x:c>
      <x:c r="Y26" s="43" t="n">
        <x:f>_xlfn.COVARIANCE.S('Common sample'!V6:V75,'Common sample'!Y6:Y75)</x:f>
        <x:v>-0.0005445391711468474</x:v>
      </x:c>
      <x:c r="Z26" s="43" t="n">
        <x:f>_xlfn.COVARIANCE.S('Common sample'!V6:V75,'Common sample'!Z6:Z75)</x:f>
        <x:v>0.00014442664975737658</x:v>
      </x:c>
      <x:c r="AA26" s="43" t="n">
        <x:f>_xlfn.COVARIANCE.S('Common sample'!V6:V75,'Common sample'!AA6:AA75)</x:f>
        <x:v>-0.005746199482529631</x:v>
      </x:c>
      <x:c r="AB26" s="43" t="n">
        <x:f>_xlfn.COVARIANCE.S('Common sample'!V6:V75,'Common sample'!AB6:AB75)</x:f>
        <x:v>-0.0008843313170500088</x:v>
      </x:c>
      <x:c r="AC26" s="43" t="n">
        <x:f>_xlfn.COVARIANCE.S('Common sample'!V6:V75,'Common sample'!AC6:AC75)</x:f>
        <x:v>-0.000469702282271552</x:v>
      </x:c>
      <x:c r="AD26" s="43" t="n">
        <x:f>_xlfn.COVARIANCE.S('Common sample'!V6:V75,'Common sample'!AD6:AD75)</x:f>
        <x:v>-0.0007256629867530858</x:v>
      </x:c>
      <x:c r="AE26" s="43" t="n">
        <x:f>_xlfn.COVARIANCE.S('Common sample'!V6:V75,'Common sample'!AE6:AE75)</x:f>
        <x:v>0.00005251357756683368</x:v>
      </x:c>
      <x:c r="AF26" s="43" t="n">
        <x:f>_xlfn.COVARIANCE.S('Common sample'!V6:V75,'Common sample'!AF6:AF75)</x:f>
        <x:v>0.0007229112571460649</x:v>
      </x:c>
      <x:c r="AG26" s="43" t="n">
        <x:f>_xlfn.COVARIANCE.S('Common sample'!V6:V75,'Common sample'!AG6:AG75)</x:f>
        <x:v>0.00046684138702379177</x:v>
      </x:c>
      <x:c r="AH26" s="43" t="n">
        <x:f>_xlfn.COVARIANCE.S('Common sample'!V6:V75,'Common sample'!AH6:AH75)</x:f>
        <x:v>-0.0020116084739791136</x:v>
      </x:c>
      <x:c r="AI26" s="43" t="n">
        <x:f>_xlfn.COVARIANCE.S('Common sample'!V6:V75,'Common sample'!AI6:AI75)</x:f>
        <x:v>-0.00019566430369490155</x:v>
      </x:c>
      <x:c r="AJ26" s="43" t="n">
        <x:f>_xlfn.COVARIANCE.S('Common sample'!V6:V75,'Common sample'!AJ6:AJ75)</x:f>
        <x:v>-0.0005869980866420726</x:v>
      </x:c>
      <x:c r="AK26" s="43" t="n">
        <x:f>_xlfn.COVARIANCE.S('Common sample'!V6:V75,'Common sample'!AK6:AK75)</x:f>
        <x:v>0.0007652768738541716</x:v>
      </x:c>
      <x:c r="AL26" s="43" t="n">
        <x:f>_xlfn.COVARIANCE.S('Common sample'!V6:V75,'Common sample'!AL6:AL75)</x:f>
        <x:v>0.0019261667603223483</x:v>
      </x:c>
      <x:c r="AM26" s="43" t="n">
        <x:f>_xlfn.COVARIANCE.S('Common sample'!V6:V75,'Common sample'!AM6:AM75)</x:f>
        <x:v>-0.002815832026756867</x:v>
      </x:c>
      <x:c r="AN26" s="43" t="n">
        <x:f>_xlfn.COVARIANCE.S('Common sample'!V6:V75,'Common sample'!AN6:AN75)</x:f>
        <x:v>0.0017800592693915627</x:v>
      </x:c>
      <x:c r="AO26" s="43" t="n">
        <x:f>_xlfn.COVARIANCE.S('Common sample'!V6:V75,'Common sample'!AO6:AO75)</x:f>
        <x:v>-0.000032671566751699295</x:v>
      </x:c>
      <x:c r="AP26" s="43" t="n">
        <x:f>_xlfn.COVARIANCE.S('Common sample'!V6:V75,'Common sample'!AP6:AP75)</x:f>
        <x:v>0.0003035297289824869</x:v>
      </x:c>
      <x:c r="AQ26" s="43" t="n">
        <x:f>_xlfn.COVARIANCE.S('Common sample'!V6:V75,'Common sample'!AQ6:AQ75)</x:f>
        <x:v>-0.000520879030478215</x:v>
      </x:c>
      <x:c r="AR26" s="43" t="n">
        <x:f>_xlfn.COVARIANCE.S('Common sample'!V6:V75,'Common sample'!AR6:AR75)</x:f>
        <x:v>0.0009018179841831904</x:v>
      </x:c>
    </x:row>
    <x:row r="27" ht="19" customHeight="1">
      <x:c r="A27" s="30" t="str">
        <x:v>CMCSA</x:v>
      </x:c>
      <x:c r="B27" s="43" t="n">
        <x:f>_xlfn.COVARIANCE.S('Common sample'!W6:W75,'Common sample'!B6:B75)</x:f>
        <x:v>-0.00018266253201298582</x:v>
      </x:c>
      <x:c r="C27" s="43" t="n">
        <x:f>_xlfn.COVARIANCE.S('Common sample'!W6:W75,'Common sample'!C6:C75)</x:f>
        <x:v>-0.0010092875614858155</x:v>
      </x:c>
      <x:c r="D27" s="43" t="n">
        <x:f>_xlfn.COVARIANCE.S('Common sample'!W6:W75,'Common sample'!D6:D75)</x:f>
        <x:v>-0.00008740561487957168</x:v>
      </x:c>
      <x:c r="E27" s="43" t="n">
        <x:f>_xlfn.COVARIANCE.S('Common sample'!W6:W75,'Common sample'!E6:E75)</x:f>
        <x:v>-0.00013025717073651642</x:v>
      </x:c>
      <x:c r="F27" s="43" t="n">
        <x:f>_xlfn.COVARIANCE.S('Common sample'!W6:W75,'Common sample'!F6:F75)</x:f>
        <x:v>0.0007639504012591035</x:v>
      </x:c>
      <x:c r="G27" s="43" t="n">
        <x:f>_xlfn.COVARIANCE.S('Common sample'!W6:W75,'Common sample'!G6:G75)</x:f>
        <x:v>0.0007369349924307566</x:v>
      </x:c>
      <x:c r="H27" s="43" t="n">
        <x:f>_xlfn.COVARIANCE.S('Common sample'!W6:W75,'Common sample'!H6:H75)</x:f>
        <x:v>0.00013243519070751768</x:v>
      </x:c>
      <x:c r="I27" s="43" t="n">
        <x:f>_xlfn.COVARIANCE.S('Common sample'!W6:W75,'Common sample'!I6:I75)</x:f>
        <x:v>-0.0003575832496305772</x:v>
      </x:c>
      <x:c r="J27" s="43" t="n">
        <x:f>_xlfn.COVARIANCE.S('Common sample'!W6:W75,'Common sample'!J6:J75)</x:f>
        <x:v>-0.0010049783319269867</x:v>
      </x:c>
      <x:c r="K27" s="43" t="n">
        <x:f>_xlfn.COVARIANCE.S('Common sample'!W6:W75,'Common sample'!K6:K75)</x:f>
        <x:v>-0.0004996150622703359</x:v>
      </x:c>
      <x:c r="L27" s="43" t="n">
        <x:f>_xlfn.COVARIANCE.S('Common sample'!W6:W75,'Common sample'!L6:L75)</x:f>
        <x:v>-0.0006476714409470793</x:v>
      </x:c>
      <x:c r="M27" s="43" t="n">
        <x:f>_xlfn.COVARIANCE.S('Common sample'!W6:W75,'Common sample'!M6:M75)</x:f>
        <x:v>-0.0007567750067546147</x:v>
      </x:c>
      <x:c r="N27" s="43" t="n">
        <x:f>_xlfn.COVARIANCE.S('Common sample'!W6:W75,'Common sample'!N6:N75)</x:f>
        <x:v>-0.00041671097051328696</x:v>
      </x:c>
      <x:c r="O27" s="43" t="n">
        <x:f>_xlfn.COVARIANCE.S('Common sample'!W6:W75,'Common sample'!O6:O75)</x:f>
        <x:v>-0.0015083898576476753</x:v>
      </x:c>
      <x:c r="P27" s="43" t="n">
        <x:f>_xlfn.COVARIANCE.S('Common sample'!W6:W75,'Common sample'!P6:P75)</x:f>
        <x:v>-0.0008591105807400828</x:v>
      </x:c>
      <x:c r="Q27" s="43" t="n">
        <x:f>_xlfn.COVARIANCE.S('Common sample'!W6:W75,'Common sample'!Q6:Q75)</x:f>
        <x:v>-0.0030857569819997296</x:v>
      </x:c>
      <x:c r="R27" s="43" t="n">
        <x:f>_xlfn.COVARIANCE.S('Common sample'!W6:W75,'Common sample'!R6:R75)</x:f>
        <x:v>0.0005307832938206895</x:v>
      </x:c>
      <x:c r="S27" s="43" t="n">
        <x:f>_xlfn.COVARIANCE.S('Common sample'!W6:W75,'Common sample'!S6:S75)</x:f>
        <x:v>-0.0005305177564770853</x:v>
      </x:c>
      <x:c r="T27" s="43" t="n">
        <x:f>_xlfn.COVARIANCE.S('Common sample'!W6:W75,'Common sample'!T6:T75)</x:f>
        <x:v>0.000720397055226027</x:v>
      </x:c>
      <x:c r="U27" s="43" t="n">
        <x:f>_xlfn.COVARIANCE.S('Common sample'!W6:W75,'Common sample'!U6:U75)</x:f>
        <x:v>0.001739077496923714</x:v>
      </x:c>
      <x:c r="V27" s="43" t="n">
        <x:f>_xlfn.COVARIANCE.S('Common sample'!W6:W75,'Common sample'!V6:V75)</x:f>
        <x:v>0.00027629358255938343</x:v>
      </x:c>
      <x:c r="W27" s="43" t="n">
        <x:f>_xlfn.COVARIANCE.S('Common sample'!W6:W75,'Common sample'!W6:W75)</x:f>
        <x:v>0.0029436787748320916</x:v>
      </x:c>
      <x:c r="X27" s="43" t="n">
        <x:f>_xlfn.COVARIANCE.S('Common sample'!W6:W75,'Common sample'!X6:X75)</x:f>
        <x:v>-0.0007192391356318701</x:v>
      </x:c>
      <x:c r="Y27" s="43" t="n">
        <x:f>_xlfn.COVARIANCE.S('Common sample'!W6:W75,'Common sample'!Y6:Y75)</x:f>
        <x:v>-0.00027821060294583316</x:v>
      </x:c>
      <x:c r="Z27" s="43" t="n">
        <x:f>_xlfn.COVARIANCE.S('Common sample'!W6:W75,'Common sample'!Z6:Z75)</x:f>
        <x:v>0.0002361257871581981</x:v>
      </x:c>
      <x:c r="AA27" s="43" t="n">
        <x:f>_xlfn.COVARIANCE.S('Common sample'!W6:W75,'Common sample'!AA6:AA75)</x:f>
        <x:v>0.00003559406836475902</x:v>
      </x:c>
      <x:c r="AB27" s="43" t="n">
        <x:f>_xlfn.COVARIANCE.S('Common sample'!W6:W75,'Common sample'!AB6:AB75)</x:f>
        <x:v>0.0003455289037029473</x:v>
      </x:c>
      <x:c r="AC27" s="43" t="n">
        <x:f>_xlfn.COVARIANCE.S('Common sample'!W6:W75,'Common sample'!AC6:AC75)</x:f>
        <x:v>0.0003692316458454269</x:v>
      </x:c>
      <x:c r="AD27" s="43" t="n">
        <x:f>_xlfn.COVARIANCE.S('Common sample'!W6:W75,'Common sample'!AD6:AD75)</x:f>
        <x:v>-0.00018496498042649143</x:v>
      </x:c>
      <x:c r="AE27" s="43" t="n">
        <x:f>_xlfn.COVARIANCE.S('Common sample'!W6:W75,'Common sample'!AE6:AE75)</x:f>
        <x:v>0.0001514507628927691</x:v>
      </x:c>
      <x:c r="AF27" s="43" t="n">
        <x:f>_xlfn.COVARIANCE.S('Common sample'!W6:W75,'Common sample'!AF6:AF75)</x:f>
        <x:v>0.0013815210310240745</x:v>
      </x:c>
      <x:c r="AG27" s="43" t="n">
        <x:f>_xlfn.COVARIANCE.S('Common sample'!W6:W75,'Common sample'!AG6:AG75)</x:f>
        <x:v>0.0002020982713584607</x:v>
      </x:c>
      <x:c r="AH27" s="43" t="n">
        <x:f>_xlfn.COVARIANCE.S('Common sample'!W6:W75,'Common sample'!AH6:AH75)</x:f>
        <x:v>0.0006681788439101656</x:v>
      </x:c>
      <x:c r="AI27" s="43" t="n">
        <x:f>_xlfn.COVARIANCE.S('Common sample'!W6:W75,'Common sample'!AI6:AI75)</x:f>
        <x:v>0.00008760293539702643</x:v>
      </x:c>
      <x:c r="AJ27" s="43" t="n">
        <x:f>_xlfn.COVARIANCE.S('Common sample'!W6:W75,'Common sample'!AJ6:AJ75)</x:f>
        <x:v>-0.00014908017211320723</x:v>
      </x:c>
      <x:c r="AK27" s="43" t="n">
        <x:f>_xlfn.COVARIANCE.S('Common sample'!W6:W75,'Common sample'!AK6:AK75)</x:f>
        <x:v>-0.001164556976717557</x:v>
      </x:c>
      <x:c r="AL27" s="43" t="n">
        <x:f>_xlfn.COVARIANCE.S('Common sample'!W6:W75,'Common sample'!AL6:AL75)</x:f>
        <x:v>0.0011692822846615788</x:v>
      </x:c>
      <x:c r="AM27" s="43" t="n">
        <x:f>_xlfn.COVARIANCE.S('Common sample'!W6:W75,'Common sample'!AM6:AM75)</x:f>
        <x:v>-0.0013136598080223188</x:v>
      </x:c>
      <x:c r="AN27" s="43" t="n">
        <x:f>_xlfn.COVARIANCE.S('Common sample'!W6:W75,'Common sample'!AN6:AN75)</x:f>
        <x:v>0.00025795985132378283</x:v>
      </x:c>
      <x:c r="AO27" s="43" t="n">
        <x:f>_xlfn.COVARIANCE.S('Common sample'!W6:W75,'Common sample'!AO6:AO75)</x:f>
        <x:v>0.0007109098032752459</x:v>
      </x:c>
      <x:c r="AP27" s="43" t="n">
        <x:f>_xlfn.COVARIANCE.S('Common sample'!W6:W75,'Common sample'!AP6:AP75)</x:f>
        <x:v>0.0000933199914135913</x:v>
      </x:c>
      <x:c r="AQ27" s="43" t="n">
        <x:f>_xlfn.COVARIANCE.S('Common sample'!W6:W75,'Common sample'!AQ6:AQ75)</x:f>
        <x:v>0.00016094150586553222</x:v>
      </x:c>
      <x:c r="AR27" s="43" t="n">
        <x:f>_xlfn.COVARIANCE.S('Common sample'!W6:W75,'Common sample'!AR6:AR75)</x:f>
        <x:v>0.00015501340264086074</x:v>
      </x:c>
    </x:row>
    <x:row r="28" ht="19" customHeight="1">
      <x:c r="A28" s="30" t="str">
        <x:v>MU</x:v>
      </x:c>
      <x:c r="B28" s="43" t="n">
        <x:f>_xlfn.COVARIANCE.S('Common sample'!X6:X75,'Common sample'!B6:B75)</x:f>
        <x:v>0.0030353853333758146</x:v>
      </x:c>
      <x:c r="C28" s="43" t="n">
        <x:f>_xlfn.COVARIANCE.S('Common sample'!X6:X75,'Common sample'!C6:C75)</x:f>
        <x:v>-0.001045130207648946</x:v>
      </x:c>
      <x:c r="D28" s="43" t="n">
        <x:f>_xlfn.COVARIANCE.S('Common sample'!X6:X75,'Common sample'!D6:D75)</x:f>
        <x:v>0.00029600978016263715</x:v>
      </x:c>
      <x:c r="E28" s="43" t="n">
        <x:f>_xlfn.COVARIANCE.S('Common sample'!X6:X75,'Common sample'!E6:E75)</x:f>
        <x:v>0.00010843001901534077</x:v>
      </x:c>
      <x:c r="F28" s="43" t="n">
        <x:f>_xlfn.COVARIANCE.S('Common sample'!X6:X75,'Common sample'!F6:F75)</x:f>
        <x:v>0.003183269583529941</x:v>
      </x:c>
      <x:c r="G28" s="43" t="n">
        <x:f>_xlfn.COVARIANCE.S('Common sample'!X6:X75,'Common sample'!G6:G75)</x:f>
        <x:v>-0.0015575882453167918</x:v>
      </x:c>
      <x:c r="H28" s="43" t="n">
        <x:f>_xlfn.COVARIANCE.S('Common sample'!X6:X75,'Common sample'!H6:H75)</x:f>
        <x:v>0.00039782024026914275</x:v>
      </x:c>
      <x:c r="I28" s="43" t="n">
        <x:f>_xlfn.COVARIANCE.S('Common sample'!X6:X75,'Common sample'!I6:I75)</x:f>
        <x:v>0.0029045370775302123</x:v>
      </x:c>
      <x:c r="J28" s="43" t="n">
        <x:f>_xlfn.COVARIANCE.S('Common sample'!X6:X75,'Common sample'!J6:J75)</x:f>
        <x:v>0.010933086562937105</x:v>
      </x:c>
      <x:c r="K28" s="43" t="n">
        <x:f>_xlfn.COVARIANCE.S('Common sample'!X6:X75,'Common sample'!K6:K75)</x:f>
        <x:v>-0.0002815760205862061</x:v>
      </x:c>
      <x:c r="L28" s="43" t="n">
        <x:f>_xlfn.COVARIANCE.S('Common sample'!X6:X75,'Common sample'!L6:L75)</x:f>
        <x:v>-0.003112205640722967</x:v>
      </x:c>
      <x:c r="M28" s="43" t="n">
        <x:f>_xlfn.COVARIANCE.S('Common sample'!X6:X75,'Common sample'!M6:M75)</x:f>
        <x:v>-0.0009116808389115884</x:v>
      </x:c>
      <x:c r="N28" s="43" t="n">
        <x:f>_xlfn.COVARIANCE.S('Common sample'!X6:X75,'Common sample'!N6:N75)</x:f>
        <x:v>-0.000538751366764009</x:v>
      </x:c>
      <x:c r="O28" s="43" t="n">
        <x:f>_xlfn.COVARIANCE.S('Common sample'!X6:X75,'Common sample'!O6:O75)</x:f>
        <x:v>0.014215439187906968</x:v>
      </x:c>
      <x:c r="P28" s="43" t="n">
        <x:f>_xlfn.COVARIANCE.S('Common sample'!X6:X75,'Common sample'!P6:P75)</x:f>
        <x:v>0.0002712229864626252</x:v>
      </x:c>
      <x:c r="Q28" s="43" t="n">
        <x:f>_xlfn.COVARIANCE.S('Common sample'!X6:X75,'Common sample'!Q6:Q75)</x:f>
        <x:v>0.0032617349631128656</x:v>
      </x:c>
      <x:c r="R28" s="43" t="n">
        <x:f>_xlfn.COVARIANCE.S('Common sample'!X6:X75,'Common sample'!R6:R75)</x:f>
        <x:v>-0.0018823454291133155</x:v>
      </x:c>
      <x:c r="S28" s="43" t="n">
        <x:f>_xlfn.COVARIANCE.S('Common sample'!X6:X75,'Common sample'!S6:S75)</x:f>
        <x:v>-0.0033359400971721275</x:v>
      </x:c>
      <x:c r="T28" s="43" t="n">
        <x:f>_xlfn.COVARIANCE.S('Common sample'!X6:X75,'Common sample'!T6:T75)</x:f>
        <x:v>0.004284854979475592</x:v>
      </x:c>
      <x:c r="U28" s="43" t="n">
        <x:f>_xlfn.COVARIANCE.S('Common sample'!X6:X75,'Common sample'!U6:U75)</x:f>
        <x:v>-0.0019744100755170304</x:v>
      </x:c>
      <x:c r="V28" s="43" t="n">
        <x:f>_xlfn.COVARIANCE.S('Common sample'!X6:X75,'Common sample'!V6:V75)</x:f>
        <x:v>-0.004167653196670912</x:v>
      </x:c>
      <x:c r="W28" s="43" t="n">
        <x:f>_xlfn.COVARIANCE.S('Common sample'!X6:X75,'Common sample'!W6:W75)</x:f>
        <x:v>-0.0007192391356318701</x:v>
      </x:c>
      <x:c r="X28" s="43" t="n">
        <x:f>_xlfn.COVARIANCE.S('Common sample'!X6:X75,'Common sample'!X6:X75)</x:f>
        <x:v>0.021091756768019377</x:v>
      </x:c>
      <x:c r="Y28" s="43" t="n">
        <x:f>_xlfn.COVARIANCE.S('Common sample'!X6:X75,'Common sample'!Y6:Y75)</x:f>
        <x:v>0.002038390456615397</x:v>
      </x:c>
      <x:c r="Z28" s="43" t="n">
        <x:f>_xlfn.COVARIANCE.S('Common sample'!X6:X75,'Common sample'!Z6:Z75)</x:f>
        <x:v>-0.0005558796382368138</x:v>
      </x:c>
      <x:c r="AA28" s="43" t="n">
        <x:f>_xlfn.COVARIANCE.S('Common sample'!X6:X75,'Common sample'!AA6:AA75)</x:f>
        <x:v>-0.001458792979006841</x:v>
      </x:c>
      <x:c r="AB28" s="43" t="n">
        <x:f>_xlfn.COVARIANCE.S('Common sample'!X6:X75,'Common sample'!AB6:AB75)</x:f>
        <x:v>-0.006025854777096536</x:v>
      </x:c>
      <x:c r="AC28" s="43" t="n">
        <x:f>_xlfn.COVARIANCE.S('Common sample'!X6:X75,'Common sample'!AC6:AC75)</x:f>
        <x:v>0.0017447022712525468</x:v>
      </x:c>
      <x:c r="AD28" s="43" t="n">
        <x:f>_xlfn.COVARIANCE.S('Common sample'!X6:X75,'Common sample'!AD6:AD75)</x:f>
        <x:v>0.0036284272605112762</x:v>
      </x:c>
      <x:c r="AE28" s="43" t="n">
        <x:f>_xlfn.COVARIANCE.S('Common sample'!X6:X75,'Common sample'!AE6:AE75)</x:f>
        <x:v>0.0017079447027990153</x:v>
      </x:c>
      <x:c r="AF28" s="43" t="n">
        <x:f>_xlfn.COVARIANCE.S('Common sample'!X6:X75,'Common sample'!AF6:AF75)</x:f>
        <x:v>-0.0004274148269921752</x:v>
      </x:c>
      <x:c r="AG28" s="43" t="n">
        <x:f>_xlfn.COVARIANCE.S('Common sample'!X6:X75,'Common sample'!AG6:AG75)</x:f>
        <x:v>0.0002863117927114219</x:v>
      </x:c>
      <x:c r="AH28" s="43" t="n">
        <x:f>_xlfn.COVARIANCE.S('Common sample'!X6:X75,'Common sample'!AH6:AH75)</x:f>
        <x:v>0.0010132501255381249</x:v>
      </x:c>
      <x:c r="AI28" s="43" t="n">
        <x:f>_xlfn.COVARIANCE.S('Common sample'!X6:X75,'Common sample'!AI6:AI75)</x:f>
        <x:v>0.001667665525938122</x:v>
      </x:c>
      <x:c r="AJ28" s="43" t="n">
        <x:f>_xlfn.COVARIANCE.S('Common sample'!X6:X75,'Common sample'!AJ6:AJ75)</x:f>
        <x:v>-0.00004896980058008731</x:v>
      </x:c>
      <x:c r="AK28" s="43" t="n">
        <x:f>_xlfn.COVARIANCE.S('Common sample'!X6:X75,'Common sample'!AK6:AK75)</x:f>
        <x:v>0.00287041085300586</x:v>
      </x:c>
      <x:c r="AL28" s="43" t="n">
        <x:f>_xlfn.COVARIANCE.S('Common sample'!X6:X75,'Common sample'!AL6:AL75)</x:f>
        <x:v>-0.0037514193552995127</x:v>
      </x:c>
      <x:c r="AM28" s="43" t="n">
        <x:f>_xlfn.COVARIANCE.S('Common sample'!X6:X75,'Common sample'!AM6:AM75)</x:f>
        <x:v>0.0034548504000213964</x:v>
      </x:c>
      <x:c r="AN28" s="43" t="n">
        <x:f>_xlfn.COVARIANCE.S('Common sample'!X6:X75,'Common sample'!AN6:AN75)</x:f>
        <x:v>-0.0006062658820347171</x:v>
      </x:c>
      <x:c r="AO28" s="43" t="n">
        <x:f>_xlfn.COVARIANCE.S('Common sample'!X6:X75,'Common sample'!AO6:AO75)</x:f>
        <x:v>0.0014587894924593925</x:v>
      </x:c>
      <x:c r="AP28" s="43" t="n">
        <x:f>_xlfn.COVARIANCE.S('Common sample'!X6:X75,'Common sample'!AP6:AP75)</x:f>
        <x:v>0.000008116900867703817</x:v>
      </x:c>
      <x:c r="AQ28" s="43" t="n">
        <x:f>_xlfn.COVARIANCE.S('Common sample'!X6:X75,'Common sample'!AQ6:AQ75)</x:f>
        <x:v>-0.00022049776809161502</x:v>
      </x:c>
      <x:c r="AR28" s="43" t="n">
        <x:f>_xlfn.COVARIANCE.S('Common sample'!X6:X75,'Common sample'!AR6:AR75)</x:f>
        <x:v>0.00009746797890356146</x:v>
      </x:c>
    </x:row>
    <x:row r="29" ht="19" customHeight="1">
      <x:c r="A29" s="30" t="str">
        <x:v>NEM</x:v>
      </x:c>
      <x:c r="B29" s="43" t="n">
        <x:f>_xlfn.COVARIANCE.S('Common sample'!Y6:Y75,'Common sample'!B6:B75)</x:f>
        <x:v>-0.00017344902066458766</x:v>
      </x:c>
      <x:c r="C29" s="43" t="n">
        <x:f>_xlfn.COVARIANCE.S('Common sample'!Y6:Y75,'Common sample'!C6:C75)</x:f>
        <x:v>-0.000011589287601301693</x:v>
      </x:c>
      <x:c r="D29" s="43" t="n">
        <x:f>_xlfn.COVARIANCE.S('Common sample'!Y6:Y75,'Common sample'!D6:D75)</x:f>
        <x:v>-0.00010841714441155741</x:v>
      </x:c>
      <x:c r="E29" s="43" t="n">
        <x:f>_xlfn.COVARIANCE.S('Common sample'!Y6:Y75,'Common sample'!E6:E75)</x:f>
        <x:v>-0.0006334015296254414</x:v>
      </x:c>
      <x:c r="F29" s="43" t="n">
        <x:f>_xlfn.COVARIANCE.S('Common sample'!Y6:Y75,'Common sample'!F6:F75)</x:f>
        <x:v>0.0005861257140477627</x:v>
      </x:c>
      <x:c r="G29" s="43" t="n">
        <x:f>_xlfn.COVARIANCE.S('Common sample'!Y6:Y75,'Common sample'!G6:G75)</x:f>
        <x:v>-0.0017490281816838215</x:v>
      </x:c>
      <x:c r="H29" s="43" t="n">
        <x:f>_xlfn.COVARIANCE.S('Common sample'!Y6:Y75,'Common sample'!H6:H75)</x:f>
        <x:v>0.0001060684238422962</x:v>
      </x:c>
      <x:c r="I29" s="43" t="n">
        <x:f>_xlfn.COVARIANCE.S('Common sample'!Y6:Y75,'Common sample'!I6:I75)</x:f>
        <x:v>-0.0006201905268679218</x:v>
      </x:c>
      <x:c r="J29" s="43" t="n">
        <x:f>_xlfn.COVARIANCE.S('Common sample'!Y6:Y75,'Common sample'!J6:J75)</x:f>
        <x:v>0.0017747974810487105</x:v>
      </x:c>
      <x:c r="K29" s="43" t="n">
        <x:f>_xlfn.COVARIANCE.S('Common sample'!Y6:Y75,'Common sample'!K6:K75)</x:f>
        <x:v>-0.0015105354335649232</x:v>
      </x:c>
      <x:c r="L29" s="43" t="n">
        <x:f>_xlfn.COVARIANCE.S('Common sample'!Y6:Y75,'Common sample'!L6:L75)</x:f>
        <x:v>-0.002710193853753159</x:v>
      </x:c>
      <x:c r="M29" s="43" t="n">
        <x:f>_xlfn.COVARIANCE.S('Common sample'!Y6:Y75,'Common sample'!M6:M75)</x:f>
        <x:v>-0.0008363832527482983</x:v>
      </x:c>
      <x:c r="N29" s="43" t="n">
        <x:f>_xlfn.COVARIANCE.S('Common sample'!Y6:Y75,'Common sample'!N6:N75)</x:f>
        <x:v>-0.000826544854196493</x:v>
      </x:c>
      <x:c r="O29" s="43" t="n">
        <x:f>_xlfn.COVARIANCE.S('Common sample'!Y6:Y75,'Common sample'!O6:O75)</x:f>
        <x:v>0.002864939551496231</x:v>
      </x:c>
      <x:c r="P29" s="43" t="n">
        <x:f>_xlfn.COVARIANCE.S('Common sample'!Y6:Y75,'Common sample'!P6:P75)</x:f>
        <x:v>-0.0011969843983188158</x:v>
      </x:c>
      <x:c r="Q29" s="43" t="n">
        <x:f>_xlfn.COVARIANCE.S('Common sample'!Y6:Y75,'Common sample'!Q6:Q75)</x:f>
        <x:v>-0.0013882830973582063</x:v>
      </x:c>
      <x:c r="R29" s="43" t="n">
        <x:f>_xlfn.COVARIANCE.S('Common sample'!Y6:Y75,'Common sample'!R6:R75)</x:f>
        <x:v>0.0010529127058813612</x:v>
      </x:c>
      <x:c r="S29" s="43" t="n">
        <x:f>_xlfn.COVARIANCE.S('Common sample'!Y6:Y75,'Common sample'!S6:S75)</x:f>
        <x:v>-0.0017799852812724114</x:v>
      </x:c>
      <x:c r="T29" s="43" t="n">
        <x:f>_xlfn.COVARIANCE.S('Common sample'!Y6:Y75,'Common sample'!T6:T75)</x:f>
        <x:v>-0.0011021463769584937</x:v>
      </x:c>
      <x:c r="U29" s="43" t="n">
        <x:f>_xlfn.COVARIANCE.S('Common sample'!Y6:Y75,'Common sample'!U6:U75)</x:f>
        <x:v>0.0007008481507271049</x:v>
      </x:c>
      <x:c r="V29" s="43" t="n">
        <x:f>_xlfn.COVARIANCE.S('Common sample'!Y6:Y75,'Common sample'!V6:V75)</x:f>
        <x:v>-0.0005445391711468474</x:v>
      </x:c>
      <x:c r="W29" s="43" t="n">
        <x:f>_xlfn.COVARIANCE.S('Common sample'!Y6:Y75,'Common sample'!W6:W75)</x:f>
        <x:v>-0.00027821060294583316</x:v>
      </x:c>
      <x:c r="X29" s="43" t="n">
        <x:f>_xlfn.COVARIANCE.S('Common sample'!Y6:Y75,'Common sample'!X6:X75)</x:f>
        <x:v>0.002038390456615397</x:v>
      </x:c>
      <x:c r="Y29" s="43" t="n">
        <x:f>_xlfn.COVARIANCE.S('Common sample'!Y6:Y75,'Common sample'!Y6:Y75)</x:f>
        <x:v>0.010055839250456985</x:v>
      </x:c>
      <x:c r="Z29" s="43" t="n">
        <x:f>_xlfn.COVARIANCE.S('Common sample'!Y6:Y75,'Common sample'!Z6:Z75)</x:f>
        <x:v>0.00023301478928569692</x:v>
      </x:c>
      <x:c r="AA29" s="43" t="n">
        <x:f>_xlfn.COVARIANCE.S('Common sample'!Y6:Y75,'Common sample'!AA6:AA75)</x:f>
        <x:v>0.003260786501334782</x:v>
      </x:c>
      <x:c r="AB29" s="43" t="n">
        <x:f>_xlfn.COVARIANCE.S('Common sample'!Y6:Y75,'Common sample'!AB6:AB75)</x:f>
        <x:v>0.001382797105385575</x:v>
      </x:c>
      <x:c r="AC29" s="43" t="n">
        <x:f>_xlfn.COVARIANCE.S('Common sample'!Y6:Y75,'Common sample'!AC6:AC75)</x:f>
        <x:v>-0.00016891542839793356</x:v>
      </x:c>
      <x:c r="AD29" s="43" t="n">
        <x:f>_xlfn.COVARIANCE.S('Common sample'!Y6:Y75,'Common sample'!AD6:AD75)</x:f>
        <x:v>-0.000255218771629828</x:v>
      </x:c>
      <x:c r="AE29" s="43" t="n">
        <x:f>_xlfn.COVARIANCE.S('Common sample'!Y6:Y75,'Common sample'!AE6:AE75)</x:f>
        <x:v>0.0010096996530193022</x:v>
      </x:c>
      <x:c r="AF29" s="43" t="n">
        <x:f>_xlfn.COVARIANCE.S('Common sample'!Y6:Y75,'Common sample'!AF6:AF75)</x:f>
        <x:v>0.000617884003696564</x:v>
      </x:c>
      <x:c r="AG29" s="43" t="n">
        <x:f>_xlfn.COVARIANCE.S('Common sample'!Y6:Y75,'Common sample'!AG6:AG75)</x:f>
        <x:v>0.003676109816182498</x:v>
      </x:c>
      <x:c r="AH29" s="43" t="n">
        <x:f>_xlfn.COVARIANCE.S('Common sample'!Y6:Y75,'Common sample'!AH6:AH75)</x:f>
        <x:v>-0.0010906035031005765</x:v>
      </x:c>
      <x:c r="AI29" s="43" t="n">
        <x:f>_xlfn.COVARIANCE.S('Common sample'!Y6:Y75,'Common sample'!AI6:AI75)</x:f>
        <x:v>-0.00026815515367786217</x:v>
      </x:c>
      <x:c r="AJ29" s="43" t="n">
        <x:f>_xlfn.COVARIANCE.S('Common sample'!Y6:Y75,'Common sample'!AJ6:AJ75)</x:f>
        <x:v>-0.0009017802390207767</x:v>
      </x:c>
      <x:c r="AK29" s="43" t="n">
        <x:f>_xlfn.COVARIANCE.S('Common sample'!Y6:Y75,'Common sample'!AK6:AK75)</x:f>
        <x:v>0.00125184972637956</x:v>
      </x:c>
      <x:c r="AL29" s="43" t="n">
        <x:f>_xlfn.COVARIANCE.S('Common sample'!Y6:Y75,'Common sample'!AL6:AL75)</x:f>
        <x:v>0.0015426356645733238</x:v>
      </x:c>
      <x:c r="AM29" s="43" t="n">
        <x:f>_xlfn.COVARIANCE.S('Common sample'!Y6:Y75,'Common sample'!AM6:AM75)</x:f>
        <x:v>0.0012958382017021596</x:v>
      </x:c>
      <x:c r="AN29" s="43" t="n">
        <x:f>_xlfn.COVARIANCE.S('Common sample'!Y6:Y75,'Common sample'!AN6:AN75)</x:f>
        <x:v>-0.0007936035267035508</x:v>
      </x:c>
      <x:c r="AO29" s="43" t="n">
        <x:f>_xlfn.COVARIANCE.S('Common sample'!Y6:Y75,'Common sample'!AO6:AO75)</x:f>
        <x:v>0.00017852132205601484</x:v>
      </x:c>
      <x:c r="AP29" s="43" t="n">
        <x:f>_xlfn.COVARIANCE.S('Common sample'!Y6:Y75,'Common sample'!AP6:AP75)</x:f>
        <x:v>0.0004492523546230619</x:v>
      </x:c>
      <x:c r="AQ29" s="43" t="n">
        <x:f>_xlfn.COVARIANCE.S('Common sample'!Y6:Y75,'Common sample'!AQ6:AQ75)</x:f>
        <x:v>-0.00011846476323041314</x:v>
      </x:c>
      <x:c r="AR29" s="43" t="n">
        <x:f>_xlfn.COVARIANCE.S('Common sample'!Y6:Y75,'Common sample'!AR6:AR75)</x:f>
        <x:v>0.00027972988201244826</x:v>
      </x:c>
    </x:row>
    <x:row r="30" ht="19" customHeight="1">
      <x:c r="A30" s="30" t="str">
        <x:v>PGR</x:v>
      </x:c>
      <x:c r="B30" s="43" t="n">
        <x:f>_xlfn.COVARIANCE.S('Common sample'!Z6:Z75,'Common sample'!B6:B75)</x:f>
        <x:v>-0.00012461438130052457</x:v>
      </x:c>
      <x:c r="C30" s="43" t="n">
        <x:f>_xlfn.COVARIANCE.S('Common sample'!Z6:Z75,'Common sample'!C6:C75)</x:f>
        <x:v>-0.00032553015298968194</x:v>
      </x:c>
      <x:c r="D30" s="43" t="n">
        <x:f>_xlfn.COVARIANCE.S('Common sample'!Z6:Z75,'Common sample'!D6:D75)</x:f>
        <x:v>0.00004481794838563054</x:v>
      </x:c>
      <x:c r="E30" s="43" t="n">
        <x:f>_xlfn.COVARIANCE.S('Common sample'!Z6:Z75,'Common sample'!E6:E75)</x:f>
        <x:v>0.00004275757243304248</x:v>
      </x:c>
      <x:c r="F30" s="43" t="n">
        <x:f>_xlfn.COVARIANCE.S('Common sample'!Z6:Z75,'Common sample'!F6:F75)</x:f>
        <x:v>0.0005126496074744462</x:v>
      </x:c>
      <x:c r="G30" s="43" t="n">
        <x:f>_xlfn.COVARIANCE.S('Common sample'!Z6:Z75,'Common sample'!G6:G75)</x:f>
        <x:v>0.0004923070203467164</x:v>
      </x:c>
      <x:c r="H30" s="43" t="n">
        <x:f>_xlfn.COVARIANCE.S('Common sample'!Z6:Z75,'Common sample'!H6:H75)</x:f>
        <x:v>-0.000038940498321281696</x:v>
      </x:c>
      <x:c r="I30" s="43" t="n">
        <x:f>_xlfn.COVARIANCE.S('Common sample'!Z6:Z75,'Common sample'!I6:I75)</x:f>
        <x:v>-0.0005737259789309456</x:v>
      </x:c>
      <x:c r="J30" s="43" t="n">
        <x:f>_xlfn.COVARIANCE.S('Common sample'!Z6:Z75,'Common sample'!J6:J75)</x:f>
        <x:v>0.00020307274806045087</x:v>
      </x:c>
      <x:c r="K30" s="43" t="n">
        <x:f>_xlfn.COVARIANCE.S('Common sample'!Z6:Z75,'Common sample'!K6:K75)</x:f>
        <x:v>-0.000271193106566135</x:v>
      </x:c>
      <x:c r="L30" s="43" t="n">
        <x:f>_xlfn.COVARIANCE.S('Common sample'!Z6:Z75,'Common sample'!L6:L75)</x:f>
        <x:v>-0.000549985994636836</x:v>
      </x:c>
      <x:c r="M30" s="43" t="n">
        <x:f>_xlfn.COVARIANCE.S('Common sample'!Z6:Z75,'Common sample'!M6:M75)</x:f>
        <x:v>-0.000451448873431182</x:v>
      </x:c>
      <x:c r="N30" s="43" t="n">
        <x:f>_xlfn.COVARIANCE.S('Common sample'!Z6:Z75,'Common sample'!N6:N75)</x:f>
        <x:v>0.0008744552991235925</x:v>
      </x:c>
      <x:c r="O30" s="43" t="n">
        <x:f>_xlfn.COVARIANCE.S('Common sample'!Z6:Z75,'Common sample'!O6:O75)</x:f>
        <x:v>-0.00022012614717114703</x:v>
      </x:c>
      <x:c r="P30" s="43" t="n">
        <x:f>_xlfn.COVARIANCE.S('Common sample'!Z6:Z75,'Common sample'!P6:P75)</x:f>
        <x:v>0.0001651369249689184</x:v>
      </x:c>
      <x:c r="Q30" s="43" t="n">
        <x:f>_xlfn.COVARIANCE.S('Common sample'!Z6:Z75,'Common sample'!Q6:Q75)</x:f>
        <x:v>-0.0008092962718432311</x:v>
      </x:c>
      <x:c r="R30" s="43" t="n">
        <x:f>_xlfn.COVARIANCE.S('Common sample'!Z6:Z75,'Common sample'!R6:R75)</x:f>
        <x:v>0.00038318880972542025</x:v>
      </x:c>
      <x:c r="S30" s="43" t="n">
        <x:f>_xlfn.COVARIANCE.S('Common sample'!Z6:Z75,'Common sample'!S6:S75)</x:f>
        <x:v>-0.00008342767222797925</x:v>
      </x:c>
      <x:c r="T30" s="43" t="n">
        <x:f>_xlfn.COVARIANCE.S('Common sample'!Z6:Z75,'Common sample'!T6:T75)</x:f>
        <x:v>-0.002248291573112699</x:v>
      </x:c>
      <x:c r="U30" s="43" t="n">
        <x:f>_xlfn.COVARIANCE.S('Common sample'!Z6:Z75,'Common sample'!U6:U75)</x:f>
        <x:v>0.00127776022424874</x:v>
      </x:c>
      <x:c r="V30" s="43" t="n">
        <x:f>_xlfn.COVARIANCE.S('Common sample'!Z6:Z75,'Common sample'!V6:V75)</x:f>
        <x:v>0.00014442664975737658</x:v>
      </x:c>
      <x:c r="W30" s="43" t="n">
        <x:f>_xlfn.COVARIANCE.S('Common sample'!Z6:Z75,'Common sample'!W6:W75)</x:f>
        <x:v>0.0002361257871581981</x:v>
      </x:c>
      <x:c r="X30" s="43" t="n">
        <x:f>_xlfn.COVARIANCE.S('Common sample'!Z6:Z75,'Common sample'!X6:X75)</x:f>
        <x:v>-0.0005558796382368138</x:v>
      </x:c>
      <x:c r="Y30" s="43" t="n">
        <x:f>_xlfn.COVARIANCE.S('Common sample'!Z6:Z75,'Common sample'!Y6:Y75)</x:f>
        <x:v>0.00023301478928569692</x:v>
      </x:c>
      <x:c r="Z30" s="43" t="n">
        <x:f>_xlfn.COVARIANCE.S('Common sample'!Z6:Z75,'Common sample'!Z6:Z75)</x:f>
        <x:v>0.0024715217333341013</x:v>
      </x:c>
      <x:c r="AA30" s="43" t="n">
        <x:f>_xlfn.COVARIANCE.S('Common sample'!Z6:Z75,'Common sample'!AA6:AA75)</x:f>
        <x:v>-0.0006754415884628437</x:v>
      </x:c>
      <x:c r="AB30" s="43" t="n">
        <x:f>_xlfn.COVARIANCE.S('Common sample'!Z6:Z75,'Common sample'!AB6:AB75)</x:f>
        <x:v>-0.0015315659280731293</x:v>
      </x:c>
      <x:c r="AC30" s="43" t="n">
        <x:f>_xlfn.COVARIANCE.S('Common sample'!Z6:Z75,'Common sample'!AC6:AC75)</x:f>
        <x:v>0.0003665304515799921</x:v>
      </x:c>
      <x:c r="AD30" s="43" t="n">
        <x:f>_xlfn.COVARIANCE.S('Common sample'!Z6:Z75,'Common sample'!AD6:AD75)</x:f>
        <x:v>-0.00021530219546488858</x:v>
      </x:c>
      <x:c r="AE30" s="43" t="n">
        <x:f>_xlfn.COVARIANCE.S('Common sample'!Z6:Z75,'Common sample'!AE6:AE75)</x:f>
        <x:v>-0.00010505124056081382</x:v>
      </x:c>
      <x:c r="AF30" s="43" t="n">
        <x:f>_xlfn.COVARIANCE.S('Common sample'!Z6:Z75,'Common sample'!AF6:AF75)</x:f>
        <x:v>-0.00039747559573581343</x:v>
      </x:c>
      <x:c r="AG30" s="43" t="n">
        <x:f>_xlfn.COVARIANCE.S('Common sample'!Z6:Z75,'Common sample'!AG6:AG75)</x:f>
        <x:v>-0.0006552766431816805</x:v>
      </x:c>
      <x:c r="AH30" s="43" t="n">
        <x:f>_xlfn.COVARIANCE.S('Common sample'!Z6:Z75,'Common sample'!AH6:AH75)</x:f>
        <x:v>-0.0001239796342232937</x:v>
      </x:c>
      <x:c r="AI30" s="43" t="n">
        <x:f>_xlfn.COVARIANCE.S('Common sample'!Z6:Z75,'Common sample'!AI6:AI75)</x:f>
        <x:v>0.00008047536417942893</x:v>
      </x:c>
      <x:c r="AJ30" s="43" t="n">
        <x:f>_xlfn.COVARIANCE.S('Common sample'!Z6:Z75,'Common sample'!AJ6:AJ75)</x:f>
        <x:v>0.00029577123089542947</x:v>
      </x:c>
      <x:c r="AK30" s="43" t="n">
        <x:f>_xlfn.COVARIANCE.S('Common sample'!Z6:Z75,'Common sample'!AK6:AK75)</x:f>
        <x:v>0.00008209758225127367</x:v>
      </x:c>
      <x:c r="AL30" s="43" t="n">
        <x:f>_xlfn.COVARIANCE.S('Common sample'!Z6:Z75,'Common sample'!AL6:AL75)</x:f>
        <x:v>0.00014844333132002494</x:v>
      </x:c>
      <x:c r="AM30" s="43" t="n">
        <x:f>_xlfn.COVARIANCE.S('Common sample'!Z6:Z75,'Common sample'!AM6:AM75)</x:f>
        <x:v>-0.0005725606140716152</x:v>
      </x:c>
      <x:c r="AN30" s="43" t="n">
        <x:f>_xlfn.COVARIANCE.S('Common sample'!Z6:Z75,'Common sample'!AN6:AN75)</x:f>
        <x:v>0.00025257671984860397</x:v>
      </x:c>
      <x:c r="AO30" s="43" t="n">
        <x:f>_xlfn.COVARIANCE.S('Common sample'!Z6:Z75,'Common sample'!AO6:AO75)</x:f>
        <x:v>-0.00006116401402873001</x:v>
      </x:c>
      <x:c r="AP30" s="43" t="n">
        <x:f>_xlfn.COVARIANCE.S('Common sample'!Z6:Z75,'Common sample'!AP6:AP75)</x:f>
        <x:v>0.00006964613294673408</x:v>
      </x:c>
      <x:c r="AQ30" s="43" t="n">
        <x:f>_xlfn.COVARIANCE.S('Common sample'!Z6:Z75,'Common sample'!AQ6:AQ75)</x:f>
        <x:v>-0.00017283058043396135</x:v>
      </x:c>
      <x:c r="AR30" s="43" t="n">
        <x:f>_xlfn.COVARIANCE.S('Common sample'!Z6:Z75,'Common sample'!AR6:AR75)</x:f>
        <x:v>0.0004392377991067764</x:v>
      </x:c>
    </x:row>
    <x:row r="31" ht="19" customHeight="1">
      <x:c r="A31" s="30" t="str">
        <x:v>ORKA</x:v>
      </x:c>
      <x:c r="B31" s="43" t="n">
        <x:f>_xlfn.COVARIANCE.S('Common sample'!AA6:AA75,'Common sample'!B6:B75)</x:f>
        <x:v>-0.0026952931026373115</x:v>
      </x:c>
      <x:c r="C31" s="43" t="n">
        <x:f>_xlfn.COVARIANCE.S('Common sample'!AA6:AA75,'Common sample'!C6:C75)</x:f>
        <x:v>-0.0018754875137273386</x:v>
      </x:c>
      <x:c r="D31" s="43" t="n">
        <x:f>_xlfn.COVARIANCE.S('Common sample'!AA6:AA75,'Common sample'!D6:D75)</x:f>
        <x:v>-0.0006551488927708493</x:v>
      </x:c>
      <x:c r="E31" s="43" t="n">
        <x:f>_xlfn.COVARIANCE.S('Common sample'!AA6:AA75,'Common sample'!E6:E75)</x:f>
        <x:v>-0.0005408337962846139</x:v>
      </x:c>
      <x:c r="F31" s="43" t="n">
        <x:f>_xlfn.COVARIANCE.S('Common sample'!AA6:AA75,'Common sample'!F6:F75)</x:f>
        <x:v>-0.002181117170111453</x:v>
      </x:c>
      <x:c r="G31" s="43" t="n">
        <x:f>_xlfn.COVARIANCE.S('Common sample'!AA6:AA75,'Common sample'!G6:G75)</x:f>
        <x:v>0.0015585737801434533</x:v>
      </x:c>
      <x:c r="H31" s="43" t="n">
        <x:f>_xlfn.COVARIANCE.S('Common sample'!AA6:AA75,'Common sample'!H6:H75)</x:f>
        <x:v>0.002596075127094177</x:v>
      </x:c>
      <x:c r="I31" s="43" t="n">
        <x:f>_xlfn.COVARIANCE.S('Common sample'!AA6:AA75,'Common sample'!I6:I75)</x:f>
        <x:v>-0.002494677576293143</x:v>
      </x:c>
      <x:c r="J31" s="43" t="n">
        <x:f>_xlfn.COVARIANCE.S('Common sample'!AA6:AA75,'Common sample'!J6:J75)</x:f>
        <x:v>0.001819431856977914</x:v>
      </x:c>
      <x:c r="K31" s="43" t="n">
        <x:f>_xlfn.COVARIANCE.S('Common sample'!AA6:AA75,'Common sample'!K6:K75)</x:f>
        <x:v>0.002766442991827611</x:v>
      </x:c>
      <x:c r="L31" s="43" t="n">
        <x:f>_xlfn.COVARIANCE.S('Common sample'!AA6:AA75,'Common sample'!L6:L75)</x:f>
        <x:v>0.0002558786313787477</x:v>
      </x:c>
      <x:c r="M31" s="43" t="n">
        <x:f>_xlfn.COVARIANCE.S('Common sample'!AA6:AA75,'Common sample'!M6:M75)</x:f>
        <x:v>-0.0001879225664044448</x:v>
      </x:c>
      <x:c r="N31" s="43" t="n">
        <x:f>_xlfn.COVARIANCE.S('Common sample'!AA6:AA75,'Common sample'!N6:N75)</x:f>
        <x:v>-0.005171794827139011</x:v>
      </x:c>
      <x:c r="O31" s="43" t="n">
        <x:f>_xlfn.COVARIANCE.S('Common sample'!AA6:AA75,'Common sample'!O6:O75)</x:f>
        <x:v>0.0029068487006276844</x:v>
      </x:c>
      <x:c r="P31" s="43" t="n">
        <x:f>_xlfn.COVARIANCE.S('Common sample'!AA6:AA75,'Common sample'!P6:P75)</x:f>
        <x:v>-0.0011180221473773098</x:v>
      </x:c>
      <x:c r="Q31" s="43" t="n">
        <x:f>_xlfn.COVARIANCE.S('Common sample'!AA6:AA75,'Common sample'!Q6:Q75)</x:f>
        <x:v>-0.006838179113842345</x:v>
      </x:c>
      <x:c r="R31" s="43" t="n">
        <x:f>_xlfn.COVARIANCE.S('Common sample'!AA6:AA75,'Common sample'!R6:R75)</x:f>
        <x:v>-0.0015079682272575979</x:v>
      </x:c>
      <x:c r="S31" s="43" t="n">
        <x:f>_xlfn.COVARIANCE.S('Common sample'!AA6:AA75,'Common sample'!S6:S75)</x:f>
        <x:v>-0.003925048251000214</x:v>
      </x:c>
      <x:c r="T31" s="43" t="n">
        <x:f>_xlfn.COVARIANCE.S('Common sample'!AA6:AA75,'Common sample'!T6:T75)</x:f>
        <x:v>0.006575273038032295</x:v>
      </x:c>
      <x:c r="U31" s="43" t="n">
        <x:f>_xlfn.COVARIANCE.S('Common sample'!AA6:AA75,'Common sample'!U6:U75)</x:f>
        <x:v>-0.0026721412305857036</x:v>
      </x:c>
      <x:c r="V31" s="43" t="n">
        <x:f>_xlfn.COVARIANCE.S('Common sample'!AA6:AA75,'Common sample'!V6:V75)</x:f>
        <x:v>-0.005746199482529631</x:v>
      </x:c>
      <x:c r="W31" s="43" t="n">
        <x:f>_xlfn.COVARIANCE.S('Common sample'!AA6:AA75,'Common sample'!W6:W75)</x:f>
        <x:v>0.00003559406836475902</x:v>
      </x:c>
      <x:c r="X31" s="43" t="n">
        <x:f>_xlfn.COVARIANCE.S('Common sample'!AA6:AA75,'Common sample'!X6:X75)</x:f>
        <x:v>-0.001458792979006841</x:v>
      </x:c>
      <x:c r="Y31" s="43" t="n">
        <x:f>_xlfn.COVARIANCE.S('Common sample'!AA6:AA75,'Common sample'!Y6:Y75)</x:f>
        <x:v>0.003260786501334782</x:v>
      </x:c>
      <x:c r="Z31" s="43" t="n">
        <x:f>_xlfn.COVARIANCE.S('Common sample'!AA6:AA75,'Common sample'!Z6:Z75)</x:f>
        <x:v>-0.0006754415884628437</x:v>
      </x:c>
      <x:c r="AA31" s="43" t="n">
        <x:f>_xlfn.COVARIANCE.S('Common sample'!AA6:AA75,'Common sample'!AA6:AA75)</x:f>
        <x:v>0.04134511241338107</x:v>
      </x:c>
      <x:c r="AB31" s="43" t="n">
        <x:f>_xlfn.COVARIANCE.S('Common sample'!AA6:AA75,'Common sample'!AB6:AB75)</x:f>
        <x:v>-0.00032698875630966605</x:v>
      </x:c>
      <x:c r="AC31" s="43" t="n">
        <x:f>_xlfn.COVARIANCE.S('Common sample'!AA6:AA75,'Common sample'!AC6:AC75)</x:f>
        <x:v>-0.000931786126336126</x:v>
      </x:c>
      <x:c r="AD31" s="43" t="n">
        <x:f>_xlfn.COVARIANCE.S('Common sample'!AA6:AA75,'Common sample'!AD6:AD75)</x:f>
        <x:v>-0.0029490974718858086</x:v>
      </x:c>
      <x:c r="AE31" s="43" t="n">
        <x:f>_xlfn.COVARIANCE.S('Common sample'!AA6:AA75,'Common sample'!AE6:AE75)</x:f>
        <x:v>-0.0006832988048851676</x:v>
      </x:c>
      <x:c r="AF31" s="43" t="n">
        <x:f>_xlfn.COVARIANCE.S('Common sample'!AA6:AA75,'Common sample'!AF6:AF75)</x:f>
        <x:v>-0.002662952241890331</x:v>
      </x:c>
      <x:c r="AG31" s="43" t="n">
        <x:f>_xlfn.COVARIANCE.S('Common sample'!AA6:AA75,'Common sample'!AG6:AG75)</x:f>
        <x:v>-0.0003194825896242943</x:v>
      </x:c>
      <x:c r="AH31" s="43" t="n">
        <x:f>_xlfn.COVARIANCE.S('Common sample'!AA6:AA75,'Common sample'!AH6:AH75)</x:f>
        <x:v>0.007251548106847739</x:v>
      </x:c>
      <x:c r="AI31" s="43" t="n">
        <x:f>_xlfn.COVARIANCE.S('Common sample'!AA6:AA75,'Common sample'!AI6:AI75)</x:f>
        <x:v>-0.003492576385023666</x:v>
      </x:c>
      <x:c r="AJ31" s="43" t="n">
        <x:f>_xlfn.COVARIANCE.S('Common sample'!AA6:AA75,'Common sample'!AJ6:AJ75)</x:f>
        <x:v>0.0016187414316726322</x:v>
      </x:c>
      <x:c r="AK31" s="43" t="n">
        <x:f>_xlfn.COVARIANCE.S('Common sample'!AA6:AA75,'Common sample'!AK6:AK75)</x:f>
        <x:v>-0.0023462449366420967</x:v>
      </x:c>
      <x:c r="AL31" s="43" t="n">
        <x:f>_xlfn.COVARIANCE.S('Common sample'!AA6:AA75,'Common sample'!AL6:AL75)</x:f>
        <x:v>0.0012932502980865501</x:v>
      </x:c>
      <x:c r="AM31" s="43" t="n">
        <x:f>_xlfn.COVARIANCE.S('Common sample'!AA6:AA75,'Common sample'!AM6:AM75)</x:f>
        <x:v>0.0014801941564018687</x:v>
      </x:c>
      <x:c r="AN31" s="43" t="n">
        <x:f>_xlfn.COVARIANCE.S('Common sample'!AA6:AA75,'Common sample'!AN6:AN75)</x:f>
        <x:v>-0.0031248701934281546</x:v>
      </x:c>
      <x:c r="AO31" s="43" t="n">
        <x:f>_xlfn.COVARIANCE.S('Common sample'!AA6:AA75,'Common sample'!AO6:AO75)</x:f>
        <x:v>-0.003270641960717302</x:v>
      </x:c>
      <x:c r="AP31" s="43" t="n">
        <x:f>_xlfn.COVARIANCE.S('Common sample'!AA6:AA75,'Common sample'!AP6:AP75)</x:f>
        <x:v>-0.0012279674074497178</x:v>
      </x:c>
      <x:c r="AQ31" s="43" t="n">
        <x:f>_xlfn.COVARIANCE.S('Common sample'!AA6:AA75,'Common sample'!AQ6:AQ75)</x:f>
        <x:v>0.0012015821697677583</x:v>
      </x:c>
      <x:c r="AR31" s="43" t="n">
        <x:f>_xlfn.COVARIANCE.S('Common sample'!AA6:AA75,'Common sample'!AR6:AR75)</x:f>
        <x:v>-0.0027743763581356104</x:v>
      </x:c>
    </x:row>
    <x:row r="32" ht="19" customHeight="1">
      <x:c r="A32" s="30" t="str">
        <x:v>UPST</x:v>
      </x:c>
      <x:c r="B32" s="43" t="n">
        <x:f>_xlfn.COVARIANCE.S('Common sample'!AB6:AB75,'Common sample'!B6:B75)</x:f>
        <x:v>-0.0007010244884211926</x:v>
      </x:c>
      <x:c r="C32" s="43" t="n">
        <x:f>_xlfn.COVARIANCE.S('Common sample'!AB6:AB75,'Common sample'!C6:C75)</x:f>
        <x:v>0.003167421726087324</x:v>
      </x:c>
      <x:c r="D32" s="43" t="n">
        <x:f>_xlfn.COVARIANCE.S('Common sample'!AB6:AB75,'Common sample'!D6:D75)</x:f>
        <x:v>-0.0010220922845924857</x:v>
      </x:c>
      <x:c r="E32" s="43" t="n">
        <x:f>_xlfn.COVARIANCE.S('Common sample'!AB6:AB75,'Common sample'!E6:E75)</x:f>
        <x:v>0.0017028846237862147</x:v>
      </x:c>
      <x:c r="F32" s="43" t="n">
        <x:f>_xlfn.COVARIANCE.S('Common sample'!AB6:AB75,'Common sample'!F6:F75)</x:f>
        <x:v>-0.0028098667755517316</x:v>
      </x:c>
      <x:c r="G32" s="43" t="n">
        <x:f>_xlfn.COVARIANCE.S('Common sample'!AB6:AB75,'Common sample'!G6:G75)</x:f>
        <x:v>0.0024958531108190017</x:v>
      </x:c>
      <x:c r="H32" s="43" t="n">
        <x:f>_xlfn.COVARIANCE.S('Common sample'!AB6:AB75,'Common sample'!H6:H75)</x:f>
        <x:v>-0.0012938355661725122</x:v>
      </x:c>
      <x:c r="I32" s="43" t="n">
        <x:f>_xlfn.COVARIANCE.S('Common sample'!AB6:AB75,'Common sample'!I6:I75)</x:f>
        <x:v>-0.005087348960344712</x:v>
      </x:c>
      <x:c r="J32" s="43" t="n">
        <x:f>_xlfn.COVARIANCE.S('Common sample'!AB6:AB75,'Common sample'!J6:J75)</x:f>
        <x:v>-0.005729555774260834</x:v>
      </x:c>
      <x:c r="K32" s="43" t="n">
        <x:f>_xlfn.COVARIANCE.S('Common sample'!AB6:AB75,'Common sample'!K6:K75)</x:f>
        <x:v>-0.0014537086812185186</x:v>
      </x:c>
      <x:c r="L32" s="43" t="n">
        <x:f>_xlfn.COVARIANCE.S('Common sample'!AB6:AB75,'Common sample'!L6:L75)</x:f>
        <x:v>0.00022636276239803966</x:v>
      </x:c>
      <x:c r="M32" s="43" t="n">
        <x:f>_xlfn.COVARIANCE.S('Common sample'!AB6:AB75,'Common sample'!M6:M75)</x:f>
        <x:v>0.00001880375690131156</x:v>
      </x:c>
      <x:c r="N32" s="43" t="n">
        <x:f>_xlfn.COVARIANCE.S('Common sample'!AB6:AB75,'Common sample'!N6:N75)</x:f>
        <x:v>0.0026541578027854187</x:v>
      </x:c>
      <x:c r="O32" s="43" t="n">
        <x:f>_xlfn.COVARIANCE.S('Common sample'!AB6:AB75,'Common sample'!O6:O75)</x:f>
        <x:v>-0.005163208563914991</x:v>
      </x:c>
      <x:c r="P32" s="43" t="n">
        <x:f>_xlfn.COVARIANCE.S('Common sample'!AB6:AB75,'Common sample'!P6:P75)</x:f>
        <x:v>0.002341275767106337</x:v>
      </x:c>
      <x:c r="Q32" s="43" t="n">
        <x:f>_xlfn.COVARIANCE.S('Common sample'!AB6:AB75,'Common sample'!Q6:Q75)</x:f>
        <x:v>0.006120375471960759</x:v>
      </x:c>
      <x:c r="R32" s="43" t="n">
        <x:f>_xlfn.COVARIANCE.S('Common sample'!AB6:AB75,'Common sample'!R6:R75)</x:f>
        <x:v>-0.0016712108987078991</x:v>
      </x:c>
      <x:c r="S32" s="43" t="n">
        <x:f>_xlfn.COVARIANCE.S('Common sample'!AB6:AB75,'Common sample'!S6:S75)</x:f>
        <x:v>0.003829893288314671</x:v>
      </x:c>
      <x:c r="T32" s="43" t="n">
        <x:f>_xlfn.COVARIANCE.S('Common sample'!AB6:AB75,'Common sample'!T6:T75)</x:f>
        <x:v>-0.0015691588216973041</x:v>
      </x:c>
      <x:c r="U32" s="43" t="n">
        <x:f>_xlfn.COVARIANCE.S('Common sample'!AB6:AB75,'Common sample'!U6:U75)</x:f>
        <x:v>0.0002809246443439903</x:v>
      </x:c>
      <x:c r="V32" s="43" t="n">
        <x:f>_xlfn.COVARIANCE.S('Common sample'!AB6:AB75,'Common sample'!V6:V75)</x:f>
        <x:v>-0.0008843313170500088</x:v>
      </x:c>
      <x:c r="W32" s="43" t="n">
        <x:f>_xlfn.COVARIANCE.S('Common sample'!AB6:AB75,'Common sample'!W6:W75)</x:f>
        <x:v>0.0003455289037029473</x:v>
      </x:c>
      <x:c r="X32" s="43" t="n">
        <x:f>_xlfn.COVARIANCE.S('Common sample'!AB6:AB75,'Common sample'!X6:X75)</x:f>
        <x:v>-0.006025854777096536</x:v>
      </x:c>
      <x:c r="Y32" s="43" t="n">
        <x:f>_xlfn.COVARIANCE.S('Common sample'!AB6:AB75,'Common sample'!Y6:Y75)</x:f>
        <x:v>0.001382797105385575</x:v>
      </x:c>
      <x:c r="Z32" s="43" t="n">
        <x:f>_xlfn.COVARIANCE.S('Common sample'!AB6:AB75,'Common sample'!Z6:Z75)</x:f>
        <x:v>-0.0015315659280731293</x:v>
      </x:c>
      <x:c r="AA32" s="43" t="n">
        <x:f>_xlfn.COVARIANCE.S('Common sample'!AB6:AB75,'Common sample'!AA6:AA75)</x:f>
        <x:v>-0.00032698875630966605</x:v>
      </x:c>
      <x:c r="AB32" s="43" t="n">
        <x:f>_xlfn.COVARIANCE.S('Common sample'!AB6:AB75,'Common sample'!AB6:AB75)</x:f>
        <x:v>0.0527011337905064</x:v>
      </x:c>
      <x:c r="AC32" s="43" t="n">
        <x:f>_xlfn.COVARIANCE.S('Common sample'!AB6:AB75,'Common sample'!AC6:AC75)</x:f>
        <x:v>-0.0024799239561819945</x:v>
      </x:c>
      <x:c r="AD32" s="43" t="n">
        <x:f>_xlfn.COVARIANCE.S('Common sample'!AB6:AB75,'Common sample'!AD6:AD75)</x:f>
        <x:v>-0.0034775073952608426</x:v>
      </x:c>
      <x:c r="AE32" s="43" t="n">
        <x:f>_xlfn.COVARIANCE.S('Common sample'!AB6:AB75,'Common sample'!AE6:AE75)</x:f>
        <x:v>0.0009454172600892053</x:v>
      </x:c>
      <x:c r="AF32" s="43" t="n">
        <x:f>_xlfn.COVARIANCE.S('Common sample'!AB6:AB75,'Common sample'!AF6:AF75)</x:f>
        <x:v>-0.0008077480594443388</x:v>
      </x:c>
      <x:c r="AG32" s="43" t="n">
        <x:f>_xlfn.COVARIANCE.S('Common sample'!AB6:AB75,'Common sample'!AG6:AG75)</x:f>
        <x:v>-0.00124160827663813</x:v>
      </x:c>
      <x:c r="AH32" s="43" t="n">
        <x:f>_xlfn.COVARIANCE.S('Common sample'!AB6:AB75,'Common sample'!AH6:AH75)</x:f>
        <x:v>-0.003028086169179266</x:v>
      </x:c>
      <x:c r="AI32" s="43" t="n">
        <x:f>_xlfn.COVARIANCE.S('Common sample'!AB6:AB75,'Common sample'!AI6:AI75)</x:f>
        <x:v>-0.0003272681994502996</x:v>
      </x:c>
      <x:c r="AJ32" s="43" t="n">
        <x:f>_xlfn.COVARIANCE.S('Common sample'!AB6:AB75,'Common sample'!AJ6:AJ75)</x:f>
        <x:v>-0.0011054759974754888</x:v>
      </x:c>
      <x:c r="AK32" s="43" t="n">
        <x:f>_xlfn.COVARIANCE.S('Common sample'!AB6:AB75,'Common sample'!AK6:AK75)</x:f>
        <x:v>-0.008817486313969385</x:v>
      </x:c>
      <x:c r="AL32" s="43" t="n">
        <x:f>_xlfn.COVARIANCE.S('Common sample'!AB6:AB75,'Common sample'!AL6:AL75)</x:f>
        <x:v>0.0000022759525661471525</x:v>
      </x:c>
      <x:c r="AM32" s="43" t="n">
        <x:f>_xlfn.COVARIANCE.S('Common sample'!AB6:AB75,'Common sample'!AM6:AM75)</x:f>
        <x:v>0.0001691404867935727</x:v>
      </x:c>
      <x:c r="AN32" s="43" t="n">
        <x:f>_xlfn.COVARIANCE.S('Common sample'!AB6:AB75,'Common sample'!AN6:AN75)</x:f>
        <x:v>0.00005295851519096055</x:v>
      </x:c>
      <x:c r="AO32" s="43" t="n">
        <x:f>_xlfn.COVARIANCE.S('Common sample'!AB6:AB75,'Common sample'!AO6:AO75)</x:f>
        <x:v>-0.0010143796678511122</x:v>
      </x:c>
      <x:c r="AP32" s="43" t="n">
        <x:f>_xlfn.COVARIANCE.S('Common sample'!AB6:AB75,'Common sample'!AP6:AP75)</x:f>
        <x:v>-0.0011528762208571415</x:v>
      </x:c>
      <x:c r="AQ32" s="43" t="n">
        <x:f>_xlfn.COVARIANCE.S('Common sample'!AB6:AB75,'Common sample'!AQ6:AQ75)</x:f>
        <x:v>0.00012461949948307038</x:v>
      </x:c>
      <x:c r="AR32" s="43" t="n">
        <x:f>_xlfn.COVARIANCE.S('Common sample'!AB6:AB75,'Common sample'!AR6:AR75)</x:f>
        <x:v>-0.0017631962879862456</x:v>
      </x:c>
    </x:row>
    <x:row r="33" ht="19" customHeight="1">
      <x:c r="A33" s="30" t="str">
        <x:v>PG</x:v>
      </x:c>
      <x:c r="B33" s="43" t="n">
        <x:f>_xlfn.COVARIANCE.S('Common sample'!AC6:AC75,'Common sample'!B6:B75)</x:f>
        <x:v>0.0011928197464637555</x:v>
      </x:c>
      <x:c r="C33" s="43" t="n">
        <x:f>_xlfn.COVARIANCE.S('Common sample'!AC6:AC75,'Common sample'!C6:C75)</x:f>
        <x:v>-0.00039965504250528077</x:v>
      </x:c>
      <x:c r="D33" s="43" t="n">
        <x:f>_xlfn.COVARIANCE.S('Common sample'!AC6:AC75,'Common sample'!D6:D75)</x:f>
        <x:v>0.00025372981805192856</x:v>
      </x:c>
      <x:c r="E33" s="43" t="n">
        <x:f>_xlfn.COVARIANCE.S('Common sample'!AC6:AC75,'Common sample'!E6:E75)</x:f>
        <x:v>0.00006809283129140053</x:v>
      </x:c>
      <x:c r="F33" s="43" t="n">
        <x:f>_xlfn.COVARIANCE.S('Common sample'!AC6:AC75,'Common sample'!F6:F75)</x:f>
        <x:v>0.0007627469763855656</x:v>
      </x:c>
      <x:c r="G33" s="43" t="n">
        <x:f>_xlfn.COVARIANCE.S('Common sample'!AC6:AC75,'Common sample'!G6:G75)</x:f>
        <x:v>0.00004086004058854991</x:v>
      </x:c>
      <x:c r="H33" s="43" t="n">
        <x:f>_xlfn.COVARIANCE.S('Common sample'!AC6:AC75,'Common sample'!H6:H75)</x:f>
        <x:v>0.000028953803064561626</x:v>
      </x:c>
      <x:c r="I33" s="43" t="n">
        <x:f>_xlfn.COVARIANCE.S('Common sample'!AC6:AC75,'Common sample'!I6:I75)</x:f>
        <x:v>0.000586497505072984</x:v>
      </x:c>
      <x:c r="J33" s="43" t="n">
        <x:f>_xlfn.COVARIANCE.S('Common sample'!AC6:AC75,'Common sample'!J6:J75)</x:f>
        <x:v>0.0009651555388362179</x:v>
      </x:c>
      <x:c r="K33" s="43" t="n">
        <x:f>_xlfn.COVARIANCE.S('Common sample'!AC6:AC75,'Common sample'!K6:K75)</x:f>
        <x:v>0.00011249060105145595</x:v>
      </x:c>
      <x:c r="L33" s="43" t="n">
        <x:f>_xlfn.COVARIANCE.S('Common sample'!AC6:AC75,'Common sample'!L6:L75)</x:f>
        <x:v>-0.0008190312684023582</x:v>
      </x:c>
      <x:c r="M33" s="43" t="n">
        <x:f>_xlfn.COVARIANCE.S('Common sample'!AC6:AC75,'Common sample'!M6:M75)</x:f>
        <x:v>-0.00011236186764788287</x:v>
      </x:c>
      <x:c r="N33" s="43" t="n">
        <x:f>_xlfn.COVARIANCE.S('Common sample'!AC6:AC75,'Common sample'!N6:N75)</x:f>
        <x:v>0.00008120547387137827</x:v>
      </x:c>
      <x:c r="O33" s="43" t="n">
        <x:f>_xlfn.COVARIANCE.S('Common sample'!AC6:AC75,'Common sample'!O6:O75)</x:f>
        <x:v>0.001566230888158988</x:v>
      </x:c>
      <x:c r="P33" s="43" t="n">
        <x:f>_xlfn.COVARIANCE.S('Common sample'!AC6:AC75,'Common sample'!P6:P75)</x:f>
        <x:v>-0.0006057611110987766</x:v>
      </x:c>
      <x:c r="Q33" s="43" t="n">
        <x:f>_xlfn.COVARIANCE.S('Common sample'!AC6:AC75,'Common sample'!Q6:Q75)</x:f>
        <x:v>-0.0014637423139087647</x:v>
      </x:c>
      <x:c r="R33" s="43" t="n">
        <x:f>_xlfn.COVARIANCE.S('Common sample'!AC6:AC75,'Common sample'!R6:R75)</x:f>
        <x:v>0.000048407784481574515</x:v>
      </x:c>
      <x:c r="S33" s="43" t="n">
        <x:f>_xlfn.COVARIANCE.S('Common sample'!AC6:AC75,'Common sample'!S6:S75)</x:f>
        <x:v>-0.0003473100871091172</x:v>
      </x:c>
      <x:c r="T33" s="43" t="n">
        <x:f>_xlfn.COVARIANCE.S('Common sample'!AC6:AC75,'Common sample'!T6:T75)</x:f>
        <x:v>0.0003917774645646646</x:v>
      </x:c>
      <x:c r="U33" s="43" t="n">
        <x:f>_xlfn.COVARIANCE.S('Common sample'!AC6:AC75,'Common sample'!U6:U75)</x:f>
        <x:v>0.00028540808369370145</x:v>
      </x:c>
      <x:c r="V33" s="43" t="n">
        <x:f>_xlfn.COVARIANCE.S('Common sample'!AC6:AC75,'Common sample'!V6:V75)</x:f>
        <x:v>-0.000469702282271552</x:v>
      </x:c>
      <x:c r="W33" s="43" t="n">
        <x:f>_xlfn.COVARIANCE.S('Common sample'!AC6:AC75,'Common sample'!W6:W75)</x:f>
        <x:v>0.0003692316458454269</x:v>
      </x:c>
      <x:c r="X33" s="43" t="n">
        <x:f>_xlfn.COVARIANCE.S('Common sample'!AC6:AC75,'Common sample'!X6:X75)</x:f>
        <x:v>0.0017447022712525468</x:v>
      </x:c>
      <x:c r="Y33" s="43" t="n">
        <x:f>_xlfn.COVARIANCE.S('Common sample'!AC6:AC75,'Common sample'!Y6:Y75)</x:f>
        <x:v>-0.00016891542839793356</x:v>
      </x:c>
      <x:c r="Z33" s="43" t="n">
        <x:f>_xlfn.COVARIANCE.S('Common sample'!AC6:AC75,'Common sample'!Z6:Z75)</x:f>
        <x:v>0.0003665304515799921</x:v>
      </x:c>
      <x:c r="AA33" s="43" t="n">
        <x:f>_xlfn.COVARIANCE.S('Common sample'!AC6:AC75,'Common sample'!AA6:AA75)</x:f>
        <x:v>-0.000931786126336126</x:v>
      </x:c>
      <x:c r="AB33" s="43" t="n">
        <x:f>_xlfn.COVARIANCE.S('Common sample'!AC6:AC75,'Common sample'!AB6:AB75)</x:f>
        <x:v>-0.0024799239561819945</x:v>
      </x:c>
      <x:c r="AC33" s="43" t="n">
        <x:f>_xlfn.COVARIANCE.S('Common sample'!AC6:AC75,'Common sample'!AC6:AC75)</x:f>
        <x:v>0.0012491324822599748</x:v>
      </x:c>
      <x:c r="AD33" s="43" t="n">
        <x:f>_xlfn.COVARIANCE.S('Common sample'!AC6:AC75,'Common sample'!AD6:AD75)</x:f>
        <x:v>0.0004226193932196518</x:v>
      </x:c>
      <x:c r="AE33" s="43" t="n">
        <x:f>_xlfn.COVARIANCE.S('Common sample'!AC6:AC75,'Common sample'!AE6:AE75)</x:f>
        <x:v>-0.00017564300253370343</x:v>
      </x:c>
      <x:c r="AF33" s="43" t="n">
        <x:f>_xlfn.COVARIANCE.S('Common sample'!AC6:AC75,'Common sample'!AF6:AF75)</x:f>
        <x:v>-0.00003640664185881257</x:v>
      </x:c>
      <x:c r="AG33" s="43" t="n">
        <x:f>_xlfn.COVARIANCE.S('Common sample'!AC6:AC75,'Common sample'!AG6:AG75)</x:f>
        <x:v>-0.0003802823639787252</x:v>
      </x:c>
      <x:c r="AH33" s="43" t="n">
        <x:f>_xlfn.COVARIANCE.S('Common sample'!AC6:AC75,'Common sample'!AH6:AH75)</x:f>
        <x:v>-0.00006742141809523587</x:v>
      </x:c>
      <x:c r="AI33" s="43" t="n">
        <x:f>_xlfn.COVARIANCE.S('Common sample'!AC6:AC75,'Common sample'!AI6:AI75)</x:f>
        <x:v>0.0002483165928335266</x:v>
      </x:c>
      <x:c r="AJ33" s="43" t="n">
        <x:f>_xlfn.COVARIANCE.S('Common sample'!AC6:AC75,'Common sample'!AJ6:AJ75)</x:f>
        <x:v>0.000426627958137323</x:v>
      </x:c>
      <x:c r="AK33" s="43" t="n">
        <x:f>_xlfn.COVARIANCE.S('Common sample'!AC6:AC75,'Common sample'!AK6:AK75)</x:f>
        <x:v>-0.00003217432349877842</x:v>
      </x:c>
      <x:c r="AL33" s="43" t="n">
        <x:f>_xlfn.COVARIANCE.S('Common sample'!AC6:AC75,'Common sample'!AL6:AL75)</x:f>
        <x:v>-0.0002619963860265087</x:v>
      </x:c>
      <x:c r="AM33" s="43" t="n">
        <x:f>_xlfn.COVARIANCE.S('Common sample'!AC6:AC75,'Common sample'!AM6:AM75)</x:f>
        <x:v>0.0002699232036036856</x:v>
      </x:c>
      <x:c r="AN33" s="43" t="n">
        <x:f>_xlfn.COVARIANCE.S('Common sample'!AC6:AC75,'Common sample'!AN6:AN75)</x:f>
        <x:v>0.000270882363863129</x:v>
      </x:c>
      <x:c r="AO33" s="43" t="n">
        <x:f>_xlfn.COVARIANCE.S('Common sample'!AC6:AC75,'Common sample'!AO6:AO75)</x:f>
        <x:v>0.0008923880076718424</x:v>
      </x:c>
      <x:c r="AP33" s="43" t="n">
        <x:f>_xlfn.COVARIANCE.S('Common sample'!AC6:AC75,'Common sample'!AP6:AP75)</x:f>
        <x:v>0.00010541613005974658</x:v>
      </x:c>
      <x:c r="AQ33" s="43" t="n">
        <x:f>_xlfn.COVARIANCE.S('Common sample'!AC6:AC75,'Common sample'!AQ6:AQ75)</x:f>
        <x:v>-0.00009335967428248065</x:v>
      </x:c>
      <x:c r="AR33" s="43" t="n">
        <x:f>_xlfn.COVARIANCE.S('Common sample'!AC6:AC75,'Common sample'!AR6:AR75)</x:f>
        <x:v>0.0004511841531063671</x:v>
      </x:c>
    </x:row>
    <x:row r="34" ht="19" customHeight="1">
      <x:c r="A34" s="30" t="str">
        <x:v>F</x:v>
      </x:c>
      <x:c r="B34" s="43" t="n">
        <x:f>_xlfn.COVARIANCE.S('Common sample'!AD6:AD75,'Common sample'!B6:B75)</x:f>
        <x:v>-0.00027407267836843487</x:v>
      </x:c>
      <x:c r="C34" s="43" t="n">
        <x:f>_xlfn.COVARIANCE.S('Common sample'!AD6:AD75,'Common sample'!C6:C75)</x:f>
        <x:v>0.0014418904168760481</x:v>
      </x:c>
      <x:c r="D34" s="43" t="n">
        <x:f>_xlfn.COVARIANCE.S('Common sample'!AD6:AD75,'Common sample'!D6:D75)</x:f>
        <x:v>0.0006927750734748224</x:v>
      </x:c>
      <x:c r="E34" s="43" t="n">
        <x:f>_xlfn.COVARIANCE.S('Common sample'!AD6:AD75,'Common sample'!E6:E75)</x:f>
        <x:v>-0.0000495750814879238</x:v>
      </x:c>
      <x:c r="F34" s="43" t="n">
        <x:f>_xlfn.COVARIANCE.S('Common sample'!AD6:AD75,'Common sample'!F6:F75)</x:f>
        <x:v>0.0008095144623221494</x:v>
      </x:c>
      <x:c r="G34" s="43" t="n">
        <x:f>_xlfn.COVARIANCE.S('Common sample'!AD6:AD75,'Common sample'!G6:G75)</x:f>
        <x:v>-0.0018240731960501252</x:v>
      </x:c>
      <x:c r="H34" s="43" t="n">
        <x:f>_xlfn.COVARIANCE.S('Common sample'!AD6:AD75,'Common sample'!H6:H75)</x:f>
        <x:v>-0.0008695818036574673</x:v>
      </x:c>
      <x:c r="I34" s="43" t="n">
        <x:f>_xlfn.COVARIANCE.S('Common sample'!AD6:AD75,'Common sample'!I6:I75)</x:f>
        <x:v>0.0005401225333778573</x:v>
      </x:c>
      <x:c r="J34" s="43" t="n">
        <x:f>_xlfn.COVARIANCE.S('Common sample'!AD6:AD75,'Common sample'!J6:J75)</x:f>
        <x:v>0.001230607127177387</x:v>
      </x:c>
      <x:c r="K34" s="43" t="n">
        <x:f>_xlfn.COVARIANCE.S('Common sample'!AD6:AD75,'Common sample'!K6:K75)</x:f>
        <x:v>-0.0003704691282910529</x:v>
      </x:c>
      <x:c r="L34" s="43" t="n">
        <x:f>_xlfn.COVARIANCE.S('Common sample'!AD6:AD75,'Common sample'!L6:L75)</x:f>
        <x:v>-0.0014427414757888404</x:v>
      </x:c>
      <x:c r="M34" s="43" t="n">
        <x:f>_xlfn.COVARIANCE.S('Common sample'!AD6:AD75,'Common sample'!M6:M75)</x:f>
        <x:v>0.0003417606927307939</x:v>
      </x:c>
      <x:c r="N34" s="43" t="n">
        <x:f>_xlfn.COVARIANCE.S('Common sample'!AD6:AD75,'Common sample'!N6:N75)</x:f>
        <x:v>-0.00032339349091165513</x:v>
      </x:c>
      <x:c r="O34" s="43" t="n">
        <x:f>_xlfn.COVARIANCE.S('Common sample'!AD6:AD75,'Common sample'!O6:O75)</x:f>
        <x:v>0.002068959210843715</x:v>
      </x:c>
      <x:c r="P34" s="43" t="n">
        <x:f>_xlfn.COVARIANCE.S('Common sample'!AD6:AD75,'Common sample'!P6:P75)</x:f>
        <x:v>0.0009315964276521465</x:v>
      </x:c>
      <x:c r="Q34" s="43" t="n">
        <x:f>_xlfn.COVARIANCE.S('Common sample'!AD6:AD75,'Common sample'!Q6:Q75)</x:f>
        <x:v>0.0008886237077061165</x:v>
      </x:c>
      <x:c r="R34" s="43" t="n">
        <x:f>_xlfn.COVARIANCE.S('Common sample'!AD6:AD75,'Common sample'!R6:R75)</x:f>
        <x:v>0.0006061627422158637</x:v>
      </x:c>
      <x:c r="S34" s="43" t="n">
        <x:f>_xlfn.COVARIANCE.S('Common sample'!AD6:AD75,'Common sample'!S6:S75)</x:f>
        <x:v>-0.0003467817138782786</x:v>
      </x:c>
      <x:c r="T34" s="43" t="n">
        <x:f>_xlfn.COVARIANCE.S('Common sample'!AD6:AD75,'Common sample'!T6:T75)</x:f>
        <x:v>-0.00021395844679303154</x:v>
      </x:c>
      <x:c r="U34" s="43" t="n">
        <x:f>_xlfn.COVARIANCE.S('Common sample'!AD6:AD75,'Common sample'!U6:U75)</x:f>
        <x:v>-0.00021797277494015358</x:v>
      </x:c>
      <x:c r="V34" s="43" t="n">
        <x:f>_xlfn.COVARIANCE.S('Common sample'!AD6:AD75,'Common sample'!V6:V75)</x:f>
        <x:v>-0.0007256629867530858</x:v>
      </x:c>
      <x:c r="W34" s="43" t="n">
        <x:f>_xlfn.COVARIANCE.S('Common sample'!AD6:AD75,'Common sample'!W6:W75)</x:f>
        <x:v>-0.00018496498042649143</x:v>
      </x:c>
      <x:c r="X34" s="43" t="n">
        <x:f>_xlfn.COVARIANCE.S('Common sample'!AD6:AD75,'Common sample'!X6:X75)</x:f>
        <x:v>0.0036284272605112762</x:v>
      </x:c>
      <x:c r="Y34" s="43" t="n">
        <x:f>_xlfn.COVARIANCE.S('Common sample'!AD6:AD75,'Common sample'!Y6:Y75)</x:f>
        <x:v>-0.000255218771629828</x:v>
      </x:c>
      <x:c r="Z34" s="43" t="n">
        <x:f>_xlfn.COVARIANCE.S('Common sample'!AD6:AD75,'Common sample'!Z6:Z75)</x:f>
        <x:v>-0.00021530219546488858</x:v>
      </x:c>
      <x:c r="AA34" s="43" t="n">
        <x:f>_xlfn.COVARIANCE.S('Common sample'!AD6:AD75,'Common sample'!AA6:AA75)</x:f>
        <x:v>-0.0029490974718858086</x:v>
      </x:c>
      <x:c r="AB34" s="43" t="n">
        <x:f>_xlfn.COVARIANCE.S('Common sample'!AD6:AD75,'Common sample'!AB6:AB75)</x:f>
        <x:v>-0.0034775073952608426</x:v>
      </x:c>
      <x:c r="AC34" s="43" t="n">
        <x:f>_xlfn.COVARIANCE.S('Common sample'!AD6:AD75,'Common sample'!AC6:AC75)</x:f>
        <x:v>0.0004226193932196518</x:v>
      </x:c>
      <x:c r="AD34" s="43" t="n">
        <x:f>_xlfn.COVARIANCE.S('Common sample'!AD6:AD75,'Common sample'!AD6:AD75)</x:f>
        <x:v>0.007867584906323421</x:v>
      </x:c>
      <x:c r="AE34" s="43" t="n">
        <x:f>_xlfn.COVARIANCE.S('Common sample'!AD6:AD75,'Common sample'!AE6:AE75)</x:f>
        <x:v>-0.00020837440196487541</x:v>
      </x:c>
      <x:c r="AF34" s="43" t="n">
        <x:f>_xlfn.COVARIANCE.S('Common sample'!AD6:AD75,'Common sample'!AF6:AF75)</x:f>
        <x:v>-0.000021042935257360814</x:v>
      </x:c>
      <x:c r="AG34" s="43" t="n">
        <x:f>_xlfn.COVARIANCE.S('Common sample'!AD6:AD75,'Common sample'!AG6:AG75)</x:f>
        <x:v>0.000874229413671885</x:v>
      </x:c>
      <x:c r="AH34" s="43" t="n">
        <x:f>_xlfn.COVARIANCE.S('Common sample'!AD6:AD75,'Common sample'!AH6:AH75)</x:f>
        <x:v>0.002018264746742664</x:v>
      </x:c>
      <x:c r="AI34" s="43" t="n">
        <x:f>_xlfn.COVARIANCE.S('Common sample'!AD6:AD75,'Common sample'!AI6:AI75)</x:f>
        <x:v>0.0011346109764741982</x:v>
      </x:c>
      <x:c r="AJ34" s="43" t="n">
        <x:f>_xlfn.COVARIANCE.S('Common sample'!AD6:AD75,'Common sample'!AJ6:AJ75)</x:f>
        <x:v>0.000688096309801209</x:v>
      </x:c>
      <x:c r="AK34" s="43" t="n">
        <x:f>_xlfn.COVARIANCE.S('Common sample'!AD6:AD75,'Common sample'!AK6:AK75)</x:f>
        <x:v>0.002461326160542984</x:v>
      </x:c>
      <x:c r="AL34" s="43" t="n">
        <x:f>_xlfn.COVARIANCE.S('Common sample'!AD6:AD75,'Common sample'!AL6:AL75)</x:f>
        <x:v>-0.0006496350234125476</x:v>
      </x:c>
      <x:c r="AM34" s="43" t="n">
        <x:f>_xlfn.COVARIANCE.S('Common sample'!AD6:AD75,'Common sample'!AM6:AM75)</x:f>
        <x:v>0.0010603220564096</x:v>
      </x:c>
      <x:c r="AN34" s="43" t="n">
        <x:f>_xlfn.COVARIANCE.S('Common sample'!AD6:AD75,'Common sample'!AN6:AN75)</x:f>
        <x:v>-0.00008612476323762267</x:v>
      </x:c>
      <x:c r="AO34" s="43" t="n">
        <x:f>_xlfn.COVARIANCE.S('Common sample'!AD6:AD75,'Common sample'!AO6:AO75)</x:f>
        <x:v>-0.00008008653433610654</x:v>
      </x:c>
      <x:c r="AP34" s="43" t="n">
        <x:f>_xlfn.COVARIANCE.S('Common sample'!AD6:AD75,'Common sample'!AP6:AP75)</x:f>
        <x:v>0.000531299096870058</x:v>
      </x:c>
      <x:c r="AQ34" s="43" t="n">
        <x:f>_xlfn.COVARIANCE.S('Common sample'!AD6:AD75,'Common sample'!AQ6:AQ75)</x:f>
        <x:v>-0.00011369459832847665</x:v>
      </x:c>
      <x:c r="AR34" s="43" t="n">
        <x:f>_xlfn.COVARIANCE.S('Common sample'!AD6:AD75,'Common sample'!AR6:AR75)</x:f>
        <x:v>0.000757057594356509</x:v>
      </x:c>
    </x:row>
    <x:row r="35" ht="19" customHeight="1">
      <x:c r="A35" s="30" t="str">
        <x:v>HPE</x:v>
      </x:c>
      <x:c r="B35" s="43" t="n">
        <x:f>_xlfn.COVARIANCE.S('Common sample'!AE6:AE75,'Common sample'!B6:B75)</x:f>
        <x:v>0.0007525957978458419</x:v>
      </x:c>
      <x:c r="C35" s="43" t="n">
        <x:f>_xlfn.COVARIANCE.S('Common sample'!AE6:AE75,'Common sample'!C6:C75)</x:f>
        <x:v>-0.002435468187738876</x:v>
      </x:c>
      <x:c r="D35" s="43" t="n">
        <x:f>_xlfn.COVARIANCE.S('Common sample'!AE6:AE75,'Common sample'!D6:D75)</x:f>
        <x:v>-0.0006034357573928155</x:v>
      </x:c>
      <x:c r="E35" s="43" t="n">
        <x:f>_xlfn.COVARIANCE.S('Common sample'!AE6:AE75,'Common sample'!E6:E75)</x:f>
        <x:v>0.000055719421703969</x:v>
      </x:c>
      <x:c r="F35" s="43" t="n">
        <x:f>_xlfn.COVARIANCE.S('Common sample'!AE6:AE75,'Common sample'!F6:F75)</x:f>
        <x:v>0.00030406029444009957</x:v>
      </x:c>
      <x:c r="G35" s="43" t="n">
        <x:f>_xlfn.COVARIANCE.S('Common sample'!AE6:AE75,'Common sample'!G6:G75)</x:f>
        <x:v>-0.0011202444829961212</x:v>
      </x:c>
      <x:c r="H35" s="43" t="n">
        <x:f>_xlfn.COVARIANCE.S('Common sample'!AE6:AE75,'Common sample'!H6:H75)</x:f>
        <x:v>-0.0011846870715878299</x:v>
      </x:c>
      <x:c r="I35" s="43" t="n">
        <x:f>_xlfn.COVARIANCE.S('Common sample'!AE6:AE75,'Common sample'!I6:I75)</x:f>
        <x:v>-0.0004993650313388967</x:v>
      </x:c>
      <x:c r="J35" s="43" t="n">
        <x:f>_xlfn.COVARIANCE.S('Common sample'!AE6:AE75,'Common sample'!J6:J75)</x:f>
        <x:v>0.0014994759016276047</x:v>
      </x:c>
      <x:c r="K35" s="43" t="n">
        <x:f>_xlfn.COVARIANCE.S('Common sample'!AE6:AE75,'Common sample'!K6:K75)</x:f>
        <x:v>0.0011638184786900902</x:v>
      </x:c>
      <x:c r="L35" s="43" t="n">
        <x:f>_xlfn.COVARIANCE.S('Common sample'!AE6:AE75,'Common sample'!L6:L75)</x:f>
        <x:v>0.000016987444533854905</x:v>
      </x:c>
      <x:c r="M35" s="43" t="n">
        <x:f>_xlfn.COVARIANCE.S('Common sample'!AE6:AE75,'Common sample'!M6:M75)</x:f>
        <x:v>-0.00007092806313689713</x:v>
      </x:c>
      <x:c r="N35" s="43" t="n">
        <x:f>_xlfn.COVARIANCE.S('Common sample'!AE6:AE75,'Common sample'!N6:N75)</x:f>
        <x:v>0.0010586296227045179</x:v>
      </x:c>
      <x:c r="O35" s="43" t="n">
        <x:f>_xlfn.COVARIANCE.S('Common sample'!AE6:AE75,'Common sample'!O6:O75)</x:f>
        <x:v>0.0010555917909678978</x:v>
      </x:c>
      <x:c r="P35" s="43" t="n">
        <x:f>_xlfn.COVARIANCE.S('Common sample'!AE6:AE75,'Common sample'!P6:P75)</x:f>
        <x:v>-0.00018285417652749844</x:v>
      </x:c>
      <x:c r="Q35" s="43" t="n">
        <x:f>_xlfn.COVARIANCE.S('Common sample'!AE6:AE75,'Common sample'!Q6:Q75)</x:f>
        <x:v>0.0016026108015069415</x:v>
      </x:c>
      <x:c r="R35" s="43" t="n">
        <x:f>_xlfn.COVARIANCE.S('Common sample'!AE6:AE75,'Common sample'!R6:R75)</x:f>
        <x:v>-0.0008651714606583072</x:v>
      </x:c>
      <x:c r="S35" s="43" t="n">
        <x:f>_xlfn.COVARIANCE.S('Common sample'!AE6:AE75,'Common sample'!S6:S75)</x:f>
        <x:v>0.0017125882819592783</x:v>
      </x:c>
      <x:c r="T35" s="43" t="n">
        <x:f>_xlfn.COVARIANCE.S('Common sample'!AE6:AE75,'Common sample'!T6:T75)</x:f>
        <x:v>0.0012253051806015085</x:v>
      </x:c>
      <x:c r="U35" s="43" t="n">
        <x:f>_xlfn.COVARIANCE.S('Common sample'!AE6:AE75,'Common sample'!U6:U75)</x:f>
        <x:v>0.0017092160923293323</x:v>
      </x:c>
      <x:c r="V35" s="43" t="n">
        <x:f>_xlfn.COVARIANCE.S('Common sample'!AE6:AE75,'Common sample'!V6:V75)</x:f>
        <x:v>0.00005251357756683368</x:v>
      </x:c>
      <x:c r="W35" s="43" t="n">
        <x:f>_xlfn.COVARIANCE.S('Common sample'!AE6:AE75,'Common sample'!W6:W75)</x:f>
        <x:v>0.0001514507628927691</x:v>
      </x:c>
      <x:c r="X35" s="43" t="n">
        <x:f>_xlfn.COVARIANCE.S('Common sample'!AE6:AE75,'Common sample'!X6:X75)</x:f>
        <x:v>0.0017079447027990153</x:v>
      </x:c>
      <x:c r="Y35" s="43" t="n">
        <x:f>_xlfn.COVARIANCE.S('Common sample'!AE6:AE75,'Common sample'!Y6:Y75)</x:f>
        <x:v>0.0010096996530193022</x:v>
      </x:c>
      <x:c r="Z35" s="43" t="n">
        <x:f>_xlfn.COVARIANCE.S('Common sample'!AE6:AE75,'Common sample'!Z6:Z75)</x:f>
        <x:v>-0.00010505124056081382</x:v>
      </x:c>
      <x:c r="AA35" s="43" t="n">
        <x:f>_xlfn.COVARIANCE.S('Common sample'!AE6:AE75,'Common sample'!AA6:AA75)</x:f>
        <x:v>-0.0006832988048851676</x:v>
      </x:c>
      <x:c r="AB35" s="43" t="n">
        <x:f>_xlfn.COVARIANCE.S('Common sample'!AE6:AE75,'Common sample'!AB6:AB75)</x:f>
        <x:v>0.0009454172600892053</x:v>
      </x:c>
      <x:c r="AC35" s="43" t="n">
        <x:f>_xlfn.COVARIANCE.S('Common sample'!AE6:AE75,'Common sample'!AC6:AC75)</x:f>
        <x:v>-0.00017564300253370343</x:v>
      </x:c>
      <x:c r="AD35" s="43" t="n">
        <x:f>_xlfn.COVARIANCE.S('Common sample'!AE6:AE75,'Common sample'!AD6:AD75)</x:f>
        <x:v>-0.00020837440196487541</x:v>
      </x:c>
      <x:c r="AE35" s="43" t="n">
        <x:f>_xlfn.COVARIANCE.S('Common sample'!AE6:AE75,'Common sample'!AE6:AE75)</x:f>
        <x:v>0.007149111450740337</x:v>
      </x:c>
      <x:c r="AF35" s="43" t="n">
        <x:f>_xlfn.COVARIANCE.S('Common sample'!AE6:AE75,'Common sample'!AF6:AF75)</x:f>
        <x:v>-0.00022933457920697336</x:v>
      </x:c>
      <x:c r="AG35" s="43" t="n">
        <x:f>_xlfn.COVARIANCE.S('Common sample'!AE6:AE75,'Common sample'!AG6:AG75)</x:f>
        <x:v>-0.001669172619094484</x:v>
      </x:c>
      <x:c r="AH35" s="43" t="n">
        <x:f>_xlfn.COVARIANCE.S('Common sample'!AE6:AE75,'Common sample'!AH6:AH75)</x:f>
        <x:v>-0.0025586948274584605</x:v>
      </x:c>
      <x:c r="AI35" s="43" t="n">
        <x:f>_xlfn.COVARIANCE.S('Common sample'!AE6:AE75,'Common sample'!AI6:AI75)</x:f>
        <x:v>0.00047023585971939854</x:v>
      </x:c>
      <x:c r="AJ35" s="43" t="n">
        <x:f>_xlfn.COVARIANCE.S('Common sample'!AE6:AE75,'Common sample'!AJ6:AJ75)</x:f>
        <x:v>-0.0006729691494462966</x:v>
      </x:c>
      <x:c r="AK35" s="43" t="n">
        <x:f>_xlfn.COVARIANCE.S('Common sample'!AE6:AE75,'Common sample'!AK6:AK75)</x:f>
        <x:v>-0.0004798364494224133</x:v>
      </x:c>
      <x:c r="AL35" s="43" t="n">
        <x:f>_xlfn.COVARIANCE.S('Common sample'!AE6:AE75,'Common sample'!AL6:AL75)</x:f>
        <x:v>-0.00034798066445345494</x:v>
      </x:c>
      <x:c r="AM35" s="43" t="n">
        <x:f>_xlfn.COVARIANCE.S('Common sample'!AE6:AE75,'Common sample'!AM6:AM75)</x:f>
        <x:v>0.000226403412479019</x:v>
      </x:c>
      <x:c r="AN35" s="43" t="n">
        <x:f>_xlfn.COVARIANCE.S('Common sample'!AE6:AE75,'Common sample'!AN6:AN75)</x:f>
        <x:v>-0.00007698888932625568</x:v>
      </x:c>
      <x:c r="AO35" s="43" t="n">
        <x:f>_xlfn.COVARIANCE.S('Common sample'!AE6:AE75,'Common sample'!AO6:AO75)</x:f>
        <x:v>0.0005614456669387304</x:v>
      </x:c>
      <x:c r="AP35" s="43" t="n">
        <x:f>_xlfn.COVARIANCE.S('Common sample'!AE6:AE75,'Common sample'!AP6:AP75)</x:f>
        <x:v>-0.00007350954337975313</x:v>
      </x:c>
      <x:c r="AQ35" s="43" t="n">
        <x:f>_xlfn.COVARIANCE.S('Common sample'!AE6:AE75,'Common sample'!AQ6:AQ75)</x:f>
        <x:v>0.0006614170459026439</x:v>
      </x:c>
      <x:c r="AR35" s="43" t="n">
        <x:f>_xlfn.COVARIANCE.S('Common sample'!AE6:AE75,'Common sample'!AR6:AR75)</x:f>
        <x:v>0.00005146766994207037</x:v>
      </x:c>
    </x:row>
    <x:row r="36" ht="19" customHeight="1">
      <x:c r="A36" s="30" t="str">
        <x:v>BA</x:v>
      </x:c>
      <x:c r="B36" s="43" t="n">
        <x:f>_xlfn.COVARIANCE.S('Common sample'!AF6:AF75,'Common sample'!B6:B75)</x:f>
        <x:v>-0.0011731118850226406</x:v>
      </x:c>
      <x:c r="C36" s="43" t="n">
        <x:f>_xlfn.COVARIANCE.S('Common sample'!AF6:AF75,'Common sample'!C6:C75)</x:f>
        <x:v>-0.0007585752101813291</x:v>
      </x:c>
      <x:c r="D36" s="43" t="n">
        <x:f>_xlfn.COVARIANCE.S('Common sample'!AF6:AF75,'Common sample'!D6:D75)</x:f>
        <x:v>-0.000005376244110363437</x:v>
      </x:c>
      <x:c r="E36" s="43" t="n">
        <x:f>_xlfn.COVARIANCE.S('Common sample'!AF6:AF75,'Common sample'!E6:E75)</x:f>
        <x:v>-0.0002868448082229841</x:v>
      </x:c>
      <x:c r="F36" s="43" t="n">
        <x:f>_xlfn.COVARIANCE.S('Common sample'!AF6:AF75,'Common sample'!F6:F75)</x:f>
        <x:v>0.0007646465012174172</x:v>
      </x:c>
      <x:c r="G36" s="43" t="n">
        <x:f>_xlfn.COVARIANCE.S('Common sample'!AF6:AF75,'Common sample'!G6:G75)</x:f>
        <x:v>-0.0003189674748054691</x:v>
      </x:c>
      <x:c r="H36" s="43" t="n">
        <x:f>_xlfn.COVARIANCE.S('Common sample'!AF6:AF75,'Common sample'!H6:H75)</x:f>
        <x:v>0.00009306238281545746</x:v>
      </x:c>
      <x:c r="I36" s="43" t="n">
        <x:f>_xlfn.COVARIANCE.S('Common sample'!AF6:AF75,'Common sample'!I6:I75)</x:f>
        <x:v>-0.0007461978536801377</x:v>
      </x:c>
      <x:c r="J36" s="43" t="n">
        <x:f>_xlfn.COVARIANCE.S('Common sample'!AF6:AF75,'Common sample'!J6:J75)</x:f>
        <x:v>-0.0008367453209131451</x:v>
      </x:c>
      <x:c r="K36" s="43" t="n">
        <x:f>_xlfn.COVARIANCE.S('Common sample'!AF6:AF75,'Common sample'!K6:K75)</x:f>
        <x:v>0.00011548829892643355</x:v>
      </x:c>
      <x:c r="L36" s="43" t="n">
        <x:f>_xlfn.COVARIANCE.S('Common sample'!AF6:AF75,'Common sample'!L6:L75)</x:f>
        <x:v>-0.0006071892950821608</x:v>
      </x:c>
      <x:c r="M36" s="43" t="n">
        <x:f>_xlfn.COVARIANCE.S('Common sample'!AF6:AF75,'Common sample'!M6:M75)</x:f>
        <x:v>-0.00001394724208150935</x:v>
      </x:c>
      <x:c r="N36" s="43" t="n">
        <x:f>_xlfn.COVARIANCE.S('Common sample'!AF6:AF75,'Common sample'!N6:N75)</x:f>
        <x:v>0.0002753141500081388</x:v>
      </x:c>
      <x:c r="O36" s="43" t="n">
        <x:f>_xlfn.COVARIANCE.S('Common sample'!AF6:AF75,'Common sample'!O6:O75)</x:f>
        <x:v>-0.0014909517230473246</x:v>
      </x:c>
      <x:c r="P36" s="43" t="n">
        <x:f>_xlfn.COVARIANCE.S('Common sample'!AF6:AF75,'Common sample'!P6:P75)</x:f>
        <x:v>0.0018077348345567794</x:v>
      </x:c>
      <x:c r="Q36" s="43" t="n">
        <x:f>_xlfn.COVARIANCE.S('Common sample'!AF6:AF75,'Common sample'!Q6:Q75)</x:f>
        <x:v>-0.0029188837566767115</x:v>
      </x:c>
      <x:c r="R36" s="43" t="n">
        <x:f>_xlfn.COVARIANCE.S('Common sample'!AF6:AF75,'Common sample'!R6:R75)</x:f>
        <x:v>0.0006717771318796678</x:v>
      </x:c>
      <x:c r="S36" s="43" t="n">
        <x:f>_xlfn.COVARIANCE.S('Common sample'!AF6:AF75,'Common sample'!S6:S75)</x:f>
        <x:v>0.0003109793969332296</x:v>
      </x:c>
      <x:c r="T36" s="43" t="n">
        <x:f>_xlfn.COVARIANCE.S('Common sample'!AF6:AF75,'Common sample'!T6:T75)</x:f>
        <x:v>0.0016295469077858848</x:v>
      </x:c>
      <x:c r="U36" s="43" t="n">
        <x:f>_xlfn.COVARIANCE.S('Common sample'!AF6:AF75,'Common sample'!U6:U75)</x:f>
        <x:v>0.001663194822614141</x:v>
      </x:c>
      <x:c r="V36" s="43" t="n">
        <x:f>_xlfn.COVARIANCE.S('Common sample'!AF6:AF75,'Common sample'!V6:V75)</x:f>
        <x:v>0.0007229112571460649</x:v>
      </x:c>
      <x:c r="W36" s="43" t="n">
        <x:f>_xlfn.COVARIANCE.S('Common sample'!AF6:AF75,'Common sample'!W6:W75)</x:f>
        <x:v>0.0013815210310240745</x:v>
      </x:c>
      <x:c r="X36" s="43" t="n">
        <x:f>_xlfn.COVARIANCE.S('Common sample'!AF6:AF75,'Common sample'!X6:X75)</x:f>
        <x:v>-0.0004274148269921752</x:v>
      </x:c>
      <x:c r="Y36" s="43" t="n">
        <x:f>_xlfn.COVARIANCE.S('Common sample'!AF6:AF75,'Common sample'!Y6:Y75)</x:f>
        <x:v>0.000617884003696564</x:v>
      </x:c>
      <x:c r="Z36" s="43" t="n">
        <x:f>_xlfn.COVARIANCE.S('Common sample'!AF6:AF75,'Common sample'!Z6:Z75)</x:f>
        <x:v>-0.00039747559573581343</x:v>
      </x:c>
      <x:c r="AA36" s="43" t="n">
        <x:f>_xlfn.COVARIANCE.S('Common sample'!AF6:AF75,'Common sample'!AA6:AA75)</x:f>
        <x:v>-0.002662952241890331</x:v>
      </x:c>
      <x:c r="AB36" s="43" t="n">
        <x:f>_xlfn.COVARIANCE.S('Common sample'!AF6:AF75,'Common sample'!AB6:AB75)</x:f>
        <x:v>-0.0008077480594443388</x:v>
      </x:c>
      <x:c r="AC36" s="43" t="n">
        <x:f>_xlfn.COVARIANCE.S('Common sample'!AF6:AF75,'Common sample'!AC6:AC75)</x:f>
        <x:v>-0.00003640664185881257</x:v>
      </x:c>
      <x:c r="AD36" s="43" t="n">
        <x:f>_xlfn.COVARIANCE.S('Common sample'!AF6:AF75,'Common sample'!AD6:AD75)</x:f>
        <x:v>-0.000021042935257360814</x:v>
      </x:c>
      <x:c r="AE36" s="43" t="n">
        <x:f>_xlfn.COVARIANCE.S('Common sample'!AF6:AF75,'Common sample'!AE6:AE75)</x:f>
        <x:v>-0.00022933457920697336</x:v>
      </x:c>
      <x:c r="AF36" s="43" t="n">
        <x:f>_xlfn.COVARIANCE.S('Common sample'!AF6:AF75,'Common sample'!AF6:AF75)</x:f>
        <x:v>0.006255785775461368</x:v>
      </x:c>
      <x:c r="AG36" s="43" t="n">
        <x:f>_xlfn.COVARIANCE.S('Common sample'!AF6:AF75,'Common sample'!AG6:AG75)</x:f>
        <x:v>0.00034522743304270584</x:v>
      </x:c>
      <x:c r="AH36" s="43" t="n">
        <x:f>_xlfn.COVARIANCE.S('Common sample'!AF6:AF75,'Common sample'!AH6:AH75)</x:f>
        <x:v>0.0007503819631269404</x:v>
      </x:c>
      <x:c r="AI36" s="43" t="n">
        <x:f>_xlfn.COVARIANCE.S('Common sample'!AF6:AF75,'Common sample'!AI6:AI75)</x:f>
        <x:v>-0.0005277064003237042</x:v>
      </x:c>
      <x:c r="AJ36" s="43" t="n">
        <x:f>_xlfn.COVARIANCE.S('Common sample'!AF6:AF75,'Common sample'!AJ6:AJ75)</x:f>
        <x:v>-0.0006400665063803788</x:v>
      </x:c>
      <x:c r="AK36" s="43" t="n">
        <x:f>_xlfn.COVARIANCE.S('Common sample'!AF6:AF75,'Common sample'!AK6:AK75)</x:f>
        <x:v>-0.0013474231709570109</x:v>
      </x:c>
      <x:c r="AL36" s="43" t="n">
        <x:f>_xlfn.COVARIANCE.S('Common sample'!AF6:AF75,'Common sample'!AL6:AL75)</x:f>
        <x:v>0.0006988489703619393</x:v>
      </x:c>
      <x:c r="AM36" s="43" t="n">
        <x:f>_xlfn.COVARIANCE.S('Common sample'!AF6:AF75,'Common sample'!AM6:AM75)</x:f>
        <x:v>-0.0005527383910120491</x:v>
      </x:c>
      <x:c r="AN36" s="43" t="n">
        <x:f>_xlfn.COVARIANCE.S('Common sample'!AF6:AF75,'Common sample'!AN6:AN75)</x:f>
        <x:v>-0.000241589378619951</x:v>
      </x:c>
      <x:c r="AO36" s="43" t="n">
        <x:f>_xlfn.COVARIANCE.S('Common sample'!AF6:AF75,'Common sample'!AO6:AO75)</x:f>
        <x:v>0.00019391729542234378</x:v>
      </x:c>
      <x:c r="AP36" s="43" t="n">
        <x:f>_xlfn.COVARIANCE.S('Common sample'!AF6:AF75,'Common sample'!AP6:AP75)</x:f>
        <x:v>0.0001564561740369918</x:v>
      </x:c>
      <x:c r="AQ36" s="43" t="n">
        <x:f>_xlfn.COVARIANCE.S('Common sample'!AF6:AF75,'Common sample'!AQ6:AQ75)</x:f>
        <x:v>0.0006333587763446004</x:v>
      </x:c>
      <x:c r="AR36" s="43" t="n">
        <x:f>_xlfn.COVARIANCE.S('Common sample'!AF6:AF75,'Common sample'!AR6:AR75)</x:f>
        <x:v>-0.0002672348742178999</x:v>
      </x:c>
    </x:row>
    <x:row r="37" ht="19" customHeight="1">
      <x:c r="A37" s="30" t="str">
        <x:v>HII</x:v>
      </x:c>
      <x:c r="B37" s="43" t="n">
        <x:f>_xlfn.COVARIANCE.S('Common sample'!AG6:AG75,'Common sample'!B6:B75)</x:f>
        <x:v>-0.000039703449779997504</x:v>
      </x:c>
      <x:c r="C37" s="43" t="n">
        <x:f>_xlfn.COVARIANCE.S('Common sample'!AG6:AG75,'Common sample'!C6:C75)</x:f>
        <x:v>0.001655944074648815</x:v>
      </x:c>
      <x:c r="D37" s="43" t="n">
        <x:f>_xlfn.COVARIANCE.S('Common sample'!AG6:AG75,'Common sample'!D6:D75)</x:f>
        <x:v>0.0003231403736608442</x:v>
      </x:c>
      <x:c r="E37" s="43" t="n">
        <x:f>_xlfn.COVARIANCE.S('Common sample'!AG6:AG75,'Common sample'!E6:E75)</x:f>
        <x:v>-0.0008809956072425047</x:v>
      </x:c>
      <x:c r="F37" s="43" t="n">
        <x:f>_xlfn.COVARIANCE.S('Common sample'!AG6:AG75,'Common sample'!F6:F75)</x:f>
        <x:v>0.0012088704118333419</x:v>
      </x:c>
      <x:c r="G37" s="43" t="n">
        <x:f>_xlfn.COVARIANCE.S('Common sample'!AG6:AG75,'Common sample'!G6:G75)</x:f>
        <x:v>-0.0004887479954857064</x:v>
      </x:c>
      <x:c r="H37" s="43" t="n">
        <x:f>_xlfn.COVARIANCE.S('Common sample'!AG6:AG75,'Common sample'!H6:H75)</x:f>
        <x:v>0.0009818250061219187</x:v>
      </x:c>
      <x:c r="I37" s="43" t="n">
        <x:f>_xlfn.COVARIANCE.S('Common sample'!AG6:AG75,'Common sample'!I6:I75)</x:f>
        <x:v>-0.0001512170407849341</x:v>
      </x:c>
      <x:c r="J37" s="43" t="n">
        <x:f>_xlfn.COVARIANCE.S('Common sample'!AG6:AG75,'Common sample'!J6:J75)</x:f>
        <x:v>0.0007255300222935317</x:v>
      </x:c>
      <x:c r="K37" s="43" t="n">
        <x:f>_xlfn.COVARIANCE.S('Common sample'!AG6:AG75,'Common sample'!K6:K75)</x:f>
        <x:v>-0.0008147682017675433</x:v>
      </x:c>
      <x:c r="L37" s="43" t="n">
        <x:f>_xlfn.COVARIANCE.S('Common sample'!AG6:AG75,'Common sample'!L6:L75)</x:f>
        <x:v>-0.00019384247333355552</x:v>
      </x:c>
      <x:c r="M37" s="43" t="n">
        <x:f>_xlfn.COVARIANCE.S('Common sample'!AG6:AG75,'Common sample'!M6:M75)</x:f>
        <x:v>-0.0005691299656190476</x:v>
      </x:c>
      <x:c r="N37" s="43" t="n">
        <x:f>_xlfn.COVARIANCE.S('Common sample'!AG6:AG75,'Common sample'!N6:N75)</x:f>
        <x:v>-0.000872487065435729</x:v>
      </x:c>
      <x:c r="O37" s="43" t="n">
        <x:f>_xlfn.COVARIANCE.S('Common sample'!AG6:AG75,'Common sample'!O6:O75)</x:f>
        <x:v>0.00024015610345780962</x:v>
      </x:c>
      <x:c r="P37" s="43" t="n">
        <x:f>_xlfn.COVARIANCE.S('Common sample'!AG6:AG75,'Common sample'!P6:P75)</x:f>
        <x:v>-0.0006170716657851115</x:v>
      </x:c>
      <x:c r="Q37" s="43" t="n">
        <x:f>_xlfn.COVARIANCE.S('Common sample'!AG6:AG75,'Common sample'!Q6:Q75)</x:f>
        <x:v>-0.0006453186418155304</x:v>
      </x:c>
      <x:c r="R37" s="43" t="n">
        <x:f>_xlfn.COVARIANCE.S('Common sample'!AG6:AG75,'Common sample'!R6:R75)</x:f>
        <x:v>0.0013411720710463698</x:v>
      </x:c>
      <x:c r="S37" s="43" t="n">
        <x:f>_xlfn.COVARIANCE.S('Common sample'!AG6:AG75,'Common sample'!S6:S75)</x:f>
        <x:v>-0.00019447087257671146</x:v>
      </x:c>
      <x:c r="T37" s="43" t="n">
        <x:f>_xlfn.COVARIANCE.S('Common sample'!AG6:AG75,'Common sample'!T6:T75)</x:f>
        <x:v>-0.0010710865003753422</x:v>
      </x:c>
      <x:c r="U37" s="43" t="n">
        <x:f>_xlfn.COVARIANCE.S('Common sample'!AG6:AG75,'Common sample'!U6:U75)</x:f>
        <x:v>-0.0002659168390988471</x:v>
      </x:c>
      <x:c r="V37" s="43" t="n">
        <x:f>_xlfn.COVARIANCE.S('Common sample'!AG6:AG75,'Common sample'!V6:V75)</x:f>
        <x:v>0.00046684138702379177</x:v>
      </x:c>
      <x:c r="W37" s="43" t="n">
        <x:f>_xlfn.COVARIANCE.S('Common sample'!AG6:AG75,'Common sample'!W6:W75)</x:f>
        <x:v>0.0002020982713584607</x:v>
      </x:c>
      <x:c r="X37" s="43" t="n">
        <x:f>_xlfn.COVARIANCE.S('Common sample'!AG6:AG75,'Common sample'!X6:X75)</x:f>
        <x:v>0.0002863117927114219</x:v>
      </x:c>
      <x:c r="Y37" s="43" t="n">
        <x:f>_xlfn.COVARIANCE.S('Common sample'!AG6:AG75,'Common sample'!Y6:Y75)</x:f>
        <x:v>0.003676109816182498</x:v>
      </x:c>
      <x:c r="Z37" s="43" t="n">
        <x:f>_xlfn.COVARIANCE.S('Common sample'!AG6:AG75,'Common sample'!Z6:Z75)</x:f>
        <x:v>-0.0006552766431816805</x:v>
      </x:c>
      <x:c r="AA37" s="43" t="n">
        <x:f>_xlfn.COVARIANCE.S('Common sample'!AG6:AG75,'Common sample'!AA6:AA75)</x:f>
        <x:v>-0.0003194825896242943</x:v>
      </x:c>
      <x:c r="AB37" s="43" t="n">
        <x:f>_xlfn.COVARIANCE.S('Common sample'!AG6:AG75,'Common sample'!AB6:AB75)</x:f>
        <x:v>-0.00124160827663813</x:v>
      </x:c>
      <x:c r="AC37" s="43" t="n">
        <x:f>_xlfn.COVARIANCE.S('Common sample'!AG6:AG75,'Common sample'!AC6:AC75)</x:f>
        <x:v>-0.0003802823639787252</x:v>
      </x:c>
      <x:c r="AD37" s="43" t="n">
        <x:f>_xlfn.COVARIANCE.S('Common sample'!AG6:AG75,'Common sample'!AD6:AD75)</x:f>
        <x:v>0.000874229413671885</x:v>
      </x:c>
      <x:c r="AE37" s="43" t="n">
        <x:f>_xlfn.COVARIANCE.S('Common sample'!AG6:AG75,'Common sample'!AE6:AE75)</x:f>
        <x:v>-0.001669172619094484</x:v>
      </x:c>
      <x:c r="AF37" s="43" t="n">
        <x:f>_xlfn.COVARIANCE.S('Common sample'!AG6:AG75,'Common sample'!AF6:AF75)</x:f>
        <x:v>0.00034522743304270584</x:v>
      </x:c>
      <x:c r="AG37" s="43" t="n">
        <x:f>_xlfn.COVARIANCE.S('Common sample'!AG6:AG75,'Common sample'!AG6:AG75)</x:f>
        <x:v>0.007308141786079089</x:v>
      </x:c>
      <x:c r="AH37" s="43" t="n">
        <x:f>_xlfn.COVARIANCE.S('Common sample'!AG6:AG75,'Common sample'!AH6:AH75)</x:f>
        <x:v>0.0007775909633328934</x:v>
      </x:c>
      <x:c r="AI37" s="43" t="n">
        <x:f>_xlfn.COVARIANCE.S('Common sample'!AG6:AG75,'Common sample'!AI6:AI75)</x:f>
        <x:v>0.0003156543618801989</x:v>
      </x:c>
      <x:c r="AJ37" s="43" t="n">
        <x:f>_xlfn.COVARIANCE.S('Common sample'!AG6:AG75,'Common sample'!AJ6:AJ75)</x:f>
        <x:v>-0.0013388964744222472</x:v>
      </x:c>
      <x:c r="AK37" s="43" t="n">
        <x:f>_xlfn.COVARIANCE.S('Common sample'!AG6:AG75,'Common sample'!AK6:AK75)</x:f>
        <x:v>-0.00033827718898547007</x:v>
      </x:c>
      <x:c r="AL37" s="43" t="n">
        <x:f>_xlfn.COVARIANCE.S('Common sample'!AG6:AG75,'Common sample'!AL6:AL75)</x:f>
        <x:v>0.0019183659830602966</x:v>
      </x:c>
      <x:c r="AM37" s="43" t="n">
        <x:f>_xlfn.COVARIANCE.S('Common sample'!AG6:AG75,'Common sample'!AM6:AM75)</x:f>
        <x:v>0.00028085681960018303</x:v>
      </x:c>
      <x:c r="AN37" s="43" t="n">
        <x:f>_xlfn.COVARIANCE.S('Common sample'!AG6:AG75,'Common sample'!AN6:AN75)</x:f>
        <x:v>-0.000689731297920709</x:v>
      </x:c>
      <x:c r="AO37" s="43" t="n">
        <x:f>_xlfn.COVARIANCE.S('Common sample'!AG6:AG75,'Common sample'!AO6:AO75)</x:f>
        <x:v>0.0003460181862333901</x:v>
      </x:c>
      <x:c r="AP37" s="43" t="n">
        <x:f>_xlfn.COVARIANCE.S('Common sample'!AG6:AG75,'Common sample'!AP6:AP75)</x:f>
        <x:v>0.0006774157198613566</x:v>
      </x:c>
      <x:c r="AQ37" s="43" t="n">
        <x:f>_xlfn.COVARIANCE.S('Common sample'!AG6:AG75,'Common sample'!AQ6:AQ75)</x:f>
        <x:v>-0.000022463580257665395</x:v>
      </x:c>
      <x:c r="AR37" s="43" t="n">
        <x:f>_xlfn.COVARIANCE.S('Common sample'!AG6:AG75,'Common sample'!AR6:AR75)</x:f>
        <x:v>-0.00012661423290839468</x:v>
      </x:c>
    </x:row>
    <x:row r="38" ht="19" customHeight="1">
      <x:c r="A38" s="30" t="str">
        <x:v>AMD</x:v>
      </x:c>
      <x:c r="B38" s="43" t="n">
        <x:f>_xlfn.COVARIANCE.S('Common sample'!AH6:AH75,'Common sample'!B6:B75)</x:f>
        <x:v>-0.0005021355966977976</x:v>
      </x:c>
      <x:c r="C38" s="43" t="n">
        <x:f>_xlfn.COVARIANCE.S('Common sample'!AH6:AH75,'Common sample'!C6:C75)</x:f>
        <x:v>0.0008914547604521389</x:v>
      </x:c>
      <x:c r="D38" s="43" t="n">
        <x:f>_xlfn.COVARIANCE.S('Common sample'!AH6:AH75,'Common sample'!D6:D75)</x:f>
        <x:v>0.0011068767346778293</x:v>
      </x:c>
      <x:c r="E38" s="43" t="n">
        <x:f>_xlfn.COVARIANCE.S('Common sample'!AH6:AH75,'Common sample'!E6:E75)</x:f>
        <x:v>-0.00011876364208577612</x:v>
      </x:c>
      <x:c r="F38" s="43" t="n">
        <x:f>_xlfn.COVARIANCE.S('Common sample'!AH6:AH75,'Common sample'!F6:F75)</x:f>
        <x:v>0.000012570138260790066</x:v>
      </x:c>
      <x:c r="G38" s="43" t="n">
        <x:f>_xlfn.COVARIANCE.S('Common sample'!AH6:AH75,'Common sample'!G6:G75)</x:f>
        <x:v>0.0007014933112967992</x:v>
      </x:c>
      <x:c r="H38" s="43" t="n">
        <x:f>_xlfn.COVARIANCE.S('Common sample'!AH6:AH75,'Common sample'!H6:H75)</x:f>
        <x:v>0.0016264912008108537</x:v>
      </x:c>
      <x:c r="I38" s="43" t="n">
        <x:f>_xlfn.COVARIANCE.S('Common sample'!AH6:AH75,'Common sample'!I6:I75)</x:f>
        <x:v>0.001198409613987419</x:v>
      </x:c>
      <x:c r="J38" s="43" t="n">
        <x:f>_xlfn.COVARIANCE.S('Common sample'!AH6:AH75,'Common sample'!J6:J75)</x:f>
        <x:v>0.0011007677336105624</x:v>
      </x:c>
      <x:c r="K38" s="43" t="n">
        <x:f>_xlfn.COVARIANCE.S('Common sample'!AH6:AH75,'Common sample'!K6:K75)</x:f>
        <x:v>0.0017174267829453606</x:v>
      </x:c>
      <x:c r="L38" s="43" t="n">
        <x:f>_xlfn.COVARIANCE.S('Common sample'!AH6:AH75,'Common sample'!L6:L75)</x:f>
        <x:v>0.0018957000661521978</x:v>
      </x:c>
      <x:c r="M38" s="43" t="n">
        <x:f>_xlfn.COVARIANCE.S('Common sample'!AH6:AH75,'Common sample'!M6:M75)</x:f>
        <x:v>-0.00029659896859531747</x:v>
      </x:c>
      <x:c r="N38" s="43" t="n">
        <x:f>_xlfn.COVARIANCE.S('Common sample'!AH6:AH75,'Common sample'!N6:N75)</x:f>
        <x:v>-0.001400348145541093</x:v>
      </x:c>
      <x:c r="O38" s="43" t="n">
        <x:f>_xlfn.COVARIANCE.S('Common sample'!AH6:AH75,'Common sample'!O6:O75)</x:f>
        <x:v>0.002012868295768239</x:v>
      </x:c>
      <x:c r="P38" s="43" t="n">
        <x:f>_xlfn.COVARIANCE.S('Common sample'!AH6:AH75,'Common sample'!P6:P75)</x:f>
        <x:v>0.0024704808978993353</x:v>
      </x:c>
      <x:c r="Q38" s="43" t="n">
        <x:f>_xlfn.COVARIANCE.S('Common sample'!AH6:AH75,'Common sample'!Q6:Q75)</x:f>
        <x:v>0.001645997099655889</x:v>
      </x:c>
      <x:c r="R38" s="43" t="n">
        <x:f>_xlfn.COVARIANCE.S('Common sample'!AH6:AH75,'Common sample'!R6:R75)</x:f>
        <x:v>0.00004986374769258829</x:v>
      </x:c>
      <x:c r="S38" s="43" t="n">
        <x:f>_xlfn.COVARIANCE.S('Common sample'!AH6:AH75,'Common sample'!S6:S75)</x:f>
        <x:v>0.001581317212993246</x:v>
      </x:c>
      <x:c r="T38" s="43" t="n">
        <x:f>_xlfn.COVARIANCE.S('Common sample'!AH6:AH75,'Common sample'!T6:T75)</x:f>
        <x:v>0.0016197083520902488</x:v>
      </x:c>
      <x:c r="U38" s="43" t="n">
        <x:f>_xlfn.COVARIANCE.S('Common sample'!AH6:AH75,'Common sample'!U6:U75)</x:f>
        <x:v>-0.00041482038999809495</x:v>
      </x:c>
      <x:c r="V38" s="43" t="n">
        <x:f>_xlfn.COVARIANCE.S('Common sample'!AH6:AH75,'Common sample'!V6:V75)</x:f>
        <x:v>-0.0020116084739791136</x:v>
      </x:c>
      <x:c r="W38" s="43" t="n">
        <x:f>_xlfn.COVARIANCE.S('Common sample'!AH6:AH75,'Common sample'!W6:W75)</x:f>
        <x:v>0.0006681788439101656</x:v>
      </x:c>
      <x:c r="X38" s="43" t="n">
        <x:f>_xlfn.COVARIANCE.S('Common sample'!AH6:AH75,'Common sample'!X6:X75)</x:f>
        <x:v>0.0010132501255381249</x:v>
      </x:c>
      <x:c r="Y38" s="43" t="n">
        <x:f>_xlfn.COVARIANCE.S('Common sample'!AH6:AH75,'Common sample'!Y6:Y75)</x:f>
        <x:v>-0.0010906035031005765</x:v>
      </x:c>
      <x:c r="Z38" s="43" t="n">
        <x:f>_xlfn.COVARIANCE.S('Common sample'!AH6:AH75,'Common sample'!Z6:Z75)</x:f>
        <x:v>-0.0001239796342232937</x:v>
      </x:c>
      <x:c r="AA38" s="43" t="n">
        <x:f>_xlfn.COVARIANCE.S('Common sample'!AH6:AH75,'Common sample'!AA6:AA75)</x:f>
        <x:v>0.007251548106847739</x:v>
      </x:c>
      <x:c r="AB38" s="43" t="n">
        <x:f>_xlfn.COVARIANCE.S('Common sample'!AH6:AH75,'Common sample'!AB6:AB75)</x:f>
        <x:v>-0.003028086169179266</x:v>
      </x:c>
      <x:c r="AC38" s="43" t="n">
        <x:f>_xlfn.COVARIANCE.S('Common sample'!AH6:AH75,'Common sample'!AC6:AC75)</x:f>
        <x:v>-0.00006742141809523587</x:v>
      </x:c>
      <x:c r="AD38" s="43" t="n">
        <x:f>_xlfn.COVARIANCE.S('Common sample'!AH6:AH75,'Common sample'!AD6:AD75)</x:f>
        <x:v>0.002018264746742664</x:v>
      </x:c>
      <x:c r="AE38" s="43" t="n">
        <x:f>_xlfn.COVARIANCE.S('Common sample'!AH6:AH75,'Common sample'!AE6:AE75)</x:f>
        <x:v>-0.0025586948274584605</x:v>
      </x:c>
      <x:c r="AF38" s="43" t="n">
        <x:f>_xlfn.COVARIANCE.S('Common sample'!AH6:AH75,'Common sample'!AF6:AF75)</x:f>
        <x:v>0.0007503819631269404</x:v>
      </x:c>
      <x:c r="AG38" s="43" t="n">
        <x:f>_xlfn.COVARIANCE.S('Common sample'!AH6:AH75,'Common sample'!AG6:AG75)</x:f>
        <x:v>0.0007775909633328934</x:v>
      </x:c>
      <x:c r="AH38" s="43" t="n">
        <x:f>_xlfn.COVARIANCE.S('Common sample'!AH6:AH75,'Common sample'!AH6:AH75)</x:f>
        <x:v>0.011789244429014268</x:v>
      </x:c>
      <x:c r="AI38" s="43" t="n">
        <x:f>_xlfn.COVARIANCE.S('Common sample'!AH6:AH75,'Common sample'!AI6:AI75)</x:f>
        <x:v>-0.0003004807063862025</x:v>
      </x:c>
      <x:c r="AJ38" s="43" t="n">
        <x:f>_xlfn.COVARIANCE.S('Common sample'!AH6:AH75,'Common sample'!AJ6:AJ75)</x:f>
        <x:v>0.0006689191090857704</x:v>
      </x:c>
      <x:c r="AK38" s="43" t="n">
        <x:f>_xlfn.COVARIANCE.S('Common sample'!AH6:AH75,'Common sample'!AK6:AK75)</x:f>
        <x:v>0.00014757980901023335</x:v>
      </x:c>
      <x:c r="AL38" s="43" t="n">
        <x:f>_xlfn.COVARIANCE.S('Common sample'!AH6:AH75,'Common sample'!AL6:AL75)</x:f>
        <x:v>-0.0003633948877164832</x:v>
      </x:c>
      <x:c r="AM38" s="43" t="n">
        <x:f>_xlfn.COVARIANCE.S('Common sample'!AH6:AH75,'Common sample'!AM6:AM75)</x:f>
        <x:v>-0.0001364846619516536</x:v>
      </x:c>
      <x:c r="AN38" s="43" t="n">
        <x:f>_xlfn.COVARIANCE.S('Common sample'!AH6:AH75,'Common sample'!AN6:AN75)</x:f>
        <x:v>-0.00025955249873962596</x:v>
      </x:c>
      <x:c r="AO38" s="43" t="n">
        <x:f>_xlfn.COVARIANCE.S('Common sample'!AH6:AH75,'Common sample'!AO6:AO75)</x:f>
        <x:v>0.00038074557007989295</x:v>
      </x:c>
      <x:c r="AP38" s="43" t="n">
        <x:f>_xlfn.COVARIANCE.S('Common sample'!AH6:AH75,'Common sample'!AP6:AP75)</x:f>
        <x:v>0.00007493247358999726</x:v>
      </x:c>
      <x:c r="AQ38" s="43" t="n">
        <x:f>_xlfn.COVARIANCE.S('Common sample'!AH6:AH75,'Common sample'!AQ6:AQ75)</x:f>
        <x:v>0.0007777236391487887</x:v>
      </x:c>
      <x:c r="AR38" s="43" t="n">
        <x:f>_xlfn.COVARIANCE.S('Common sample'!AH6:AH75,'Common sample'!AR6:AR75)</x:f>
        <x:v>-0.0007194116645929157</x:v>
      </x:c>
    </x:row>
    <x:row r="39" ht="19" customHeight="1">
      <x:c r="A39" s="30" t="str">
        <x:v>LLY</x:v>
      </x:c>
      <x:c r="B39" s="43" t="n">
        <x:f>_xlfn.COVARIANCE.S('Common sample'!AI6:AI75,'Common sample'!B6:B75)</x:f>
        <x:v>0.0007523968959018501</x:v>
      </x:c>
      <x:c r="C39" s="43" t="n">
        <x:f>_xlfn.COVARIANCE.S('Common sample'!AI6:AI75,'Common sample'!C6:C75)</x:f>
        <x:v>0.0008658092141269766</x:v>
      </x:c>
      <x:c r="D39" s="43" t="n">
        <x:f>_xlfn.COVARIANCE.S('Common sample'!AI6:AI75,'Common sample'!D6:D75)</x:f>
        <x:v>0.00040548697615001996</x:v>
      </x:c>
      <x:c r="E39" s="43" t="n">
        <x:f>_xlfn.COVARIANCE.S('Common sample'!AI6:AI75,'Common sample'!E6:E75)</x:f>
        <x:v>-0.0002669992536866831</x:v>
      </x:c>
      <x:c r="F39" s="43" t="n">
        <x:f>_xlfn.COVARIANCE.S('Common sample'!AI6:AI75,'Common sample'!F6:F75)</x:f>
        <x:v>0.0003501270701852401</x:v>
      </x:c>
      <x:c r="G39" s="43" t="n">
        <x:f>_xlfn.COVARIANCE.S('Common sample'!AI6:AI75,'Common sample'!G6:G75)</x:f>
        <x:v>0.0014065450378699161</x:v>
      </x:c>
      <x:c r="H39" s="43" t="n">
        <x:f>_xlfn.COVARIANCE.S('Common sample'!AI6:AI75,'Common sample'!H6:H75)</x:f>
        <x:v>-0.00018289852151326112</x:v>
      </x:c>
      <x:c r="I39" s="43" t="n">
        <x:f>_xlfn.COVARIANCE.S('Common sample'!AI6:AI75,'Common sample'!I6:I75)</x:f>
        <x:v>0.0004734790590560412</x:v>
      </x:c>
      <x:c r="J39" s="43" t="n">
        <x:f>_xlfn.COVARIANCE.S('Common sample'!AI6:AI75,'Common sample'!J6:J75)</x:f>
        <x:v>0.0009089801554839319</x:v>
      </x:c>
      <x:c r="K39" s="43" t="n">
        <x:f>_xlfn.COVARIANCE.S('Common sample'!AI6:AI75,'Common sample'!K6:K75)</x:f>
        <x:v>-0.0005182483121994923</x:v>
      </x:c>
      <x:c r="L39" s="43" t="n">
        <x:f>_xlfn.COVARIANCE.S('Common sample'!AI6:AI75,'Common sample'!L6:L75)</x:f>
        <x:v>-0.0005022019117375096</x:v>
      </x:c>
      <x:c r="M39" s="43" t="n">
        <x:f>_xlfn.COVARIANCE.S('Common sample'!AI6:AI75,'Common sample'!M6:M75)</x:f>
        <x:v>-0.00030923289987714036</x:v>
      </x:c>
      <x:c r="N39" s="43" t="n">
        <x:f>_xlfn.COVARIANCE.S('Common sample'!AI6:AI75,'Common sample'!N6:N75)</x:f>
        <x:v>-0.00027003033659270346</x:v>
      </x:c>
      <x:c r="O39" s="43" t="n">
        <x:f>_xlfn.COVARIANCE.S('Common sample'!AI6:AI75,'Common sample'!O6:O75)</x:f>
        <x:v>0.0016750125733192304</x:v>
      </x:c>
      <x:c r="P39" s="43" t="n">
        <x:f>_xlfn.COVARIANCE.S('Common sample'!AI6:AI75,'Common sample'!P6:P75)</x:f>
        <x:v>0.00012159463175917248</x:v>
      </x:c>
      <x:c r="Q39" s="43" t="n">
        <x:f>_xlfn.COVARIANCE.S('Common sample'!AI6:AI75,'Common sample'!Q6:Q75)</x:f>
        <x:v>-0.00018563365746833397</x:v>
      </x:c>
      <x:c r="R39" s="43" t="n">
        <x:f>_xlfn.COVARIANCE.S('Common sample'!AI6:AI75,'Common sample'!R6:R75)</x:f>
        <x:v>0.00002394570859312874</x:v>
      </x:c>
      <x:c r="S39" s="43" t="n">
        <x:f>_xlfn.COVARIANCE.S('Common sample'!AI6:AI75,'Common sample'!S6:S75)</x:f>
        <x:v>-0.00031421795354371343</x:v>
      </x:c>
      <x:c r="T39" s="43" t="n">
        <x:f>_xlfn.COVARIANCE.S('Common sample'!AI6:AI75,'Common sample'!T6:T75)</x:f>
        <x:v>-0.0018906377776278427</x:v>
      </x:c>
      <x:c r="U39" s="43" t="n">
        <x:f>_xlfn.COVARIANCE.S('Common sample'!AI6:AI75,'Common sample'!U6:U75)</x:f>
        <x:v>-0.00012075790915108792</x:v>
      </x:c>
      <x:c r="V39" s="43" t="n">
        <x:f>_xlfn.COVARIANCE.S('Common sample'!AI6:AI75,'Common sample'!V6:V75)</x:f>
        <x:v>-0.00019566430369490155</x:v>
      </x:c>
      <x:c r="W39" s="43" t="n">
        <x:f>_xlfn.COVARIANCE.S('Common sample'!AI6:AI75,'Common sample'!W6:W75)</x:f>
        <x:v>0.00008760293539702643</x:v>
      </x:c>
      <x:c r="X39" s="43" t="n">
        <x:f>_xlfn.COVARIANCE.S('Common sample'!AI6:AI75,'Common sample'!X6:X75)</x:f>
        <x:v>0.001667665525938122</x:v>
      </x:c>
      <x:c r="Y39" s="43" t="n">
        <x:f>_xlfn.COVARIANCE.S('Common sample'!AI6:AI75,'Common sample'!Y6:Y75)</x:f>
        <x:v>-0.00026815515367786217</x:v>
      </x:c>
      <x:c r="Z39" s="43" t="n">
        <x:f>_xlfn.COVARIANCE.S('Common sample'!AI6:AI75,'Common sample'!Z6:Z75)</x:f>
        <x:v>0.00008047536417942893</x:v>
      </x:c>
      <x:c r="AA39" s="43" t="n">
        <x:f>_xlfn.COVARIANCE.S('Common sample'!AI6:AI75,'Common sample'!AA6:AA75)</x:f>
        <x:v>-0.003492576385023666</x:v>
      </x:c>
      <x:c r="AB39" s="43" t="n">
        <x:f>_xlfn.COVARIANCE.S('Common sample'!AI6:AI75,'Common sample'!AB6:AB75)</x:f>
        <x:v>-0.0003272681994502996</x:v>
      </x:c>
      <x:c r="AC39" s="43" t="n">
        <x:f>_xlfn.COVARIANCE.S('Common sample'!AI6:AI75,'Common sample'!AC6:AC75)</x:f>
        <x:v>0.0002483165928335266</x:v>
      </x:c>
      <x:c r="AD39" s="43" t="n">
        <x:f>_xlfn.COVARIANCE.S('Common sample'!AI6:AI75,'Common sample'!AD6:AD75)</x:f>
        <x:v>0.0011346109764741982</x:v>
      </x:c>
      <x:c r="AE39" s="43" t="n">
        <x:f>_xlfn.COVARIANCE.S('Common sample'!AI6:AI75,'Common sample'!AE6:AE75)</x:f>
        <x:v>0.00047023585971939854</x:v>
      </x:c>
      <x:c r="AF39" s="43" t="n">
        <x:f>_xlfn.COVARIANCE.S('Common sample'!AI6:AI75,'Common sample'!AF6:AF75)</x:f>
        <x:v>-0.0005277064003237042</x:v>
      </x:c>
      <x:c r="AG39" s="43" t="n">
        <x:f>_xlfn.COVARIANCE.S('Common sample'!AI6:AI75,'Common sample'!AG6:AG75)</x:f>
        <x:v>0.0003156543618801989</x:v>
      </x:c>
      <x:c r="AH39" s="43" t="n">
        <x:f>_xlfn.COVARIANCE.S('Common sample'!AI6:AI75,'Common sample'!AH6:AH75)</x:f>
        <x:v>-0.0003004807063862025</x:v>
      </x:c>
      <x:c r="AI39" s="43" t="n">
        <x:f>_xlfn.COVARIANCE.S('Common sample'!AI6:AI75,'Common sample'!AI6:AI75)</x:f>
        <x:v>0.00491903123112967</x:v>
      </x:c>
      <x:c r="AJ39" s="43" t="n">
        <x:f>_xlfn.COVARIANCE.S('Common sample'!AI6:AI75,'Common sample'!AJ6:AJ75)</x:f>
        <x:v>0.0006617336974795914</x:v>
      </x:c>
      <x:c r="AK39" s="43" t="n">
        <x:f>_xlfn.COVARIANCE.S('Common sample'!AI6:AI75,'Common sample'!AK6:AK75)</x:f>
        <x:v>0.0008522683573137727</x:v>
      </x:c>
      <x:c r="AL39" s="43" t="n">
        <x:f>_xlfn.COVARIANCE.S('Common sample'!AI6:AI75,'Common sample'!AL6:AL75)</x:f>
        <x:v>-0.0010866242723771204</x:v>
      </x:c>
      <x:c r="AM39" s="43" t="n">
        <x:f>_xlfn.COVARIANCE.S('Common sample'!AI6:AI75,'Common sample'!AM6:AM75)</x:f>
        <x:v>0.000439660365630722</x:v>
      </x:c>
      <x:c r="AN39" s="43" t="n">
        <x:f>_xlfn.COVARIANCE.S('Common sample'!AI6:AI75,'Common sample'!AN6:AN75)</x:f>
        <x:v>0.0004019703342877537</x:v>
      </x:c>
      <x:c r="AO39" s="43" t="n">
        <x:f>_xlfn.COVARIANCE.S('Common sample'!AI6:AI75,'Common sample'!AO6:AO75)</x:f>
        <x:v>0.0004695976776104206</x:v>
      </x:c>
      <x:c r="AP39" s="43" t="n">
        <x:f>_xlfn.COVARIANCE.S('Common sample'!AI6:AI75,'Common sample'!AP6:AP75)</x:f>
        <x:v>0.0002093326067057466</x:v>
      </x:c>
      <x:c r="AQ39" s="43" t="n">
        <x:f>_xlfn.COVARIANCE.S('Common sample'!AI6:AI75,'Common sample'!AQ6:AQ75)</x:f>
        <x:v>-0.00022383041749747477</x:v>
      </x:c>
      <x:c r="AR39" s="43" t="n">
        <x:f>_xlfn.COVARIANCE.S('Common sample'!AI6:AI75,'Common sample'!AR6:AR75)</x:f>
        <x:v>0.0008556015265207062</x:v>
      </x:c>
    </x:row>
    <x:row r="40" ht="19" customHeight="1">
      <x:c r="A40" s="30" t="str">
        <x:v>WELL</x:v>
      </x:c>
      <x:c r="B40" s="43" t="n">
        <x:f>_xlfn.COVARIANCE.S('Common sample'!AJ6:AJ75,'Common sample'!B6:B75)</x:f>
        <x:v>0.00011199497467077912</x:v>
      </x:c>
      <x:c r="C40" s="43" t="n">
        <x:f>_xlfn.COVARIANCE.S('Common sample'!AJ6:AJ75,'Common sample'!C6:C75)</x:f>
        <x:v>0.00004239429036870967</x:v>
      </x:c>
      <x:c r="D40" s="43" t="n">
        <x:f>_xlfn.COVARIANCE.S('Common sample'!AJ6:AJ75,'Common sample'!D6:D75)</x:f>
        <x:v>0.0007360330151128956</x:v>
      </x:c>
      <x:c r="E40" s="43" t="n">
        <x:f>_xlfn.COVARIANCE.S('Common sample'!AJ6:AJ75,'Common sample'!E6:E75)</x:f>
        <x:v>0.0005816971228187522</x:v>
      </x:c>
      <x:c r="F40" s="43" t="n">
        <x:f>_xlfn.COVARIANCE.S('Common sample'!AJ6:AJ75,'Common sample'!F6:F75)</x:f>
        <x:v>-0.00019196045198024986</x:v>
      </x:c>
      <x:c r="G40" s="43" t="n">
        <x:f>_xlfn.COVARIANCE.S('Common sample'!AJ6:AJ75,'Common sample'!G6:G75)</x:f>
        <x:v>-0.0007596231428523921</x:v>
      </x:c>
      <x:c r="H40" s="43" t="n">
        <x:f>_xlfn.COVARIANCE.S('Common sample'!AJ6:AJ75,'Common sample'!H6:H75)</x:f>
        <x:v>0.000012519772905037924</x:v>
      </x:c>
      <x:c r="I40" s="43" t="n">
        <x:f>_xlfn.COVARIANCE.S('Common sample'!AJ6:AJ75,'Common sample'!I6:I75)</x:f>
        <x:v>0.0007927931239194402</x:v>
      </x:c>
      <x:c r="J40" s="43" t="n">
        <x:f>_xlfn.COVARIANCE.S('Common sample'!AJ6:AJ75,'Common sample'!J6:J75)</x:f>
        <x:v>0.00019051790177204413</x:v>
      </x:c>
      <x:c r="K40" s="43" t="n">
        <x:f>_xlfn.COVARIANCE.S('Common sample'!AJ6:AJ75,'Common sample'!K6:K75)</x:f>
        <x:v>0.000732821008339763</x:v>
      </x:c>
      <x:c r="L40" s="43" t="n">
        <x:f>_xlfn.COVARIANCE.S('Common sample'!AJ6:AJ75,'Common sample'!L6:L75)</x:f>
        <x:v>-0.0003167889189200238</x:v>
      </x:c>
      <x:c r="M40" s="43" t="n">
        <x:f>_xlfn.COVARIANCE.S('Common sample'!AJ6:AJ75,'Common sample'!M6:M75)</x:f>
        <x:v>0.00035176309568437156</x:v>
      </x:c>
      <x:c r="N40" s="43" t="n">
        <x:f>_xlfn.COVARIANCE.S('Common sample'!AJ6:AJ75,'Common sample'!N6:N75)</x:f>
        <x:v>-0.0003623994087366509</x:v>
      </x:c>
      <x:c r="O40" s="43" t="n">
        <x:f>_xlfn.COVARIANCE.S('Common sample'!AJ6:AJ75,'Common sample'!O6:O75)</x:f>
        <x:v>0.0013600535581034595</x:v>
      </x:c>
      <x:c r="P40" s="43" t="n">
        <x:f>_xlfn.COVARIANCE.S('Common sample'!AJ6:AJ75,'Common sample'!P6:P75)</x:f>
        <x:v>-0.0010061656160146577</x:v>
      </x:c>
      <x:c r="Q40" s="43" t="n">
        <x:f>_xlfn.COVARIANCE.S('Common sample'!AJ6:AJ75,'Common sample'!Q6:Q75)</x:f>
        <x:v>0.000091604165429427</x:v>
      </x:c>
      <x:c r="R40" s="43" t="n">
        <x:f>_xlfn.COVARIANCE.S('Common sample'!AJ6:AJ75,'Common sample'!R6:R75)</x:f>
        <x:v>0.0003651260235473266</x:v>
      </x:c>
      <x:c r="S40" s="43" t="n">
        <x:f>_xlfn.COVARIANCE.S('Common sample'!AJ6:AJ75,'Common sample'!S6:S75)</x:f>
        <x:v>0.0008219784388704186</x:v>
      </x:c>
      <x:c r="T40" s="43" t="n">
        <x:f>_xlfn.COVARIANCE.S('Common sample'!AJ6:AJ75,'Common sample'!T6:T75)</x:f>
        <x:v>-0.0013255597356931672</x:v>
      </x:c>
      <x:c r="U40" s="43" t="n">
        <x:f>_xlfn.COVARIANCE.S('Common sample'!AJ6:AJ75,'Common sample'!U6:U75)</x:f>
        <x:v>0.000739848466825799</x:v>
      </x:c>
      <x:c r="V40" s="43" t="n">
        <x:f>_xlfn.COVARIANCE.S('Common sample'!AJ6:AJ75,'Common sample'!V6:V75)</x:f>
        <x:v>-0.0005869980866420726</x:v>
      </x:c>
      <x:c r="W40" s="43" t="n">
        <x:f>_xlfn.COVARIANCE.S('Common sample'!AJ6:AJ75,'Common sample'!W6:W75)</x:f>
        <x:v>-0.00014908017211320723</x:v>
      </x:c>
      <x:c r="X40" s="43" t="n">
        <x:f>_xlfn.COVARIANCE.S('Common sample'!AJ6:AJ75,'Common sample'!X6:X75)</x:f>
        <x:v>-0.00004896980058008731</x:v>
      </x:c>
      <x:c r="Y40" s="43" t="n">
        <x:f>_xlfn.COVARIANCE.S('Common sample'!AJ6:AJ75,'Common sample'!Y6:Y75)</x:f>
        <x:v>-0.0009017802390207767</x:v>
      </x:c>
      <x:c r="Z40" s="43" t="n">
        <x:f>_xlfn.COVARIANCE.S('Common sample'!AJ6:AJ75,'Common sample'!Z6:Z75)</x:f>
        <x:v>0.00029577123089542947</x:v>
      </x:c>
      <x:c r="AA40" s="43" t="n">
        <x:f>_xlfn.COVARIANCE.S('Common sample'!AJ6:AJ75,'Common sample'!AA6:AA75)</x:f>
        <x:v>0.0016187414316726322</x:v>
      </x:c>
      <x:c r="AB40" s="43" t="n">
        <x:f>_xlfn.COVARIANCE.S('Common sample'!AJ6:AJ75,'Common sample'!AB6:AB75)</x:f>
        <x:v>-0.0011054759974754888</x:v>
      </x:c>
      <x:c r="AC40" s="43" t="n">
        <x:f>_xlfn.COVARIANCE.S('Common sample'!AJ6:AJ75,'Common sample'!AC6:AC75)</x:f>
        <x:v>0.000426627958137323</x:v>
      </x:c>
      <x:c r="AD40" s="43" t="n">
        <x:f>_xlfn.COVARIANCE.S('Common sample'!AJ6:AJ75,'Common sample'!AD6:AD75)</x:f>
        <x:v>0.000688096309801209</x:v>
      </x:c>
      <x:c r="AE40" s="43" t="n">
        <x:f>_xlfn.COVARIANCE.S('Common sample'!AJ6:AJ75,'Common sample'!AE6:AE75)</x:f>
        <x:v>-0.0006729691494462966</x:v>
      </x:c>
      <x:c r="AF40" s="43" t="n">
        <x:f>_xlfn.COVARIANCE.S('Common sample'!AJ6:AJ75,'Common sample'!AF6:AF75)</x:f>
        <x:v>-0.0006400665063803788</x:v>
      </x:c>
      <x:c r="AG40" s="43" t="n">
        <x:f>_xlfn.COVARIANCE.S('Common sample'!AJ6:AJ75,'Common sample'!AG6:AG75)</x:f>
        <x:v>-0.0013388964744222472</x:v>
      </x:c>
      <x:c r="AH40" s="43" t="n">
        <x:f>_xlfn.COVARIANCE.S('Common sample'!AJ6:AJ75,'Common sample'!AH6:AH75)</x:f>
        <x:v>0.0006689191090857704</x:v>
      </x:c>
      <x:c r="AI40" s="43" t="n">
        <x:f>_xlfn.COVARIANCE.S('Common sample'!AJ6:AJ75,'Common sample'!AI6:AI75)</x:f>
        <x:v>0.0006617336974795914</x:v>
      </x:c>
      <x:c r="AJ40" s="43" t="n">
        <x:f>_xlfn.COVARIANCE.S('Common sample'!AJ6:AJ75,'Common sample'!AJ6:AJ75)</x:f>
        <x:v>0.0029291787936871158</x:v>
      </x:c>
      <x:c r="AK40" s="43" t="n">
        <x:f>_xlfn.COVARIANCE.S('Common sample'!AJ6:AJ75,'Common sample'!AK6:AK75)</x:f>
        <x:v>0.00015381263292805336</x:v>
      </x:c>
      <x:c r="AL40" s="43" t="n">
        <x:f>_xlfn.COVARIANCE.S('Common sample'!AJ6:AJ75,'Common sample'!AL6:AL75)</x:f>
        <x:v>-0.0004246648931204401</x:v>
      </x:c>
      <x:c r="AM40" s="43" t="n">
        <x:f>_xlfn.COVARIANCE.S('Common sample'!AJ6:AJ75,'Common sample'!AM6:AM75)</x:f>
        <x:v>0.00014978513298582335</x:v>
      </x:c>
      <x:c r="AN40" s="43" t="n">
        <x:f>_xlfn.COVARIANCE.S('Common sample'!AJ6:AJ75,'Common sample'!AN6:AN75)</x:f>
        <x:v>0.0006266125602180409</x:v>
      </x:c>
      <x:c r="AO40" s="43" t="n">
        <x:f>_xlfn.COVARIANCE.S('Common sample'!AJ6:AJ75,'Common sample'!AO6:AO75)</x:f>
        <x:v>-0.0002791447989874153</x:v>
      </x:c>
      <x:c r="AP40" s="43" t="n">
        <x:f>_xlfn.COVARIANCE.S('Common sample'!AJ6:AJ75,'Common sample'!AP6:AP75)</x:f>
        <x:v>0.00036299619235676515</x:v>
      </x:c>
      <x:c r="AQ40" s="43" t="n">
        <x:f>_xlfn.COVARIANCE.S('Common sample'!AJ6:AJ75,'Common sample'!AQ6:AQ75)</x:f>
        <x:v>0.0003702172269584477</x:v>
      </x:c>
      <x:c r="AR40" s="43" t="n">
        <x:f>_xlfn.COVARIANCE.S('Common sample'!AJ6:AJ75,'Common sample'!AR6:AR75)</x:f>
        <x:v>0.00038941480649561214</x:v>
      </x:c>
    </x:row>
    <x:row r="41" ht="19" customHeight="1">
      <x:c r="A41" s="30" t="str">
        <x:v>NOK</x:v>
      </x:c>
      <x:c r="B41" s="43" t="n">
        <x:f>_xlfn.COVARIANCE.S('Common sample'!AK6:AK75,'Common sample'!B6:B75)</x:f>
        <x:v>-0.0016439784917417044</x:v>
      </x:c>
      <x:c r="C41" s="43" t="n">
        <x:f>_xlfn.COVARIANCE.S('Common sample'!AK6:AK75,'Common sample'!C6:C75)</x:f>
        <x:v>0.000735162817970891</x:v>
      </x:c>
      <x:c r="D41" s="43" t="n">
        <x:f>_xlfn.COVARIANCE.S('Common sample'!AK6:AK75,'Common sample'!D6:D75)</x:f>
        <x:v>0.0003069737439903063</x:v>
      </x:c>
      <x:c r="E41" s="43" t="n">
        <x:f>_xlfn.COVARIANCE.S('Common sample'!AK6:AK75,'Common sample'!E6:E75)</x:f>
        <x:v>0.0006351128269301565</x:v>
      </x:c>
      <x:c r="F41" s="43" t="n">
        <x:f>_xlfn.COVARIANCE.S('Common sample'!AK6:AK75,'Common sample'!F6:F75)</x:f>
        <x:v>-0.00020186916748737372</x:v>
      </x:c>
      <x:c r="G41" s="43" t="n">
        <x:f>_xlfn.COVARIANCE.S('Common sample'!AK6:AK75,'Common sample'!G6:G75)</x:f>
        <x:v>-0.0035336959120227554</x:v>
      </x:c>
      <x:c r="H41" s="43" t="n">
        <x:f>_xlfn.COVARIANCE.S('Common sample'!AK6:AK75,'Common sample'!H6:H75)</x:f>
        <x:v>0.0004588572134961473</x:v>
      </x:c>
      <x:c r="I41" s="43" t="n">
        <x:f>_xlfn.COVARIANCE.S('Common sample'!AK6:AK75,'Common sample'!I6:I75)</x:f>
        <x:v>0.0021311806104479455</x:v>
      </x:c>
      <x:c r="J41" s="43" t="n">
        <x:f>_xlfn.COVARIANCE.S('Common sample'!AK6:AK75,'Common sample'!J6:J75)</x:f>
        <x:v>0.003322053893646942</x:v>
      </x:c>
      <x:c r="K41" s="43" t="n">
        <x:f>_xlfn.COVARIANCE.S('Common sample'!AK6:AK75,'Common sample'!K6:K75)</x:f>
        <x:v>-0.0004793435458536592</x:v>
      </x:c>
      <x:c r="L41" s="43" t="n">
        <x:f>_xlfn.COVARIANCE.S('Common sample'!AK6:AK75,'Common sample'!L6:L75)</x:f>
        <x:v>-0.000043273212281077106</x:v>
      </x:c>
      <x:c r="M41" s="43" t="n">
        <x:f>_xlfn.COVARIANCE.S('Common sample'!AK6:AK75,'Common sample'!M6:M75)</x:f>
        <x:v>0.00014905336211037097</x:v>
      </x:c>
      <x:c r="N41" s="43" t="n">
        <x:f>_xlfn.COVARIANCE.S('Common sample'!AK6:AK75,'Common sample'!N6:N75)</x:f>
        <x:v>-0.0016098668459284358</x:v>
      </x:c>
      <x:c r="O41" s="43" t="n">
        <x:f>_xlfn.COVARIANCE.S('Common sample'!AK6:AK75,'Common sample'!O6:O75)</x:f>
        <x:v>0.003230140615116105</x:v>
      </x:c>
      <x:c r="P41" s="43" t="n">
        <x:f>_xlfn.COVARIANCE.S('Common sample'!AK6:AK75,'Common sample'!P6:P75)</x:f>
        <x:v>-0.000016129978901890704</x:v>
      </x:c>
      <x:c r="Q41" s="43" t="n">
        <x:f>_xlfn.COVARIANCE.S('Common sample'!AK6:AK75,'Common sample'!Q6:Q75)</x:f>
        <x:v>0.006793586189889034</x:v>
      </x:c>
      <x:c r="R41" s="43" t="n">
        <x:f>_xlfn.COVARIANCE.S('Common sample'!AK6:AK75,'Common sample'!R6:R75)</x:f>
        <x:v>0.0018708143311301877</x:v>
      </x:c>
      <x:c r="S41" s="43" t="n">
        <x:f>_xlfn.COVARIANCE.S('Common sample'!AK6:AK75,'Common sample'!S6:S75)</x:f>
        <x:v>-0.002464484118224745</x:v>
      </x:c>
      <x:c r="T41" s="43" t="n">
        <x:f>_xlfn.COVARIANCE.S('Common sample'!AK6:AK75,'Common sample'!T6:T75)</x:f>
        <x:v>-0.0022250992870265743</x:v>
      </x:c>
      <x:c r="U41" s="43" t="n">
        <x:f>_xlfn.COVARIANCE.S('Common sample'!AK6:AK75,'Common sample'!U6:U75)</x:f>
        <x:v>-0.002923689083983825</x:v>
      </x:c>
      <x:c r="V41" s="43" t="n">
        <x:f>_xlfn.COVARIANCE.S('Common sample'!AK6:AK75,'Common sample'!V6:V75)</x:f>
        <x:v>0.0007652768738541716</x:v>
      </x:c>
      <x:c r="W41" s="43" t="n">
        <x:f>_xlfn.COVARIANCE.S('Common sample'!AK6:AK75,'Common sample'!W6:W75)</x:f>
        <x:v>-0.001164556976717557</x:v>
      </x:c>
      <x:c r="X41" s="43" t="n">
        <x:f>_xlfn.COVARIANCE.S('Common sample'!AK6:AK75,'Common sample'!X6:X75)</x:f>
        <x:v>0.00287041085300586</x:v>
      </x:c>
      <x:c r="Y41" s="43" t="n">
        <x:f>_xlfn.COVARIANCE.S('Common sample'!AK6:AK75,'Common sample'!Y6:Y75)</x:f>
        <x:v>0.00125184972637956</x:v>
      </x:c>
      <x:c r="Z41" s="43" t="n">
        <x:f>_xlfn.COVARIANCE.S('Common sample'!AK6:AK75,'Common sample'!Z6:Z75)</x:f>
        <x:v>0.00008209758225127367</x:v>
      </x:c>
      <x:c r="AA41" s="43" t="n">
        <x:f>_xlfn.COVARIANCE.S('Common sample'!AK6:AK75,'Common sample'!AA6:AA75)</x:f>
        <x:v>-0.0023462449366420967</x:v>
      </x:c>
      <x:c r="AB41" s="43" t="n">
        <x:f>_xlfn.COVARIANCE.S('Common sample'!AK6:AK75,'Common sample'!AB6:AB75)</x:f>
        <x:v>-0.008817486313969385</x:v>
      </x:c>
      <x:c r="AC41" s="43" t="n">
        <x:f>_xlfn.COVARIANCE.S('Common sample'!AK6:AK75,'Common sample'!AC6:AC75)</x:f>
        <x:v>-0.00003217432349877842</x:v>
      </x:c>
      <x:c r="AD41" s="43" t="n">
        <x:f>_xlfn.COVARIANCE.S('Common sample'!AK6:AK75,'Common sample'!AD6:AD75)</x:f>
        <x:v>0.002461326160542984</x:v>
      </x:c>
      <x:c r="AE41" s="43" t="n">
        <x:f>_xlfn.COVARIANCE.S('Common sample'!AK6:AK75,'Common sample'!AE6:AE75)</x:f>
        <x:v>-0.0004798364494224133</x:v>
      </x:c>
      <x:c r="AF41" s="43" t="n">
        <x:f>_xlfn.COVARIANCE.S('Common sample'!AK6:AK75,'Common sample'!AF6:AF75)</x:f>
        <x:v>-0.0013474231709570109</x:v>
      </x:c>
      <x:c r="AG41" s="43" t="n">
        <x:f>_xlfn.COVARIANCE.S('Common sample'!AK6:AK75,'Common sample'!AG6:AG75)</x:f>
        <x:v>-0.00033827718898547007</x:v>
      </x:c>
      <x:c r="AH41" s="43" t="n">
        <x:f>_xlfn.COVARIANCE.S('Common sample'!AK6:AK75,'Common sample'!AH6:AH75)</x:f>
        <x:v>0.00014757980901023335</x:v>
      </x:c>
      <x:c r="AI41" s="43" t="n">
        <x:f>_xlfn.COVARIANCE.S('Common sample'!AK6:AK75,'Common sample'!AI6:AI75)</x:f>
        <x:v>0.0008522683573137727</x:v>
      </x:c>
      <x:c r="AJ41" s="43" t="n">
        <x:f>_xlfn.COVARIANCE.S('Common sample'!AK6:AK75,'Common sample'!AJ6:AJ75)</x:f>
        <x:v>0.00015381263292805336</x:v>
      </x:c>
      <x:c r="AK41" s="43" t="n">
        <x:f>_xlfn.COVARIANCE.S('Common sample'!AK6:AK75,'Common sample'!AK6:AK75)</x:f>
        <x:v>0.01449179818159283</x:v>
      </x:c>
      <x:c r="AL41" s="43" t="n">
        <x:f>_xlfn.COVARIANCE.S('Common sample'!AK6:AK75,'Common sample'!AL6:AL75)</x:f>
        <x:v>-0.0018893047495883316</x:v>
      </x:c>
      <x:c r="AM41" s="43" t="n">
        <x:f>_xlfn.COVARIANCE.S('Common sample'!AK6:AK75,'Common sample'!AM6:AM75)</x:f>
        <x:v>0.0015171110744805305</x:v>
      </x:c>
      <x:c r="AN41" s="43" t="n">
        <x:f>_xlfn.COVARIANCE.S('Common sample'!AK6:AK75,'Common sample'!AN6:AN75)</x:f>
        <x:v>0.00028009120250638216</x:v>
      </x:c>
      <x:c r="AO41" s="43" t="n">
        <x:f>_xlfn.COVARIANCE.S('Common sample'!AK6:AK75,'Common sample'!AO6:AO75)</x:f>
        <x:v>-0.00240993813893543</x:v>
      </x:c>
      <x:c r="AP41" s="43" t="n">
        <x:f>_xlfn.COVARIANCE.S('Common sample'!AK6:AK75,'Common sample'!AP6:AP75)</x:f>
        <x:v>0.0006022669537300141</x:v>
      </x:c>
      <x:c r="AQ41" s="43" t="n">
        <x:f>_xlfn.COVARIANCE.S('Common sample'!AK6:AK75,'Common sample'!AQ6:AQ75)</x:f>
        <x:v>-0.0005985121583879201</x:v>
      </x:c>
      <x:c r="AR41" s="43" t="n">
        <x:f>_xlfn.COVARIANCE.S('Common sample'!AK6:AK75,'Common sample'!AR6:AR75)</x:f>
        <x:v>0.0012031016778732933</x:v>
      </x:c>
    </x:row>
    <x:row r="42" ht="19" customHeight="1">
      <x:c r="A42" s="30" t="str">
        <x:v>MSFT</x:v>
      </x:c>
      <x:c r="B42" s="43" t="n">
        <x:f>_xlfn.COVARIANCE.S('Common sample'!AL6:AL75,'Common sample'!B6:B75)</x:f>
        <x:v>0.00019069820650243185</x:v>
      </x:c>
      <x:c r="C42" s="43" t="n">
        <x:f>_xlfn.COVARIANCE.S('Common sample'!AL6:AL75,'Common sample'!C6:C75)</x:f>
        <x:v>-0.000559560623671838</x:v>
      </x:c>
      <x:c r="D42" s="43" t="n">
        <x:f>_xlfn.COVARIANCE.S('Common sample'!AL6:AL75,'Common sample'!D6:D75)</x:f>
        <x:v>-0.00028536452307448886</x:v>
      </x:c>
      <x:c r="E42" s="43" t="n">
        <x:f>_xlfn.COVARIANCE.S('Common sample'!AL6:AL75,'Common sample'!E6:E75)</x:f>
        <x:v>-0.0006292677052457292</x:v>
      </x:c>
      <x:c r="F42" s="43" t="n">
        <x:f>_xlfn.COVARIANCE.S('Common sample'!AL6:AL75,'Common sample'!F6:F75)</x:f>
        <x:v>0.0006955732899155208</x:v>
      </x:c>
      <x:c r="G42" s="43" t="n">
        <x:f>_xlfn.COVARIANCE.S('Common sample'!AL6:AL75,'Common sample'!G6:G75)</x:f>
        <x:v>0.001435159481695748</x:v>
      </x:c>
      <x:c r="H42" s="43" t="n">
        <x:f>_xlfn.COVARIANCE.S('Common sample'!AL6:AL75,'Common sample'!H6:H75)</x:f>
        <x:v>0.0006744359487213882</x:v>
      </x:c>
      <x:c r="I42" s="43" t="n">
        <x:f>_xlfn.COVARIANCE.S('Common sample'!AL6:AL75,'Common sample'!I6:I75)</x:f>
        <x:v>-0.001090110600758641</x:v>
      </x:c>
      <x:c r="J42" s="43" t="n">
        <x:f>_xlfn.COVARIANCE.S('Common sample'!AL6:AL75,'Common sample'!J6:J75)</x:f>
        <x:v>-0.0030926567299313368</x:v>
      </x:c>
      <x:c r="K42" s="43" t="n">
        <x:f>_xlfn.COVARIANCE.S('Common sample'!AL6:AL75,'Common sample'!K6:K75)</x:f>
        <x:v>0.0007187611259534855</x:v>
      </x:c>
      <x:c r="L42" s="43" t="n">
        <x:f>_xlfn.COVARIANCE.S('Common sample'!AL6:AL75,'Common sample'!L6:L75)</x:f>
        <x:v>0.0005089711270054701</x:v>
      </x:c>
      <x:c r="M42" s="43" t="n">
        <x:f>_xlfn.COVARIANCE.S('Common sample'!AL6:AL75,'Common sample'!M6:M75)</x:f>
        <x:v>0.0002842712128740202</x:v>
      </x:c>
      <x:c r="N42" s="43" t="n">
        <x:f>_xlfn.COVARIANCE.S('Common sample'!AL6:AL75,'Common sample'!N6:N75)</x:f>
        <x:v>0.00007698551047169803</x:v>
      </x:c>
      <x:c r="O42" s="43" t="n">
        <x:f>_xlfn.COVARIANCE.S('Common sample'!AL6:AL75,'Common sample'!O6:O75)</x:f>
        <x:v>-0.004213546446903126</x:v>
      </x:c>
      <x:c r="P42" s="43" t="n">
        <x:f>_xlfn.COVARIANCE.S('Common sample'!AL6:AL75,'Common sample'!P6:P75)</x:f>
        <x:v>-0.0011820359660909884</x:v>
      </x:c>
      <x:c r="Q42" s="43" t="n">
        <x:f>_xlfn.COVARIANCE.S('Common sample'!AL6:AL75,'Common sample'!Q6:Q75)</x:f>
        <x:v>-0.004056060874673336</x:v>
      </x:c>
      <x:c r="R42" s="43" t="n">
        <x:f>_xlfn.COVARIANCE.S('Common sample'!AL6:AL75,'Common sample'!R6:R75)</x:f>
        <x:v>0.0012337809899129416</x:v>
      </x:c>
      <x:c r="S42" s="43" t="n">
        <x:f>_xlfn.COVARIANCE.S('Common sample'!AL6:AL75,'Common sample'!S6:S75)</x:f>
        <x:v>0.0018609907387807953</x:v>
      </x:c>
      <x:c r="T42" s="43" t="n">
        <x:f>_xlfn.COVARIANCE.S('Common sample'!AL6:AL75,'Common sample'!T6:T75)</x:f>
        <x:v>-0.0017877666596628268</x:v>
      </x:c>
      <x:c r="U42" s="43" t="n">
        <x:f>_xlfn.COVARIANCE.S('Common sample'!AL6:AL75,'Common sample'!U6:U75)</x:f>
        <x:v>0.0028960574121568317</x:v>
      </x:c>
      <x:c r="V42" s="43" t="n">
        <x:f>_xlfn.COVARIANCE.S('Common sample'!AL6:AL75,'Common sample'!V6:V75)</x:f>
        <x:v>0.0019261667603223483</x:v>
      </x:c>
      <x:c r="W42" s="43" t="n">
        <x:f>_xlfn.COVARIANCE.S('Common sample'!AL6:AL75,'Common sample'!W6:W75)</x:f>
        <x:v>0.0011692822846615788</x:v>
      </x:c>
      <x:c r="X42" s="43" t="n">
        <x:f>_xlfn.COVARIANCE.S('Common sample'!AL6:AL75,'Common sample'!X6:X75)</x:f>
        <x:v>-0.0037514193552995127</x:v>
      </x:c>
      <x:c r="Y42" s="43" t="n">
        <x:f>_xlfn.COVARIANCE.S('Common sample'!AL6:AL75,'Common sample'!Y6:Y75)</x:f>
        <x:v>0.0015426356645733238</x:v>
      </x:c>
      <x:c r="Z42" s="43" t="n">
        <x:f>_xlfn.COVARIANCE.S('Common sample'!AL6:AL75,'Common sample'!Z6:Z75)</x:f>
        <x:v>0.00014844333132002494</x:v>
      </x:c>
      <x:c r="AA42" s="43" t="n">
        <x:f>_xlfn.COVARIANCE.S('Common sample'!AL6:AL75,'Common sample'!AA6:AA75)</x:f>
        <x:v>0.0012932502980865501</x:v>
      </x:c>
      <x:c r="AB42" s="43" t="n">
        <x:f>_xlfn.COVARIANCE.S('Common sample'!AL6:AL75,'Common sample'!AB6:AB75)</x:f>
        <x:v>0.0000022759525661471525</x:v>
      </x:c>
      <x:c r="AC42" s="43" t="n">
        <x:f>_xlfn.COVARIANCE.S('Common sample'!AL6:AL75,'Common sample'!AC6:AC75)</x:f>
        <x:v>-0.0002619963860265087</x:v>
      </x:c>
      <x:c r="AD42" s="43" t="n">
        <x:f>_xlfn.COVARIANCE.S('Common sample'!AL6:AL75,'Common sample'!AD6:AD75)</x:f>
        <x:v>-0.0006496350234125476</x:v>
      </x:c>
      <x:c r="AE42" s="43" t="n">
        <x:f>_xlfn.COVARIANCE.S('Common sample'!AL6:AL75,'Common sample'!AE6:AE75)</x:f>
        <x:v>-0.00034798066445345494</x:v>
      </x:c>
      <x:c r="AF42" s="43" t="n">
        <x:f>_xlfn.COVARIANCE.S('Common sample'!AL6:AL75,'Common sample'!AF6:AF75)</x:f>
        <x:v>0.0006988489703619393</x:v>
      </x:c>
      <x:c r="AG42" s="43" t="n">
        <x:f>_xlfn.COVARIANCE.S('Common sample'!AL6:AL75,'Common sample'!AG6:AG75)</x:f>
        <x:v>0.0019183659830602966</x:v>
      </x:c>
      <x:c r="AH42" s="43" t="n">
        <x:f>_xlfn.COVARIANCE.S('Common sample'!AL6:AL75,'Common sample'!AH6:AH75)</x:f>
        <x:v>-0.0003633948877164832</x:v>
      </x:c>
      <x:c r="AI42" s="43" t="n">
        <x:f>_xlfn.COVARIANCE.S('Common sample'!AL6:AL75,'Common sample'!AI6:AI75)</x:f>
        <x:v>-0.0010866242723771204</x:v>
      </x:c>
      <x:c r="AJ42" s="43" t="n">
        <x:f>_xlfn.COVARIANCE.S('Common sample'!AL6:AL75,'Common sample'!AJ6:AJ75)</x:f>
        <x:v>-0.0004246648931204401</x:v>
      </x:c>
      <x:c r="AK42" s="43" t="n">
        <x:f>_xlfn.COVARIANCE.S('Common sample'!AL6:AL75,'Common sample'!AK6:AK75)</x:f>
        <x:v>-0.0018893047495883316</x:v>
      </x:c>
      <x:c r="AL42" s="43" t="n">
        <x:f>_xlfn.COVARIANCE.S('Common sample'!AL6:AL75,'Common sample'!AL6:AL75)</x:f>
        <x:v>0.0035983010173064956</x:v>
      </x:c>
      <x:c r="AM42" s="43" t="n">
        <x:f>_xlfn.COVARIANCE.S('Common sample'!AL6:AL75,'Common sample'!AM6:AM75)</x:f>
        <x:v>-0.0013913484537290256</x:v>
      </x:c>
      <x:c r="AN42" s="43" t="n">
        <x:f>_xlfn.COVARIANCE.S('Common sample'!AL6:AL75,'Common sample'!AN6:AN75)</x:f>
        <x:v>0.00010341994933065762</x:v>
      </x:c>
      <x:c r="AO42" s="43" t="n">
        <x:f>_xlfn.COVARIANCE.S('Common sample'!AL6:AL75,'Common sample'!AO6:AO75)</x:f>
        <x:v>-0.00024017967171453914</x:v>
      </x:c>
      <x:c r="AP42" s="43" t="n">
        <x:f>_xlfn.COVARIANCE.S('Common sample'!AL6:AL75,'Common sample'!AP6:AP75)</x:f>
        <x:v>0.00029316354297924873</x:v>
      </x:c>
      <x:c r="AQ42" s="43" t="n">
        <x:f>_xlfn.COVARIANCE.S('Common sample'!AL6:AL75,'Common sample'!AQ6:AQ75)</x:f>
        <x:v>-0.00023028379122878303</x:v>
      </x:c>
      <x:c r="AR42" s="43" t="n">
        <x:f>_xlfn.COVARIANCE.S('Common sample'!AL6:AL75,'Common sample'!AR6:AR75)</x:f>
        <x:v>-0.00021667459649014266</x:v>
      </x:c>
    </x:row>
    <x:row r="43" ht="19" customHeight="1">
      <x:c r="A43" s="30" t="str">
        <x:v>GOOGL</x:v>
      </x:c>
      <x:c r="B43" s="43" t="n">
        <x:f>_xlfn.COVARIANCE.S('Common sample'!AM6:AM75,'Common sample'!B6:B75)</x:f>
        <x:v>-0.00009149445103665028</x:v>
      </x:c>
      <x:c r="C43" s="43" t="n">
        <x:f>_xlfn.COVARIANCE.S('Common sample'!AM6:AM75,'Common sample'!C6:C75)</x:f>
        <x:v>0.00024069341041850424</x:v>
      </x:c>
      <x:c r="D43" s="43" t="n">
        <x:f>_xlfn.COVARIANCE.S('Common sample'!AM6:AM75,'Common sample'!D6:D75)</x:f>
        <x:v>0.00011105986085921124</x:v>
      </x:c>
      <x:c r="E43" s="43" t="n">
        <x:f>_xlfn.COVARIANCE.S('Common sample'!AM6:AM75,'Common sample'!E6:E75)</x:f>
        <x:v>0.00040586024610709376</x:v>
      </x:c>
      <x:c r="F43" s="43" t="n">
        <x:f>_xlfn.COVARIANCE.S('Common sample'!AM6:AM75,'Common sample'!F6:F75)</x:f>
        <x:v>-0.0006764400420122078</x:v>
      </x:c>
      <x:c r="G43" s="43" t="n">
        <x:f>_xlfn.COVARIANCE.S('Common sample'!AM6:AM75,'Common sample'!G6:G75)</x:f>
        <x:v>-0.001426619885184095</x:v>
      </x:c>
      <x:c r="H43" s="43" t="n">
        <x:f>_xlfn.COVARIANCE.S('Common sample'!AM6:AM75,'Common sample'!H6:H75)</x:f>
        <x:v>0.00029151466782712757</x:v>
      </x:c>
      <x:c r="I43" s="43" t="n">
        <x:f>_xlfn.COVARIANCE.S('Common sample'!AM6:AM75,'Common sample'!I6:I75)</x:f>
        <x:v>0.0007535875382560357</x:v>
      </x:c>
      <x:c r="J43" s="43" t="n">
        <x:f>_xlfn.COVARIANCE.S('Common sample'!AM6:AM75,'Common sample'!J6:J75)</x:f>
        <x:v>0.0032533094380664458</x:v>
      </x:c>
      <x:c r="K43" s="43" t="n">
        <x:f>_xlfn.COVARIANCE.S('Common sample'!AM6:AM75,'Common sample'!K6:K75)</x:f>
        <x:v>-0.00011457497854789804</x:v>
      </x:c>
      <x:c r="L43" s="43" t="n">
        <x:f>_xlfn.COVARIANCE.S('Common sample'!AM6:AM75,'Common sample'!L6:L75)</x:f>
        <x:v>-0.0015030560235811676</x:v>
      </x:c>
      <x:c r="M43" s="43" t="n">
        <x:f>_xlfn.COVARIANCE.S('Common sample'!AM6:AM75,'Common sample'!M6:M75)</x:f>
        <x:v>0.00009778664216472437</x:v>
      </x:c>
      <x:c r="N43" s="43" t="n">
        <x:f>_xlfn.COVARIANCE.S('Common sample'!AM6:AM75,'Common sample'!N6:N75)</x:f>
        <x:v>-0.00046286009777406505</x:v>
      </x:c>
      <x:c r="O43" s="43" t="n">
        <x:f>_xlfn.COVARIANCE.S('Common sample'!AM6:AM75,'Common sample'!O6:O75)</x:f>
        <x:v>0.004132462210380391</x:v>
      </x:c>
      <x:c r="P43" s="43" t="n">
        <x:f>_xlfn.COVARIANCE.S('Common sample'!AM6:AM75,'Common sample'!P6:P75)</x:f>
        <x:v>-0.0011260661919268338</x:v>
      </x:c>
      <x:c r="Q43" s="43" t="n">
        <x:f>_xlfn.COVARIANCE.S('Common sample'!AM6:AM75,'Common sample'!Q6:Q75)</x:f>
        <x:v>0.0015559560738350822</x:v>
      </x:c>
      <x:c r="R43" s="43" t="n">
        <x:f>_xlfn.COVARIANCE.S('Common sample'!AM6:AM75,'Common sample'!R6:R75)</x:f>
        <x:v>-0.0006542136227996137</x:v>
      </x:c>
      <x:c r="S43" s="43" t="n">
        <x:f>_xlfn.COVARIANCE.S('Common sample'!AM6:AM75,'Common sample'!S6:S75)</x:f>
        <x:v>-0.0021838533841434587</x:v>
      </x:c>
      <x:c r="T43" s="43" t="n">
        <x:f>_xlfn.COVARIANCE.S('Common sample'!AM6:AM75,'Common sample'!T6:T75)</x:f>
        <x:v>0.002146183305981889</x:v>
      </x:c>
      <x:c r="U43" s="43" t="n">
        <x:f>_xlfn.COVARIANCE.S('Common sample'!AM6:AM75,'Common sample'!U6:U75)</x:f>
        <x:v>-0.0025472297102082327</x:v>
      </x:c>
      <x:c r="V43" s="43" t="n">
        <x:f>_xlfn.COVARIANCE.S('Common sample'!AM6:AM75,'Common sample'!V6:V75)</x:f>
        <x:v>-0.002815832026756867</x:v>
      </x:c>
      <x:c r="W43" s="43" t="n">
        <x:f>_xlfn.COVARIANCE.S('Common sample'!AM6:AM75,'Common sample'!W6:W75)</x:f>
        <x:v>-0.0013136598080223188</x:v>
      </x:c>
      <x:c r="X43" s="43" t="n">
        <x:f>_xlfn.COVARIANCE.S('Common sample'!AM6:AM75,'Common sample'!X6:X75)</x:f>
        <x:v>0.0034548504000213964</x:v>
      </x:c>
      <x:c r="Y43" s="43" t="n">
        <x:f>_xlfn.COVARIANCE.S('Common sample'!AM6:AM75,'Common sample'!Y6:Y75)</x:f>
        <x:v>0.0012958382017021596</x:v>
      </x:c>
      <x:c r="Z43" s="43" t="n">
        <x:f>_xlfn.COVARIANCE.S('Common sample'!AM6:AM75,'Common sample'!Z6:Z75)</x:f>
        <x:v>-0.0005725606140716152</x:v>
      </x:c>
      <x:c r="AA43" s="43" t="n">
        <x:f>_xlfn.COVARIANCE.S('Common sample'!AM6:AM75,'Common sample'!AA6:AA75)</x:f>
        <x:v>0.0014801941564018687</x:v>
      </x:c>
      <x:c r="AB43" s="43" t="n">
        <x:f>_xlfn.COVARIANCE.S('Common sample'!AM6:AM75,'Common sample'!AB6:AB75)</x:f>
        <x:v>0.0001691404867935727</x:v>
      </x:c>
      <x:c r="AC43" s="43" t="n">
        <x:f>_xlfn.COVARIANCE.S('Common sample'!AM6:AM75,'Common sample'!AC6:AC75)</x:f>
        <x:v>0.0002699232036036856</x:v>
      </x:c>
      <x:c r="AD43" s="43" t="n">
        <x:f>_xlfn.COVARIANCE.S('Common sample'!AM6:AM75,'Common sample'!AD6:AD75)</x:f>
        <x:v>0.0010603220564096</x:v>
      </x:c>
      <x:c r="AE43" s="43" t="n">
        <x:f>_xlfn.COVARIANCE.S('Common sample'!AM6:AM75,'Common sample'!AE6:AE75)</x:f>
        <x:v>0.000226403412479019</x:v>
      </x:c>
      <x:c r="AF43" s="43" t="n">
        <x:f>_xlfn.COVARIANCE.S('Common sample'!AM6:AM75,'Common sample'!AF6:AF75)</x:f>
        <x:v>-0.0005527383910120491</x:v>
      </x:c>
      <x:c r="AG43" s="43" t="n">
        <x:f>_xlfn.COVARIANCE.S('Common sample'!AM6:AM75,'Common sample'!AG6:AG75)</x:f>
        <x:v>0.00028085681960018303</x:v>
      </x:c>
      <x:c r="AH43" s="43" t="n">
        <x:f>_xlfn.COVARIANCE.S('Common sample'!AM6:AM75,'Common sample'!AH6:AH75)</x:f>
        <x:v>-0.0001364846619516536</x:v>
      </x:c>
      <x:c r="AI43" s="43" t="n">
        <x:f>_xlfn.COVARIANCE.S('Common sample'!AM6:AM75,'Common sample'!AI6:AI75)</x:f>
        <x:v>0.000439660365630722</x:v>
      </x:c>
      <x:c r="AJ43" s="43" t="n">
        <x:f>_xlfn.COVARIANCE.S('Common sample'!AM6:AM75,'Common sample'!AJ6:AJ75)</x:f>
        <x:v>0.00014978513298582335</x:v>
      </x:c>
      <x:c r="AK43" s="43" t="n">
        <x:f>_xlfn.COVARIANCE.S('Common sample'!AM6:AM75,'Common sample'!AK6:AK75)</x:f>
        <x:v>0.0015171110744805305</x:v>
      </x:c>
      <x:c r="AL43" s="43" t="n">
        <x:f>_xlfn.COVARIANCE.S('Common sample'!AM6:AM75,'Common sample'!AL6:AL75)</x:f>
        <x:v>-0.0013913484537290256</x:v>
      </x:c>
      <x:c r="AM43" s="43" t="n">
        <x:f>_xlfn.COVARIANCE.S('Common sample'!AM6:AM75,'Common sample'!AM6:AM75)</x:f>
        <x:v>0.004431152653344058</x:v>
      </x:c>
      <x:c r="AN43" s="43" t="n">
        <x:f>_xlfn.COVARIANCE.S('Common sample'!AM6:AM75,'Common sample'!AN6:AN75)</x:f>
        <x:v>-0.0006030739992231574</x:v>
      </x:c>
      <x:c r="AO43" s="43" t="n">
        <x:f>_xlfn.COVARIANCE.S('Common sample'!AM6:AM75,'Common sample'!AO6:AO75)</x:f>
        <x:v>-0.00008881185415486595</x:v>
      </x:c>
      <x:c r="AP43" s="43" t="n">
        <x:f>_xlfn.COVARIANCE.S('Common sample'!AM6:AM75,'Common sample'!AP6:AP75)</x:f>
        <x:v>0.000033827059586135295</x:v>
      </x:c>
      <x:c r="AQ43" s="43" t="n">
        <x:f>_xlfn.COVARIANCE.S('Common sample'!AM6:AM75,'Common sample'!AQ6:AQ75)</x:f>
        <x:v>-0.00010914802202894688</x:v>
      </x:c>
      <x:c r="AR43" s="43" t="n">
        <x:f>_xlfn.COVARIANCE.S('Common sample'!AM6:AM75,'Common sample'!AR6:AR75)</x:f>
        <x:v>-0.0002656404430208903</x:v>
      </x:c>
    </x:row>
    <x:row r="44" ht="19" customHeight="1">
      <x:c r="A44" s="30" t="str">
        <x:v>COST</x:v>
      </x:c>
      <x:c r="B44" s="43" t="n">
        <x:f>_xlfn.COVARIANCE.S('Common sample'!AN6:AN75,'Common sample'!B6:B75)</x:f>
        <x:v>0.0003896164705356978</x:v>
      </x:c>
      <x:c r="C44" s="43" t="n">
        <x:f>_xlfn.COVARIANCE.S('Common sample'!AN6:AN75,'Common sample'!C6:C75)</x:f>
        <x:v>0.0008517963595691679</x:v>
      </x:c>
      <x:c r="D44" s="43" t="n">
        <x:f>_xlfn.COVARIANCE.S('Common sample'!AN6:AN75,'Common sample'!D6:D75)</x:f>
        <x:v>0.0002842262922036139</x:v>
      </x:c>
      <x:c r="E44" s="43" t="n">
        <x:f>_xlfn.COVARIANCE.S('Common sample'!AN6:AN75,'Common sample'!E6:E75)</x:f>
        <x:v>0.0004576509362351944</x:v>
      </x:c>
      <x:c r="F44" s="43" t="n">
        <x:f>_xlfn.COVARIANCE.S('Common sample'!AN6:AN75,'Common sample'!F6:F75)</x:f>
        <x:v>0.00015701015631418996</x:v>
      </x:c>
      <x:c r="G44" s="43" t="n">
        <x:f>_xlfn.COVARIANCE.S('Common sample'!AN6:AN75,'Common sample'!G6:G75)</x:f>
        <x:v>-0.000025298506486124194</x:v>
      </x:c>
      <x:c r="H44" s="43" t="n">
        <x:f>_xlfn.COVARIANCE.S('Common sample'!AN6:AN75,'Common sample'!H6:H75)</x:f>
        <x:v>0.00020540715479868036</x:v>
      </x:c>
      <x:c r="I44" s="43" t="n">
        <x:f>_xlfn.COVARIANCE.S('Common sample'!AN6:AN75,'Common sample'!I6:I75)</x:f>
        <x:v>0.0006083463201362082</x:v>
      </x:c>
      <x:c r="J44" s="43" t="n">
        <x:f>_xlfn.COVARIANCE.S('Common sample'!AN6:AN75,'Common sample'!J6:J75)</x:f>
        <x:v>-0.0001774133265151411</x:v>
      </x:c>
      <x:c r="K44" s="43" t="n">
        <x:f>_xlfn.COVARIANCE.S('Common sample'!AN6:AN75,'Common sample'!K6:K75)</x:f>
        <x:v>-0.00004021466401676513</x:v>
      </x:c>
      <x:c r="L44" s="43" t="n">
        <x:f>_xlfn.COVARIANCE.S('Common sample'!AN6:AN75,'Common sample'!L6:L75)</x:f>
        <x:v>0.0010633419077618993</x:v>
      </x:c>
      <x:c r="M44" s="43" t="n">
        <x:f>_xlfn.COVARIANCE.S('Common sample'!AN6:AN75,'Common sample'!M6:M75)</x:f>
        <x:v>0.000358415479193271</x:v>
      </x:c>
      <x:c r="N44" s="43" t="n">
        <x:f>_xlfn.COVARIANCE.S('Common sample'!AN6:AN75,'Common sample'!N6:N75)</x:f>
        <x:v>0.0006235807183289521</x:v>
      </x:c>
      <x:c r="O44" s="43" t="n">
        <x:f>_xlfn.COVARIANCE.S('Common sample'!AN6:AN75,'Common sample'!O6:O75)</x:f>
        <x:v>0.000170562524425557</x:v>
      </x:c>
      <x:c r="P44" s="43" t="n">
        <x:f>_xlfn.COVARIANCE.S('Common sample'!AN6:AN75,'Common sample'!P6:P75)</x:f>
        <x:v>0.00045654076948279336</x:v>
      </x:c>
      <x:c r="Q44" s="43" t="n">
        <x:f>_xlfn.COVARIANCE.S('Common sample'!AN6:AN75,'Common sample'!Q6:Q75)</x:f>
        <x:v>0.0011347709708181206</x:v>
      </x:c>
      <x:c r="R44" s="43" t="n">
        <x:f>_xlfn.COVARIANCE.S('Common sample'!AN6:AN75,'Common sample'!R6:R75)</x:f>
        <x:v>0.0006643252788357906</x:v>
      </x:c>
      <x:c r="S44" s="43" t="n">
        <x:f>_xlfn.COVARIANCE.S('Common sample'!AN6:AN75,'Common sample'!S6:S75)</x:f>
        <x:v>0.0018873744078449584</x:v>
      </x:c>
      <x:c r="T44" s="43" t="n">
        <x:f>_xlfn.COVARIANCE.S('Common sample'!AN6:AN75,'Common sample'!T6:T75)</x:f>
        <x:v>-0.00027475868219836643</x:v>
      </x:c>
      <x:c r="U44" s="43" t="n">
        <x:f>_xlfn.COVARIANCE.S('Common sample'!AN6:AN75,'Common sample'!U6:U75)</x:f>
        <x:v>0.0009556590453714759</x:v>
      </x:c>
      <x:c r="V44" s="43" t="n">
        <x:f>_xlfn.COVARIANCE.S('Common sample'!AN6:AN75,'Common sample'!V6:V75)</x:f>
        <x:v>0.0017800592693915627</x:v>
      </x:c>
      <x:c r="W44" s="43" t="n">
        <x:f>_xlfn.COVARIANCE.S('Common sample'!AN6:AN75,'Common sample'!W6:W75)</x:f>
        <x:v>0.00025795985132378283</x:v>
      </x:c>
      <x:c r="X44" s="43" t="n">
        <x:f>_xlfn.COVARIANCE.S('Common sample'!AN6:AN75,'Common sample'!X6:X75)</x:f>
        <x:v>-0.0006062658820347171</x:v>
      </x:c>
      <x:c r="Y44" s="43" t="n">
        <x:f>_xlfn.COVARIANCE.S('Common sample'!AN6:AN75,'Common sample'!Y6:Y75)</x:f>
        <x:v>-0.0007936035267035508</x:v>
      </x:c>
      <x:c r="Z44" s="43" t="n">
        <x:f>_xlfn.COVARIANCE.S('Common sample'!AN6:AN75,'Common sample'!Z6:Z75)</x:f>
        <x:v>0.00025257671984860397</x:v>
      </x:c>
      <x:c r="AA44" s="43" t="n">
        <x:f>_xlfn.COVARIANCE.S('Common sample'!AN6:AN75,'Common sample'!AA6:AA75)</x:f>
        <x:v>-0.0031248701934281546</x:v>
      </x:c>
      <x:c r="AB44" s="43" t="n">
        <x:f>_xlfn.COVARIANCE.S('Common sample'!AN6:AN75,'Common sample'!AB6:AB75)</x:f>
        <x:v>0.00005295851519096055</x:v>
      </x:c>
      <x:c r="AC44" s="43" t="n">
        <x:f>_xlfn.COVARIANCE.S('Common sample'!AN6:AN75,'Common sample'!AC6:AC75)</x:f>
        <x:v>0.000270882363863129</x:v>
      </x:c>
      <x:c r="AD44" s="43" t="n">
        <x:f>_xlfn.COVARIANCE.S('Common sample'!AN6:AN75,'Common sample'!AD6:AD75)</x:f>
        <x:v>-0.00008612476323762267</x:v>
      </x:c>
      <x:c r="AE44" s="43" t="n">
        <x:f>_xlfn.COVARIANCE.S('Common sample'!AN6:AN75,'Common sample'!AE6:AE75)</x:f>
        <x:v>-0.00007698888932625568</x:v>
      </x:c>
      <x:c r="AF44" s="43" t="n">
        <x:f>_xlfn.COVARIANCE.S('Common sample'!AN6:AN75,'Common sample'!AF6:AF75)</x:f>
        <x:v>-0.000241589378619951</x:v>
      </x:c>
      <x:c r="AG44" s="43" t="n">
        <x:f>_xlfn.COVARIANCE.S('Common sample'!AN6:AN75,'Common sample'!AG6:AG75)</x:f>
        <x:v>-0.000689731297920709</x:v>
      </x:c>
      <x:c r="AH44" s="43" t="n">
        <x:f>_xlfn.COVARIANCE.S('Common sample'!AN6:AN75,'Common sample'!AH6:AH75)</x:f>
        <x:v>-0.00025955249873962596</x:v>
      </x:c>
      <x:c r="AI44" s="43" t="n">
        <x:f>_xlfn.COVARIANCE.S('Common sample'!AN6:AN75,'Common sample'!AI6:AI75)</x:f>
        <x:v>0.0004019703342877537</x:v>
      </x:c>
      <x:c r="AJ44" s="43" t="n">
        <x:f>_xlfn.COVARIANCE.S('Common sample'!AN6:AN75,'Common sample'!AJ6:AJ75)</x:f>
        <x:v>0.0006266125602180409</x:v>
      </x:c>
      <x:c r="AK44" s="43" t="n">
        <x:f>_xlfn.COVARIANCE.S('Common sample'!AN6:AN75,'Common sample'!AK6:AK75)</x:f>
        <x:v>0.00028009120250638216</x:v>
      </x:c>
      <x:c r="AL44" s="43" t="n">
        <x:f>_xlfn.COVARIANCE.S('Common sample'!AN6:AN75,'Common sample'!AL6:AL75)</x:f>
        <x:v>0.00010341994933065762</x:v>
      </x:c>
      <x:c r="AM44" s="43" t="n">
        <x:f>_xlfn.COVARIANCE.S('Common sample'!AN6:AN75,'Common sample'!AM6:AM75)</x:f>
        <x:v>-0.0006030739992231574</x:v>
      </x:c>
      <x:c r="AN44" s="43" t="n">
        <x:f>_xlfn.COVARIANCE.S('Common sample'!AN6:AN75,'Common sample'!AN6:AN75)</x:f>
        <x:v>0.00224985739484637</x:v>
      </x:c>
      <x:c r="AO44" s="43" t="n">
        <x:f>_xlfn.COVARIANCE.S('Common sample'!AN6:AN75,'Common sample'!AO6:AO75)</x:f>
        <x:v>0.0006034939448731592</x:v>
      </x:c>
      <x:c r="AP44" s="43" t="n">
        <x:f>_xlfn.COVARIANCE.S('Common sample'!AN6:AN75,'Common sample'!AP6:AP75)</x:f>
        <x:v>0.00021336163892134554</x:v>
      </x:c>
      <x:c r="AQ44" s="43" t="n">
        <x:f>_xlfn.COVARIANCE.S('Common sample'!AN6:AN75,'Common sample'!AQ6:AQ75)</x:f>
        <x:v>0.0001170154350095262</x:v>
      </x:c>
      <x:c r="AR44" s="43" t="n">
        <x:f>_xlfn.COVARIANCE.S('Common sample'!AN6:AN75,'Common sample'!AR6:AR75)</x:f>
        <x:v>0.0003733428239380211</x:v>
      </x:c>
    </x:row>
    <x:row r="45" ht="19" customHeight="1">
      <x:c r="A45" s="30" t="str">
        <x:v>HD</x:v>
      </x:c>
      <x:c r="B45" s="43" t="n">
        <x:f>_xlfn.COVARIANCE.S('Common sample'!AO6:AO75,'Common sample'!B6:B75)</x:f>
        <x:v>0.0012713616171676398</x:v>
      </x:c>
      <x:c r="C45" s="43" t="n">
        <x:f>_xlfn.COVARIANCE.S('Common sample'!AO6:AO75,'Common sample'!C6:C75)</x:f>
        <x:v>-0.0008700730729839324</x:v>
      </x:c>
      <x:c r="D45" s="43" t="n">
        <x:f>_xlfn.COVARIANCE.S('Common sample'!AO6:AO75,'Common sample'!D6:D75)</x:f>
        <x:v>0.00041936474061051197</x:v>
      </x:c>
      <x:c r="E45" s="43" t="n">
        <x:f>_xlfn.COVARIANCE.S('Common sample'!AO6:AO75,'Common sample'!E6:E75)</x:f>
        <x:v>0.00005635651361766015</x:v>
      </x:c>
      <x:c r="F45" s="43" t="n">
        <x:f>_xlfn.COVARIANCE.S('Common sample'!AO6:AO75,'Common sample'!F6:F75)</x:f>
        <x:v>0.0006523412862234939</x:v>
      </x:c>
      <x:c r="G45" s="43" t="n">
        <x:f>_xlfn.COVARIANCE.S('Common sample'!AO6:AO75,'Common sample'!G6:G75)</x:f>
        <x:v>-0.0001310971058398727</x:v>
      </x:c>
      <x:c r="H45" s="43" t="n">
        <x:f>_xlfn.COVARIANCE.S('Common sample'!AO6:AO75,'Common sample'!H6:H75)</x:f>
        <x:v>-0.00035654606140765014</x:v>
      </x:c>
      <x:c r="I45" s="43" t="n">
        <x:f>_xlfn.COVARIANCE.S('Common sample'!AO6:AO75,'Common sample'!I6:I75)</x:f>
        <x:v>0.0009113966798013128</x:v>
      </x:c>
      <x:c r="J45" s="43" t="n">
        <x:f>_xlfn.COVARIANCE.S('Common sample'!AO6:AO75,'Common sample'!J6:J75)</x:f>
        <x:v>0.0006769368800185659</x:v>
      </x:c>
      <x:c r="K45" s="43" t="n">
        <x:f>_xlfn.COVARIANCE.S('Common sample'!AO6:AO75,'Common sample'!K6:K75)</x:f>
        <x:v>-0.00003797332123521782</x:v>
      </x:c>
      <x:c r="L45" s="43" t="n">
        <x:f>_xlfn.COVARIANCE.S('Common sample'!AO6:AO75,'Common sample'!L6:L75)</x:f>
        <x:v>-0.0009861955992812772</x:v>
      </x:c>
      <x:c r="M45" s="43" t="n">
        <x:f>_xlfn.COVARIANCE.S('Common sample'!AO6:AO75,'Common sample'!M6:M75)</x:f>
        <x:v>-0.0005931111379422679</x:v>
      </x:c>
      <x:c r="N45" s="43" t="n">
        <x:f>_xlfn.COVARIANCE.S('Common sample'!AO6:AO75,'Common sample'!N6:N75)</x:f>
        <x:v>0.0006607583328926673</x:v>
      </x:c>
      <x:c r="O45" s="43" t="n">
        <x:f>_xlfn.COVARIANCE.S('Common sample'!AO6:AO75,'Common sample'!O6:O75)</x:f>
        <x:v>0.0012157420520885333</x:v>
      </x:c>
      <x:c r="P45" s="43" t="n">
        <x:f>_xlfn.COVARIANCE.S('Common sample'!AO6:AO75,'Common sample'!P6:P75)</x:f>
        <x:v>-0.000040358146211005036</x:v>
      </x:c>
      <x:c r="Q45" s="43" t="n">
        <x:f>_xlfn.COVARIANCE.S('Common sample'!AO6:AO75,'Common sample'!Q6:Q75)</x:f>
        <x:v>-0.0010671407216198785</x:v>
      </x:c>
      <x:c r="R45" s="43" t="n">
        <x:f>_xlfn.COVARIANCE.S('Common sample'!AO6:AO75,'Common sample'!R6:R75)</x:f>
        <x:v>-0.0006892900720300582</x:v>
      </x:c>
      <x:c r="S45" s="43" t="n">
        <x:f>_xlfn.COVARIANCE.S('Common sample'!AO6:AO75,'Common sample'!S6:S75)</x:f>
        <x:v>0.00009633290058742339</x:v>
      </x:c>
      <x:c r="T45" s="43" t="n">
        <x:f>_xlfn.COVARIANCE.S('Common sample'!AO6:AO75,'Common sample'!T6:T75)</x:f>
        <x:v>0.00015363588227343948</x:v>
      </x:c>
      <x:c r="U45" s="43" t="n">
        <x:f>_xlfn.COVARIANCE.S('Common sample'!AO6:AO75,'Common sample'!U6:U75)</x:f>
        <x:v>0.0007408832054324948</x:v>
      </x:c>
      <x:c r="V45" s="43" t="n">
        <x:f>_xlfn.COVARIANCE.S('Common sample'!AO6:AO75,'Common sample'!V6:V75)</x:f>
        <x:v>-0.000032671566751699295</x:v>
      </x:c>
      <x:c r="W45" s="43" t="n">
        <x:f>_xlfn.COVARIANCE.S('Common sample'!AO6:AO75,'Common sample'!W6:W75)</x:f>
        <x:v>0.0007109098032752459</x:v>
      </x:c>
      <x:c r="X45" s="43" t="n">
        <x:f>_xlfn.COVARIANCE.S('Common sample'!AO6:AO75,'Common sample'!X6:X75)</x:f>
        <x:v>0.0014587894924593925</x:v>
      </x:c>
      <x:c r="Y45" s="43" t="n">
        <x:f>_xlfn.COVARIANCE.S('Common sample'!AO6:AO75,'Common sample'!Y6:Y75)</x:f>
        <x:v>0.00017852132205601484</x:v>
      </x:c>
      <x:c r="Z45" s="43" t="n">
        <x:f>_xlfn.COVARIANCE.S('Common sample'!AO6:AO75,'Common sample'!Z6:Z75)</x:f>
        <x:v>-0.00006116401402873001</x:v>
      </x:c>
      <x:c r="AA45" s="43" t="n">
        <x:f>_xlfn.COVARIANCE.S('Common sample'!AO6:AO75,'Common sample'!AA6:AA75)</x:f>
        <x:v>-0.003270641960717302</x:v>
      </x:c>
      <x:c r="AB45" s="43" t="n">
        <x:f>_xlfn.COVARIANCE.S('Common sample'!AO6:AO75,'Common sample'!AB6:AB75)</x:f>
        <x:v>-0.0010143796678511122</x:v>
      </x:c>
      <x:c r="AC45" s="43" t="n">
        <x:f>_xlfn.COVARIANCE.S('Common sample'!AO6:AO75,'Common sample'!AC6:AC75)</x:f>
        <x:v>0.0008923880076718424</x:v>
      </x:c>
      <x:c r="AD45" s="43" t="n">
        <x:f>_xlfn.COVARIANCE.S('Common sample'!AO6:AO75,'Common sample'!AD6:AD75)</x:f>
        <x:v>-0.00008008653433610654</x:v>
      </x:c>
      <x:c r="AE45" s="43" t="n">
        <x:f>_xlfn.COVARIANCE.S('Common sample'!AO6:AO75,'Common sample'!AE6:AE75)</x:f>
        <x:v>0.0005614456669387304</x:v>
      </x:c>
      <x:c r="AF45" s="43" t="n">
        <x:f>_xlfn.COVARIANCE.S('Common sample'!AO6:AO75,'Common sample'!AF6:AF75)</x:f>
        <x:v>0.00019391729542234378</x:v>
      </x:c>
      <x:c r="AG45" s="43" t="n">
        <x:f>_xlfn.COVARIANCE.S('Common sample'!AO6:AO75,'Common sample'!AG6:AG75)</x:f>
        <x:v>0.0003460181862333901</x:v>
      </x:c>
      <x:c r="AH45" s="43" t="n">
        <x:f>_xlfn.COVARIANCE.S('Common sample'!AO6:AO75,'Common sample'!AH6:AH75)</x:f>
        <x:v>0.00038074557007989295</x:v>
      </x:c>
      <x:c r="AI45" s="43" t="n">
        <x:f>_xlfn.COVARIANCE.S('Common sample'!AO6:AO75,'Common sample'!AI6:AI75)</x:f>
        <x:v>0.0004695976776104206</x:v>
      </x:c>
      <x:c r="AJ45" s="43" t="n">
        <x:f>_xlfn.COVARIANCE.S('Common sample'!AO6:AO75,'Common sample'!AJ6:AJ75)</x:f>
        <x:v>-0.0002791447989874153</x:v>
      </x:c>
      <x:c r="AK45" s="43" t="n">
        <x:f>_xlfn.COVARIANCE.S('Common sample'!AO6:AO75,'Common sample'!AK6:AK75)</x:f>
        <x:v>-0.00240993813893543</x:v>
      </x:c>
      <x:c r="AL45" s="43" t="n">
        <x:f>_xlfn.COVARIANCE.S('Common sample'!AO6:AO75,'Common sample'!AL6:AL75)</x:f>
        <x:v>-0.00024017967171453914</x:v>
      </x:c>
      <x:c r="AM45" s="43" t="n">
        <x:f>_xlfn.COVARIANCE.S('Common sample'!AO6:AO75,'Common sample'!AM6:AM75)</x:f>
        <x:v>-0.00008881185415486595</x:v>
      </x:c>
      <x:c r="AN45" s="43" t="n">
        <x:f>_xlfn.COVARIANCE.S('Common sample'!AO6:AO75,'Common sample'!AN6:AN75)</x:f>
        <x:v>0.0006034939448731592</x:v>
      </x:c>
      <x:c r="AO45" s="43" t="n">
        <x:f>_xlfn.COVARIANCE.S('Common sample'!AO6:AO75,'Common sample'!AO6:AO75)</x:f>
        <x:v>0.0033160275902444566</x:v>
      </x:c>
      <x:c r="AP45" s="43" t="n">
        <x:f>_xlfn.COVARIANCE.S('Common sample'!AO6:AO75,'Common sample'!AP6:AP75)</x:f>
        <x:v>0.00019912837760941845</x:v>
      </x:c>
      <x:c r="AQ45" s="43" t="n">
        <x:f>_xlfn.COVARIANCE.S('Common sample'!AO6:AO75,'Common sample'!AQ6:AQ75)</x:f>
        <x:v>0.00013352865661040773</x:v>
      </x:c>
      <x:c r="AR45" s="43" t="n">
        <x:f>_xlfn.COVARIANCE.S('Common sample'!AO6:AO75,'Common sample'!AR6:AR75)</x:f>
        <x:v>0.00036714811735960806</x:v>
      </x:c>
    </x:row>
    <x:row r="46" ht="19" customHeight="1">
      <x:c r="A46" s="30" t="str">
        <x:v>KO</x:v>
      </x:c>
      <x:c r="B46" s="43" t="n">
        <x:f>_xlfn.COVARIANCE.S('Common sample'!AP6:AP75,'Common sample'!B6:B75)</x:f>
        <x:v>-0.0006472538946109977</x:v>
      </x:c>
      <x:c r="C46" s="43" t="n">
        <x:f>_xlfn.COVARIANCE.S('Common sample'!AP6:AP75,'Common sample'!C6:C75)</x:f>
        <x:v>0.00047270020574760336</x:v>
      </x:c>
      <x:c r="D46" s="43" t="n">
        <x:f>_xlfn.COVARIANCE.S('Common sample'!AP6:AP75,'Common sample'!D6:D75)</x:f>
        <x:v>0.00030634843097436233</x:v>
      </x:c>
      <x:c r="E46" s="43" t="n">
        <x:f>_xlfn.COVARIANCE.S('Common sample'!AP6:AP75,'Common sample'!E6:E75)</x:f>
        <x:v>0.0001618131653215568</x:v>
      </x:c>
      <x:c r="F46" s="43" t="n">
        <x:f>_xlfn.COVARIANCE.S('Common sample'!AP6:AP75,'Common sample'!F6:F75)</x:f>
        <x:v>0.00046568878138570106</x:v>
      </x:c>
      <x:c r="G46" s="43" t="n">
        <x:f>_xlfn.COVARIANCE.S('Common sample'!AP6:AP75,'Common sample'!G6:G75)</x:f>
        <x:v>-0.0004670679693707453</x:v>
      </x:c>
      <x:c r="H46" s="43" t="n">
        <x:f>_xlfn.COVARIANCE.S('Common sample'!AP6:AP75,'Common sample'!H6:H75)</x:f>
        <x:v>0.00022476613610221137</x:v>
      </x:c>
      <x:c r="I46" s="43" t="n">
        <x:f>_xlfn.COVARIANCE.S('Common sample'!AP6:AP75,'Common sample'!I6:I75)</x:f>
        <x:v>0.00010167932470341749</x:v>
      </x:c>
      <x:c r="J46" s="43" t="n">
        <x:f>_xlfn.COVARIANCE.S('Common sample'!AP6:AP75,'Common sample'!J6:J75)</x:f>
        <x:v>0.0005928813868129665</x:v>
      </x:c>
      <x:c r="K46" s="43" t="n">
        <x:f>_xlfn.COVARIANCE.S('Common sample'!AP6:AP75,'Common sample'!K6:K75)</x:f>
        <x:v>0.00019727524228659466</x:v>
      </x:c>
      <x:c r="L46" s="43" t="n">
        <x:f>_xlfn.COVARIANCE.S('Common sample'!AP6:AP75,'Common sample'!L6:L75)</x:f>
        <x:v>-0.00032468391894652335</x:v>
      </x:c>
      <x:c r="M46" s="43" t="n">
        <x:f>_xlfn.COVARIANCE.S('Common sample'!AP6:AP75,'Common sample'!M6:M75)</x:f>
        <x:v>-0.0001322735767168378</x:v>
      </x:c>
      <x:c r="N46" s="43" t="n">
        <x:f>_xlfn.COVARIANCE.S('Common sample'!AP6:AP75,'Common sample'!N6:N75)</x:f>
        <x:v>-0.0000594588706958321</x:v>
      </x:c>
      <x:c r="O46" s="43" t="n">
        <x:f>_xlfn.COVARIANCE.S('Common sample'!AP6:AP75,'Common sample'!O6:O75)</x:f>
        <x:v>0.00033004091983709715</x:v>
      </x:c>
      <x:c r="P46" s="43" t="n">
        <x:f>_xlfn.COVARIANCE.S('Common sample'!AP6:AP75,'Common sample'!P6:P75)</x:f>
        <x:v>-0.00041214919417656415</x:v>
      </x:c>
      <x:c r="Q46" s="43" t="n">
        <x:f>_xlfn.COVARIANCE.S('Common sample'!AP6:AP75,'Common sample'!Q6:Q75)</x:f>
        <x:v>0.0013190035736120186</x:v>
      </x:c>
      <x:c r="R46" s="43" t="n">
        <x:f>_xlfn.COVARIANCE.S('Common sample'!AP6:AP75,'Common sample'!R6:R75)</x:f>
        <x:v>0.0005193663737338986</x:v>
      </x:c>
      <x:c r="S46" s="43" t="n">
        <x:f>_xlfn.COVARIANCE.S('Common sample'!AP6:AP75,'Common sample'!S6:S75)</x:f>
        <x:v>0.0012003207058699792</x:v>
      </x:c>
      <x:c r="T46" s="43" t="n">
        <x:f>_xlfn.COVARIANCE.S('Common sample'!AP6:AP75,'Common sample'!T6:T75)</x:f>
        <x:v>-0.00114381180536246</x:v>
      </x:c>
      <x:c r="U46" s="43" t="n">
        <x:f>_xlfn.COVARIANCE.S('Common sample'!AP6:AP75,'Common sample'!U6:U75)</x:f>
        <x:v>-0.00007392377325758066</x:v>
      </x:c>
      <x:c r="V46" s="43" t="n">
        <x:f>_xlfn.COVARIANCE.S('Common sample'!AP6:AP75,'Common sample'!V6:V75)</x:f>
        <x:v>0.0003035297289824869</x:v>
      </x:c>
      <x:c r="W46" s="43" t="n">
        <x:f>_xlfn.COVARIANCE.S('Common sample'!AP6:AP75,'Common sample'!W6:W75)</x:f>
        <x:v>0.0000933199914135913</x:v>
      </x:c>
      <x:c r="X46" s="43" t="n">
        <x:f>_xlfn.COVARIANCE.S('Common sample'!AP6:AP75,'Common sample'!X6:X75)</x:f>
        <x:v>0.000008116900867703817</x:v>
      </x:c>
      <x:c r="Y46" s="43" t="n">
        <x:f>_xlfn.COVARIANCE.S('Common sample'!AP6:AP75,'Common sample'!Y6:Y75)</x:f>
        <x:v>0.0004492523546230619</x:v>
      </x:c>
      <x:c r="Z46" s="43" t="n">
        <x:f>_xlfn.COVARIANCE.S('Common sample'!AP6:AP75,'Common sample'!Z6:Z75)</x:f>
        <x:v>0.00006964613294673408</x:v>
      </x:c>
      <x:c r="AA46" s="43" t="n">
        <x:f>_xlfn.COVARIANCE.S('Common sample'!AP6:AP75,'Common sample'!AA6:AA75)</x:f>
        <x:v>-0.0012279674074497178</x:v>
      </x:c>
      <x:c r="AB46" s="43" t="n">
        <x:f>_xlfn.COVARIANCE.S('Common sample'!AP6:AP75,'Common sample'!AB6:AB75)</x:f>
        <x:v>-0.0011528762208571415</x:v>
      </x:c>
      <x:c r="AC46" s="43" t="n">
        <x:f>_xlfn.COVARIANCE.S('Common sample'!AP6:AP75,'Common sample'!AC6:AC75)</x:f>
        <x:v>0.00010541613005974658</x:v>
      </x:c>
      <x:c r="AD46" s="43" t="n">
        <x:f>_xlfn.COVARIANCE.S('Common sample'!AP6:AP75,'Common sample'!AD6:AD75)</x:f>
        <x:v>0.000531299096870058</x:v>
      </x:c>
      <x:c r="AE46" s="43" t="n">
        <x:f>_xlfn.COVARIANCE.S('Common sample'!AP6:AP75,'Common sample'!AE6:AE75)</x:f>
        <x:v>-0.00007350954337975313</x:v>
      </x:c>
      <x:c r="AF46" s="43" t="n">
        <x:f>_xlfn.COVARIANCE.S('Common sample'!AP6:AP75,'Common sample'!AF6:AF75)</x:f>
        <x:v>0.0001564561740369918</x:v>
      </x:c>
      <x:c r="AG46" s="43" t="n">
        <x:f>_xlfn.COVARIANCE.S('Common sample'!AP6:AP75,'Common sample'!AG6:AG75)</x:f>
        <x:v>0.0006774157198613566</x:v>
      </x:c>
      <x:c r="AH46" s="43" t="n">
        <x:f>_xlfn.COVARIANCE.S('Common sample'!AP6:AP75,'Common sample'!AH6:AH75)</x:f>
        <x:v>0.00007493247358999726</x:v>
      </x:c>
      <x:c r="AI46" s="43" t="n">
        <x:f>_xlfn.COVARIANCE.S('Common sample'!AP6:AP75,'Common sample'!AI6:AI75)</x:f>
        <x:v>0.0002093326067057466</x:v>
      </x:c>
      <x:c r="AJ46" s="43" t="n">
        <x:f>_xlfn.COVARIANCE.S('Common sample'!AP6:AP75,'Common sample'!AJ6:AJ75)</x:f>
        <x:v>0.00036299619235676515</x:v>
      </x:c>
      <x:c r="AK46" s="43" t="n">
        <x:f>_xlfn.COVARIANCE.S('Common sample'!AP6:AP75,'Common sample'!AK6:AK75)</x:f>
        <x:v>0.0006022669537300141</x:v>
      </x:c>
      <x:c r="AL46" s="43" t="n">
        <x:f>_xlfn.COVARIANCE.S('Common sample'!AP6:AP75,'Common sample'!AL6:AL75)</x:f>
        <x:v>0.00029316354297924873</x:v>
      </x:c>
      <x:c r="AM46" s="43" t="n">
        <x:f>_xlfn.COVARIANCE.S('Common sample'!AP6:AP75,'Common sample'!AM6:AM75)</x:f>
        <x:v>0.000033827059586135295</x:v>
      </x:c>
      <x:c r="AN46" s="43" t="n">
        <x:f>_xlfn.COVARIANCE.S('Common sample'!AP6:AP75,'Common sample'!AN6:AN75)</x:f>
        <x:v>0.00021336163892134554</x:v>
      </x:c>
      <x:c r="AO46" s="43" t="n">
        <x:f>_xlfn.COVARIANCE.S('Common sample'!AP6:AP75,'Common sample'!AO6:AO75)</x:f>
        <x:v>0.00019912837760941845</x:v>
      </x:c>
      <x:c r="AP46" s="43" t="n">
        <x:f>_xlfn.COVARIANCE.S('Common sample'!AP6:AP75,'Common sample'!AP6:AP75)</x:f>
        <x:v>0.0007564674704309832</x:v>
      </x:c>
      <x:c r="AQ46" s="43" t="n">
        <x:f>_xlfn.COVARIANCE.S('Common sample'!AP6:AP75,'Common sample'!AQ6:AQ75)</x:f>
        <x:v>0.00016648492719215476</x:v>
      </x:c>
      <x:c r="AR46" s="43" t="n">
        <x:f>_xlfn.COVARIANCE.S('Common sample'!AP6:AP75,'Common sample'!AR6:AR75)</x:f>
        <x:v>0.00031648204025030996</x:v>
      </x:c>
    </x:row>
    <x:row r="47" ht="19" customHeight="1">
      <x:c r="A47" s="30" t="str">
        <x:v>JNJ</x:v>
      </x:c>
      <x:c r="B47" s="43" t="n">
        <x:f>_xlfn.COVARIANCE.S('Common sample'!AQ6:AQ75,'Common sample'!B6:B75)</x:f>
        <x:v>-0.0008124691617127082</x:v>
      </x:c>
      <x:c r="C47" s="43" t="n">
        <x:f>_xlfn.COVARIANCE.S('Common sample'!AQ6:AQ75,'Common sample'!C6:C75)</x:f>
        <x:v>-0.00042427239733679005</x:v>
      </x:c>
      <x:c r="D47" s="43" t="n">
        <x:f>_xlfn.COVARIANCE.S('Common sample'!AQ6:AQ75,'Common sample'!D6:D75)</x:f>
        <x:v>0.0002983005872867806</x:v>
      </x:c>
      <x:c r="E47" s="43" t="n">
        <x:f>_xlfn.COVARIANCE.S('Common sample'!AQ6:AQ75,'Common sample'!E6:E75)</x:f>
        <x:v>0.00028344401205488833</x:v>
      </x:c>
      <x:c r="F47" s="43" t="n">
        <x:f>_xlfn.COVARIANCE.S('Common sample'!AQ6:AQ75,'Common sample'!F6:F75)</x:f>
        <x:v>0.00009167705706448417</x:v>
      </x:c>
      <x:c r="G47" s="43" t="n">
        <x:f>_xlfn.COVARIANCE.S('Common sample'!AQ6:AQ75,'Common sample'!G6:G75)</x:f>
        <x:v>-0.0005488020942470967</x:v>
      </x:c>
      <x:c r="H47" s="43" t="n">
        <x:f>_xlfn.COVARIANCE.S('Common sample'!AQ6:AQ75,'Common sample'!H6:H75)</x:f>
        <x:v>-0.00015237499246323395</x:v>
      </x:c>
      <x:c r="I47" s="43" t="n">
        <x:f>_xlfn.COVARIANCE.S('Common sample'!AQ6:AQ75,'Common sample'!I6:I75)</x:f>
        <x:v>0.00033538282426539184</x:v>
      </x:c>
      <x:c r="J47" s="43" t="n">
        <x:f>_xlfn.COVARIANCE.S('Common sample'!AQ6:AQ75,'Common sample'!J6:J75)</x:f>
        <x:v>0.0012196171010531987</x:v>
      </x:c>
      <x:c r="K47" s="43" t="n">
        <x:f>_xlfn.COVARIANCE.S('Common sample'!AQ6:AQ75,'Common sample'!K6:K75)</x:f>
        <x:v>0.00031351014467179264</x:v>
      </x:c>
      <x:c r="L47" s="43" t="n">
        <x:f>_xlfn.COVARIANCE.S('Common sample'!AQ6:AQ75,'Common sample'!L6:L75)</x:f>
        <x:v>0.00038930295887317705</x:v>
      </x:c>
      <x:c r="M47" s="43" t="n">
        <x:f>_xlfn.COVARIANCE.S('Common sample'!AQ6:AQ75,'Common sample'!M6:M75)</x:f>
        <x:v>0.0003621053481705343</x:v>
      </x:c>
      <x:c r="N47" s="43" t="n">
        <x:f>_xlfn.COVARIANCE.S('Common sample'!AQ6:AQ75,'Common sample'!N6:N75)</x:f>
        <x:v>-0.00006883638106246338</x:v>
      </x:c>
      <x:c r="O47" s="43" t="n">
        <x:f>_xlfn.COVARIANCE.S('Common sample'!AQ6:AQ75,'Common sample'!O6:O75)</x:f>
        <x:v>0.0011045377238204212</x:v>
      </x:c>
      <x:c r="P47" s="43" t="n">
        <x:f>_xlfn.COVARIANCE.S('Common sample'!AQ6:AQ75,'Common sample'!P6:P75)</x:f>
        <x:v>0.0002597890227436974</x:v>
      </x:c>
      <x:c r="Q47" s="43" t="n">
        <x:f>_xlfn.COVARIANCE.S('Common sample'!AQ6:AQ75,'Common sample'!Q6:Q75)</x:f>
        <x:v>0.0006508546700555275</x:v>
      </x:c>
      <x:c r="R47" s="43" t="n">
        <x:f>_xlfn.COVARIANCE.S('Common sample'!AQ6:AQ75,'Common sample'!R6:R75)</x:f>
        <x:v>0.0003178934325022374</x:v>
      </x:c>
      <x:c r="S47" s="43" t="n">
        <x:f>_xlfn.COVARIANCE.S('Common sample'!AQ6:AQ75,'Common sample'!S6:S75)</x:f>
        <x:v>0.0005412096533766813</x:v>
      </x:c>
      <x:c r="T47" s="43" t="n">
        <x:f>_xlfn.COVARIANCE.S('Common sample'!AQ6:AQ75,'Common sample'!T6:T75)</x:f>
        <x:v>0.0008007450295085301</x:v>
      </x:c>
      <x:c r="U47" s="43" t="n">
        <x:f>_xlfn.COVARIANCE.S('Common sample'!AQ6:AQ75,'Common sample'!U6:U75)</x:f>
        <x:v>-0.0010365826119142186</x:v>
      </x:c>
      <x:c r="V47" s="43" t="n">
        <x:f>_xlfn.COVARIANCE.S('Common sample'!AQ6:AQ75,'Common sample'!V6:V75)</x:f>
        <x:v>-0.000520879030478215</x:v>
      </x:c>
      <x:c r="W47" s="43" t="n">
        <x:f>_xlfn.COVARIANCE.S('Common sample'!AQ6:AQ75,'Common sample'!W6:W75)</x:f>
        <x:v>0.00016094150586553222</x:v>
      </x:c>
      <x:c r="X47" s="43" t="n">
        <x:f>_xlfn.COVARIANCE.S('Common sample'!AQ6:AQ75,'Common sample'!X6:X75)</x:f>
        <x:v>-0.00022049776809161502</x:v>
      </x:c>
      <x:c r="Y47" s="43" t="n">
        <x:f>_xlfn.COVARIANCE.S('Common sample'!AQ6:AQ75,'Common sample'!Y6:Y75)</x:f>
        <x:v>-0.00011846476323041314</x:v>
      </x:c>
      <x:c r="Z47" s="43" t="n">
        <x:f>_xlfn.COVARIANCE.S('Common sample'!AQ6:AQ75,'Common sample'!Z6:Z75)</x:f>
        <x:v>-0.00017283058043396135</x:v>
      </x:c>
      <x:c r="AA47" s="43" t="n">
        <x:f>_xlfn.COVARIANCE.S('Common sample'!AQ6:AQ75,'Common sample'!AA6:AA75)</x:f>
        <x:v>0.0012015821697677583</x:v>
      </x:c>
      <x:c r="AB47" s="43" t="n">
        <x:f>_xlfn.COVARIANCE.S('Common sample'!AQ6:AQ75,'Common sample'!AB6:AB75)</x:f>
        <x:v>0.00012461949948307038</x:v>
      </x:c>
      <x:c r="AC47" s="43" t="n">
        <x:f>_xlfn.COVARIANCE.S('Common sample'!AQ6:AQ75,'Common sample'!AC6:AC75)</x:f>
        <x:v>-0.00009335967428248065</x:v>
      </x:c>
      <x:c r="AD47" s="43" t="n">
        <x:f>_xlfn.COVARIANCE.S('Common sample'!AQ6:AQ75,'Common sample'!AD6:AD75)</x:f>
        <x:v>-0.00011369459832847665</x:v>
      </x:c>
      <x:c r="AE47" s="43" t="n">
        <x:f>_xlfn.COVARIANCE.S('Common sample'!AQ6:AQ75,'Common sample'!AE6:AE75)</x:f>
        <x:v>0.0006614170459026439</x:v>
      </x:c>
      <x:c r="AF47" s="43" t="n">
        <x:f>_xlfn.COVARIANCE.S('Common sample'!AQ6:AQ75,'Common sample'!AF6:AF75)</x:f>
        <x:v>0.0006333587763446004</x:v>
      </x:c>
      <x:c r="AG47" s="43" t="n">
        <x:f>_xlfn.COVARIANCE.S('Common sample'!AQ6:AQ75,'Common sample'!AG6:AG75)</x:f>
        <x:v>-0.000022463580257665395</x:v>
      </x:c>
      <x:c r="AH47" s="43" t="n">
        <x:f>_xlfn.COVARIANCE.S('Common sample'!AQ6:AQ75,'Common sample'!AH6:AH75)</x:f>
        <x:v>0.0007777236391487887</x:v>
      </x:c>
      <x:c r="AI47" s="43" t="n">
        <x:f>_xlfn.COVARIANCE.S('Common sample'!AQ6:AQ75,'Common sample'!AI6:AI75)</x:f>
        <x:v>-0.00022383041749747477</x:v>
      </x:c>
      <x:c r="AJ47" s="43" t="n">
        <x:f>_xlfn.COVARIANCE.S('Common sample'!AQ6:AQ75,'Common sample'!AJ6:AJ75)</x:f>
        <x:v>0.0003702172269584477</x:v>
      </x:c>
      <x:c r="AK47" s="43" t="n">
        <x:f>_xlfn.COVARIANCE.S('Common sample'!AQ6:AQ75,'Common sample'!AK6:AK75)</x:f>
        <x:v>-0.0005985121583879201</x:v>
      </x:c>
      <x:c r="AL47" s="43" t="n">
        <x:f>_xlfn.COVARIANCE.S('Common sample'!AQ6:AQ75,'Common sample'!AL6:AL75)</x:f>
        <x:v>-0.00023028379122878303</x:v>
      </x:c>
      <x:c r="AM47" s="43" t="n">
        <x:f>_xlfn.COVARIANCE.S('Common sample'!AQ6:AQ75,'Common sample'!AM6:AM75)</x:f>
        <x:v>-0.00010914802202894688</x:v>
      </x:c>
      <x:c r="AN47" s="43" t="n">
        <x:f>_xlfn.COVARIANCE.S('Common sample'!AQ6:AQ75,'Common sample'!AN6:AN75)</x:f>
        <x:v>0.0001170154350095262</x:v>
      </x:c>
      <x:c r="AO47" s="43" t="n">
        <x:f>_xlfn.COVARIANCE.S('Common sample'!AQ6:AQ75,'Common sample'!AO6:AO75)</x:f>
        <x:v>0.00013352865661040773</x:v>
      </x:c>
      <x:c r="AP47" s="43" t="n">
        <x:f>_xlfn.COVARIANCE.S('Common sample'!AQ6:AQ75,'Common sample'!AP6:AP75)</x:f>
        <x:v>0.00016648492719215476</x:v>
      </x:c>
      <x:c r="AQ47" s="43" t="n">
        <x:f>_xlfn.COVARIANCE.S('Common sample'!AQ6:AQ75,'Common sample'!AQ6:AQ75)</x:f>
        <x:v>0.001432298810478795</x:v>
      </x:c>
      <x:c r="AR47" s="43" t="n">
        <x:f>_xlfn.COVARIANCE.S('Common sample'!AQ6:AQ75,'Common sample'!AR6:AR75)</x:f>
        <x:v>-0.00015852576617095057</x:v>
      </x:c>
    </x:row>
    <x:row r="48" ht="19" customHeight="1">
      <x:c r="A48" s="30" t="str">
        <x:v>BRK-B</x:v>
      </x:c>
      <x:c r="B48" s="43" t="n">
        <x:f>_xlfn.COVARIANCE.S('Common sample'!AR6:AR75,'Common sample'!B6:B75)</x:f>
        <x:v>-0.00014305120279854475</x:v>
      </x:c>
      <x:c r="C48" s="43" t="n">
        <x:f>_xlfn.COVARIANCE.S('Common sample'!AR6:AR75,'Common sample'!C6:C75)</x:f>
        <x:v>0.0002545263277597261</x:v>
      </x:c>
      <x:c r="D48" s="43" t="n">
        <x:f>_xlfn.COVARIANCE.S('Common sample'!AR6:AR75,'Common sample'!D6:D75)</x:f>
        <x:v>0.0002980095981894237</x:v>
      </x:c>
      <x:c r="E48" s="43" t="n">
        <x:f>_xlfn.COVARIANCE.S('Common sample'!AR6:AR75,'Common sample'!E6:E75)</x:f>
        <x:v>0.0001575188530364857</x:v>
      </x:c>
      <x:c r="F48" s="43" t="n">
        <x:f>_xlfn.COVARIANCE.S('Common sample'!AR6:AR75,'Common sample'!F6:F75)</x:f>
        <x:v>0.00009446107632669749</x:v>
      </x:c>
      <x:c r="G48" s="43" t="n">
        <x:f>_xlfn.COVARIANCE.S('Common sample'!AR6:AR75,'Common sample'!G6:G75)</x:f>
        <x:v>-0.0003689185233539204</x:v>
      </x:c>
      <x:c r="H48" s="43" t="n">
        <x:f>_xlfn.COVARIANCE.S('Common sample'!AR6:AR75,'Common sample'!H6:H75)</x:f>
        <x:v>-0.00018157061633124422</x:v>
      </x:c>
      <x:c r="I48" s="43" t="n">
        <x:f>_xlfn.COVARIANCE.S('Common sample'!AR6:AR75,'Common sample'!I6:I75)</x:f>
        <x:v>0.000867470822384379</x:v>
      </x:c>
      <x:c r="J48" s="43" t="n">
        <x:f>_xlfn.COVARIANCE.S('Common sample'!AR6:AR75,'Common sample'!J6:J75)</x:f>
        <x:v>-0.0001917665521423774</x:v>
      </x:c>
      <x:c r="K48" s="43" t="n">
        <x:f>_xlfn.COVARIANCE.S('Common sample'!AR6:AR75,'Common sample'!K6:K75)</x:f>
        <x:v>-0.0004025417660045372</x:v>
      </x:c>
      <x:c r="L48" s="43" t="n">
        <x:f>_xlfn.COVARIANCE.S('Common sample'!AR6:AR75,'Common sample'!L6:L75)</x:f>
        <x:v>-0.0008156574122348638</x:v>
      </x:c>
      <x:c r="M48" s="43" t="n">
        <x:f>_xlfn.COVARIANCE.S('Common sample'!AR6:AR75,'Common sample'!M6:M75)</x:f>
        <x:v>-0.000292189058328648</x:v>
      </x:c>
      <x:c r="N48" s="43" t="n">
        <x:f>_xlfn.COVARIANCE.S('Common sample'!AR6:AR75,'Common sample'!N6:N75)</x:f>
        <x:v>0.00019714530530776407</x:v>
      </x:c>
      <x:c r="O48" s="43" t="n">
        <x:f>_xlfn.COVARIANCE.S('Common sample'!AR6:AR75,'Common sample'!O6:O75)</x:f>
        <x:v>0.00045915810980051074</x:v>
      </x:c>
      <x:c r="P48" s="43" t="n">
        <x:f>_xlfn.COVARIANCE.S('Common sample'!AR6:AR75,'Common sample'!P6:P75)</x:f>
        <x:v>-0.00008419881186295644</x:v>
      </x:c>
      <x:c r="Q48" s="43" t="n">
        <x:f>_xlfn.COVARIANCE.S('Common sample'!AR6:AR75,'Common sample'!Q6:Q75)</x:f>
        <x:v>-0.0003024881220368215</x:v>
      </x:c>
      <x:c r="R48" s="43" t="n">
        <x:f>_xlfn.COVARIANCE.S('Common sample'!AR6:AR75,'Common sample'!R6:R75)</x:f>
        <x:v>0.00032004798715184964</x:v>
      </x:c>
      <x:c r="S48" s="43" t="n">
        <x:f>_xlfn.COVARIANCE.S('Common sample'!AR6:AR75,'Common sample'!S6:S75)</x:f>
        <x:v>-0.00017517472153180026</x:v>
      </x:c>
      <x:c r="T48" s="43" t="n">
        <x:f>_xlfn.COVARIANCE.S('Common sample'!AR6:AR75,'Common sample'!T6:T75)</x:f>
        <x:v>-0.001322286274145472</x:v>
      </x:c>
      <x:c r="U48" s="43" t="n">
        <x:f>_xlfn.COVARIANCE.S('Common sample'!AR6:AR75,'Common sample'!U6:U75)</x:f>
        <x:v>0.00038113353781585486</x:v>
      </x:c>
      <x:c r="V48" s="43" t="n">
        <x:f>_xlfn.COVARIANCE.S('Common sample'!AR6:AR75,'Common sample'!V6:V75)</x:f>
        <x:v>0.0009018179841831904</x:v>
      </x:c>
      <x:c r="W48" s="43" t="n">
        <x:f>_xlfn.COVARIANCE.S('Common sample'!AR6:AR75,'Common sample'!W6:W75)</x:f>
        <x:v>0.00015501340264086074</x:v>
      </x:c>
      <x:c r="X48" s="43" t="n">
        <x:f>_xlfn.COVARIANCE.S('Common sample'!AR6:AR75,'Common sample'!X6:X75)</x:f>
        <x:v>0.00009746797890356146</x:v>
      </x:c>
      <x:c r="Y48" s="43" t="n">
        <x:f>_xlfn.COVARIANCE.S('Common sample'!AR6:AR75,'Common sample'!Y6:Y75)</x:f>
        <x:v>0.00027972988201244826</x:v>
      </x:c>
      <x:c r="Z48" s="43" t="n">
        <x:f>_xlfn.COVARIANCE.S('Common sample'!AR6:AR75,'Common sample'!Z6:Z75)</x:f>
        <x:v>0.0004392377991067764</x:v>
      </x:c>
      <x:c r="AA48" s="43" t="n">
        <x:f>_xlfn.COVARIANCE.S('Common sample'!AR6:AR75,'Common sample'!AA6:AA75)</x:f>
        <x:v>-0.0027743763581356104</x:v>
      </x:c>
      <x:c r="AB48" s="43" t="n">
        <x:f>_xlfn.COVARIANCE.S('Common sample'!AR6:AR75,'Common sample'!AB6:AB75)</x:f>
        <x:v>-0.0017631962879862456</x:v>
      </x:c>
      <x:c r="AC48" s="43" t="n">
        <x:f>_xlfn.COVARIANCE.S('Common sample'!AR6:AR75,'Common sample'!AC6:AC75)</x:f>
        <x:v>0.0004511841531063671</x:v>
      </x:c>
      <x:c r="AD48" s="43" t="n">
        <x:f>_xlfn.COVARIANCE.S('Common sample'!AR6:AR75,'Common sample'!AD6:AD75)</x:f>
        <x:v>0.000757057594356509</x:v>
      </x:c>
      <x:c r="AE48" s="43" t="n">
        <x:f>_xlfn.COVARIANCE.S('Common sample'!AR6:AR75,'Common sample'!AE6:AE75)</x:f>
        <x:v>0.00005146766994207037</x:v>
      </x:c>
      <x:c r="AF48" s="43" t="n">
        <x:f>_xlfn.COVARIANCE.S('Common sample'!AR6:AR75,'Common sample'!AF6:AF75)</x:f>
        <x:v>-0.0002672348742178999</x:v>
      </x:c>
      <x:c r="AG48" s="43" t="n">
        <x:f>_xlfn.COVARIANCE.S('Common sample'!AR6:AR75,'Common sample'!AG6:AG75)</x:f>
        <x:v>-0.00012661423290839468</x:v>
      </x:c>
      <x:c r="AH48" s="43" t="n">
        <x:f>_xlfn.COVARIANCE.S('Common sample'!AR6:AR75,'Common sample'!AH6:AH75)</x:f>
        <x:v>-0.0007194116645929157</x:v>
      </x:c>
      <x:c r="AI48" s="43" t="n">
        <x:f>_xlfn.COVARIANCE.S('Common sample'!AR6:AR75,'Common sample'!AI6:AI75)</x:f>
        <x:v>0.0008556015265207062</x:v>
      </x:c>
      <x:c r="AJ48" s="43" t="n">
        <x:f>_xlfn.COVARIANCE.S('Common sample'!AR6:AR75,'Common sample'!AJ6:AJ75)</x:f>
        <x:v>0.00038941480649561214</x:v>
      </x:c>
      <x:c r="AK48" s="43" t="n">
        <x:f>_xlfn.COVARIANCE.S('Common sample'!AR6:AR75,'Common sample'!AK6:AK75)</x:f>
        <x:v>0.0012031016778732933</x:v>
      </x:c>
      <x:c r="AL48" s="43" t="n">
        <x:f>_xlfn.COVARIANCE.S('Common sample'!AR6:AR75,'Common sample'!AL6:AL75)</x:f>
        <x:v>-0.00021667459649014266</x:v>
      </x:c>
      <x:c r="AM48" s="43" t="n">
        <x:f>_xlfn.COVARIANCE.S('Common sample'!AR6:AR75,'Common sample'!AM6:AM75)</x:f>
        <x:v>-0.0002656404430208903</x:v>
      </x:c>
      <x:c r="AN48" s="43" t="n">
        <x:f>_xlfn.COVARIANCE.S('Common sample'!AR6:AR75,'Common sample'!AN6:AN75)</x:f>
        <x:v>0.0003733428239380211</x:v>
      </x:c>
      <x:c r="AO48" s="43" t="n">
        <x:f>_xlfn.COVARIANCE.S('Common sample'!AR6:AR75,'Common sample'!AO6:AO75)</x:f>
        <x:v>0.00036714811735960806</x:v>
      </x:c>
      <x:c r="AP48" s="43" t="n">
        <x:f>_xlfn.COVARIANCE.S('Common sample'!AR6:AR75,'Common sample'!AP6:AP75)</x:f>
        <x:v>0.00031648204025030996</x:v>
      </x:c>
      <x:c r="AQ48" s="43" t="n">
        <x:f>_xlfn.COVARIANCE.S('Common sample'!AR6:AR75,'Common sample'!AQ6:AQ75)</x:f>
        <x:v>-0.00015852576617095057</x:v>
      </x:c>
      <x:c r="AR48" s="43" t="n">
        <x:f>_xlfn.COVARIANCE.S('Common sample'!AR6:AR75,'Common sample'!AR6:AR75)</x:f>
        <x:v>0.001237964380407464</x:v>
      </x:c>
    </x:row>
  </x:sheetData>
  <x:pageMargins left="0.7" right="0.7" top="0.75" bottom="0.75" header="0.3" footer="0.3"/>
</x:worksheet>
</file>

<file path=xl/worksheets/sheet7.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s>
  <x:sheetData>
    <x:row r="1" ht="19" customHeight="1">
      <x:c r="A1" s="24"/>
      <x:c r="B1" s="24"/>
      <x:c r="C1" s="24"/>
      <x:c r="D1" s="24"/>
    </x:row>
    <x:row r="2" ht="19" customHeight="1">
      <x:c r="A2" s="35" t="str">
        <x:v>PCA of final residual covariance</x:v>
      </x:c>
      <x:c r="B2" s="24"/>
      <x:c r="C2" s="24"/>
      <x:c r="D2" s="24"/>
    </x:row>
    <x:row r="3" ht="19" customHeight="1">
      <x:c r="A3" s="28"/>
      <x:c r="B3" s="24"/>
      <x:c r="C3" s="24"/>
      <x:c r="D3" s="24"/>
    </x:row>
    <x:row r="4" ht="19" customHeight="1">
      <x:c r="A4" s="24"/>
      <x:c r="B4" s="24"/>
      <x:c r="C4" s="24"/>
      <x:c r="D4" s="24"/>
    </x:row>
    <x:row r="5" ht="42" customHeight="1">
      <x:c r="A5" s="36" t="str">
        <x:v>component</x:v>
      </x:c>
      <x:c r="B5" s="36" t="str">
        <x:v>eigenvalue</x:v>
      </x:c>
      <x:c r="C5" s="36" t="str">
        <x:v>explained_share</x:v>
      </x:c>
      <x:c r="D5" s="36" t="str">
        <x:v>cumulative_share</x:v>
      </x:c>
    </x:row>
    <x:row r="6" ht="19" customHeight="1">
      <x:c r="A6" s="30" t="str">
        <x:v>PC1</x:v>
      </x:c>
      <x:c r="B6" s="43" t="n">
        <x:v>0.0698855694</x:v>
      </x:c>
      <x:c r="C6" s="32" t="n">
        <x:f>B6/SUM($B$6:$B$48)</x:f>
        <x:v>0.16287382135813927</x:v>
      </x:c>
      <x:c r="D6" s="32" t="n">
        <x:f>SUM($C$6:C6)</x:f>
        <x:v>0.16287382135813927</x:v>
      </x:c>
    </x:row>
    <x:row r="7" ht="19" customHeight="1">
      <x:c r="A7" s="30" t="str">
        <x:v>PC2</x:v>
      </x:c>
      <x:c r="B7" s="43" t="n">
        <x:v>0.0541196286</x:v>
      </x:c>
      <x:c r="C7" s="32" t="n">
        <x:f>B7/SUM($B$6:$B$48)</x:f>
        <x:v>0.1261300551207249</x:v>
      </x:c>
      <x:c r="D7" s="32" t="n">
        <x:f>SUM($C$6:C7)</x:f>
        <x:v>0.28900387647886416</x:v>
      </x:c>
    </x:row>
    <x:row r="8" ht="19" customHeight="1">
      <x:c r="A8" s="30" t="str">
        <x:v>PC3</x:v>
      </x:c>
      <x:c r="B8" s="43" t="n">
        <x:v>0.0524511184</x:v>
      </x:c>
      <x:c r="C8" s="32" t="n">
        <x:f>B8/SUM($B$6:$B$48)</x:f>
        <x:v>0.12224146074305596</x:v>
      </x:c>
      <x:c r="D8" s="32" t="n">
        <x:f>SUM($C$6:C8)</x:f>
        <x:v>0.41124533722192014</x:v>
      </x:c>
    </x:row>
    <x:row r="9" ht="19" customHeight="1">
      <x:c r="A9" s="30" t="str">
        <x:v>PC4</x:v>
      </x:c>
      <x:c r="B9" s="43" t="n">
        <x:v>0.0333826564</x:v>
      </x:c>
      <x:c r="C9" s="32" t="n">
        <x:f>B9/SUM($B$6:$B$48)</x:f>
        <x:v>0.07780090885191736</x:v>
      </x:c>
      <x:c r="D9" s="32" t="n">
        <x:f>SUM($C$6:C9)</x:f>
        <x:v>0.4890462460738375</x:v>
      </x:c>
    </x:row>
    <x:row r="10" ht="19" customHeight="1">
      <x:c r="A10" s="30" t="str">
        <x:v>PC5</x:v>
      </x:c>
      <x:c r="B10" s="43" t="n">
        <x:v>0.0305638535</x:v>
      </x:c>
      <x:c r="C10" s="32" t="n">
        <x:f>B10/SUM($B$6:$B$48)</x:f>
        <x:v>0.07123146677796605</x:v>
      </x:c>
      <x:c r="D10" s="32" t="n">
        <x:f>SUM($C$6:C10)</x:f>
        <x:v>0.5602777128518035</x:v>
      </x:c>
    </x:row>
    <x:row r="11" ht="19" customHeight="1">
      <x:c r="A11" s="30" t="str">
        <x:v>PC6</x:v>
      </x:c>
      <x:c r="B11" s="43" t="n">
        <x:v>0.0245646752</x:v>
      </x:c>
      <x:c r="C11" s="32" t="n">
        <x:f>B11/SUM($B$6:$B$48)</x:f>
        <x:v>0.05724990945334581</x:v>
      </x:c>
      <x:c r="D11" s="32" t="n">
        <x:f>SUM($C$6:C11)</x:f>
        <x:v>0.6175276223051493</x:v>
      </x:c>
    </x:row>
    <x:row r="12" ht="19" customHeight="1">
      <x:c r="A12" s="30" t="str">
        <x:v>PC7</x:v>
      </x:c>
      <x:c r="B12" s="43" t="n">
        <x:v>0.0160344836</x:v>
      </x:c>
      <x:c r="C12" s="32" t="n">
        <x:f>B12/SUM($B$6:$B$48)</x:f>
        <x:v>0.0373696263743458</x:v>
      </x:c>
      <x:c r="D12" s="32" t="n">
        <x:f>SUM($C$6:C12)</x:f>
        <x:v>0.6548972486794952</x:v>
      </x:c>
    </x:row>
    <x:row r="13" ht="19" customHeight="1">
      <x:c r="A13" s="30" t="str">
        <x:v>PC8</x:v>
      </x:c>
      <x:c r="B13" s="43" t="n">
        <x:v>0.0152424174</x:v>
      </x:c>
      <x:c r="C13" s="32" t="n">
        <x:f>B13/SUM($B$6:$B$48)</x:f>
        <x:v>0.03552365373836095</x:v>
      </x:c>
      <x:c r="D13" s="32" t="n">
        <x:f>SUM($C$6:C13)</x:f>
        <x:v>0.6904209024178561</x:v>
      </x:c>
    </x:row>
    <x:row r="14" ht="19" customHeight="1">
      <x:c r="A14" s="30" t="str">
        <x:v>PC9</x:v>
      </x:c>
      <x:c r="B14" s="43" t="n">
        <x:v>0.0149538797</x:v>
      </x:c>
      <x:c r="C14" s="32" t="n">
        <x:f>B14/SUM($B$6:$B$48)</x:f>
        <x:v>0.03485119391284384</x:v>
      </x:c>
      <x:c r="D14" s="32" t="n">
        <x:f>SUM($C$6:C14)</x:f>
        <x:v>0.7252720963307</x:v>
      </x:c>
    </x:row>
    <x:row r="15" ht="19" customHeight="1">
      <x:c r="A15" s="30" t="str">
        <x:v>PC10</x:v>
      </x:c>
      <x:c r="B15" s="43" t="n">
        <x:v>0.0129574774</x:v>
      </x:c>
      <x:c r="C15" s="32" t="n">
        <x:f>B15/SUM($B$6:$B$48)</x:f>
        <x:v>0.030198421182209428</x:v>
      </x:c>
      <x:c r="D15" s="32" t="n">
        <x:f>SUM($C$6:C15)</x:f>
        <x:v>0.7554705175129094</x:v>
      </x:c>
    </x:row>
    <x:row r="16" ht="19" customHeight="1">
      <x:c r="A16" s="30" t="str">
        <x:v>PC11</x:v>
      </x:c>
      <x:c r="B16" s="43" t="n">
        <x:v>0.010466887</x:v>
      </x:c>
      <x:c r="C16" s="32" t="n">
        <x:f>B16/SUM($B$6:$B$48)</x:f>
        <x:v>0.02439390417864765</x:v>
      </x:c>
      <x:c r="D16" s="32" t="n">
        <x:f>SUM($C$6:C16)</x:f>
        <x:v>0.779864421691557</x:v>
      </x:c>
    </x:row>
    <x:row r="17" ht="19" customHeight="1">
      <x:c r="A17" s="30" t="str">
        <x:v>PC12</x:v>
      </x:c>
      <x:c r="B17" s="43" t="n">
        <x:v>0.0103364051</x:v>
      </x:c>
      <x:c r="C17" s="32" t="n">
        <x:f>B17/SUM($B$6:$B$48)</x:f>
        <x:v>0.024089805838267375</x:v>
      </x:c>
      <x:c r="D17" s="32" t="n">
        <x:f>SUM($C$6:C17)</x:f>
        <x:v>0.8039542275298244</x:v>
      </x:c>
    </x:row>
    <x:row r="18" ht="19" customHeight="1">
      <x:c r="A18" s="30" t="str">
        <x:v>PC13</x:v>
      </x:c>
      <x:c r="B18" s="43" t="n">
        <x:v>0.008899956</x:v>
      </x:c>
      <x:c r="C18" s="32" t="n">
        <x:f>B18/SUM($B$6:$B$48)</x:f>
        <x:v>0.02074204812359016</x:v>
      </x:c>
      <x:c r="D18" s="32" t="n">
        <x:f>SUM($C$6:C18)</x:f>
        <x:v>0.8246962756534145</x:v>
      </x:c>
    </x:row>
    <x:row r="19" ht="19" customHeight="1">
      <x:c r="A19" s="30" t="str">
        <x:v>PC14</x:v>
      </x:c>
      <x:c r="B19" s="43" t="n">
        <x:v>0.0082982046</x:v>
      </x:c>
      <x:c r="C19" s="32" t="n">
        <x:f>B19/SUM($B$6:$B$48)</x:f>
        <x:v>0.019339619111891925</x:v>
      </x:c>
      <x:c r="D19" s="32" t="n">
        <x:f>SUM($C$6:C19)</x:f>
        <x:v>0.8440358947653065</x:v>
      </x:c>
    </x:row>
    <x:row r="20" ht="19" customHeight="1">
      <x:c r="A20" s="30" t="str">
        <x:v>PC15</x:v>
      </x:c>
      <x:c r="B20" s="43" t="n">
        <x:v>0.0076546776</x:v>
      </x:c>
      <x:c r="C20" s="32" t="n">
        <x:f>B20/SUM($B$6:$B$48)</x:f>
        <x:v>0.01783982877553188</x:v>
      </x:c>
      <x:c r="D20" s="32" t="n">
        <x:f>SUM($C$6:C20)</x:f>
        <x:v>0.8618757235408384</x:v>
      </x:c>
    </x:row>
    <x:row r="21" ht="19" customHeight="1">
      <x:c r="A21" s="30" t="str">
        <x:v>PC16</x:v>
      </x:c>
      <x:c r="B21" s="43" t="n">
        <x:v>0.0061318416</x:v>
      </x:c>
      <x:c r="C21" s="32" t="n">
        <x:f>B21/SUM($B$6:$B$48)</x:f>
        <x:v>0.014290739589435282</x:v>
      </x:c>
      <x:c r="D21" s="32" t="n">
        <x:f>SUM($C$6:C21)</x:f>
        <x:v>0.8761664631302737</x:v>
      </x:c>
    </x:row>
    <x:row r="22" ht="19" customHeight="1">
      <x:c r="A22" s="30" t="str">
        <x:v>PC17</x:v>
      </x:c>
      <x:c r="B22" s="43" t="n">
        <x:v>0.0058240492</x:v>
      </x:c>
      <x:c r="C22" s="32" t="n">
        <x:f>B22/SUM($B$6:$B$48)</x:f>
        <x:v>0.013573405169706093</x:v>
      </x:c>
      <x:c r="D22" s="32" t="n">
        <x:f>SUM($C$6:C22)</x:f>
        <x:v>0.8897398682999798</x:v>
      </x:c>
    </x:row>
    <x:row r="23" ht="19" customHeight="1">
      <x:c r="A23" s="30" t="str">
        <x:v>PC18</x:v>
      </x:c>
      <x:c r="B23" s="43" t="n">
        <x:v>0.0054432927</x:v>
      </x:c>
      <x:c r="C23" s="32" t="n">
        <x:f>B23/SUM($B$6:$B$48)</x:f>
        <x:v>0.012686022170692418</x:v>
      </x:c>
      <x:c r="D23" s="32" t="n">
        <x:f>SUM($C$6:C23)</x:f>
        <x:v>0.9024258904706721</x:v>
      </x:c>
    </x:row>
    <x:row r="24" ht="19" customHeight="1">
      <x:c r="A24" s="30" t="str">
        <x:v>PC19</x:v>
      </x:c>
      <x:c r="B24" s="43" t="n">
        <x:v>0.0050115986</x:v>
      </x:c>
      <x:c r="C24" s="32" t="n">
        <x:f>B24/SUM($B$6:$B$48)</x:f>
        <x:v>0.011679925084721437</x:v>
      </x:c>
      <x:c r="D24" s="32" t="n">
        <x:f>SUM($C$6:C24)</x:f>
        <x:v>0.9141058155553936</x:v>
      </x:c>
    </x:row>
    <x:row r="25" ht="19" customHeight="1">
      <x:c r="A25" s="30" t="str">
        <x:v>PC20</x:v>
      </x:c>
      <x:c r="B25" s="43" t="n">
        <x:v>0.004701724</x:v>
      </x:c>
      <x:c r="C25" s="32" t="n">
        <x:f>B25/SUM($B$6:$B$48)</x:f>
        <x:v>0.01095773793396718</x:v>
      </x:c>
      <x:c r="D25" s="32" t="n">
        <x:f>SUM($C$6:C25)</x:f>
        <x:v>0.9250635534893608</x:v>
      </x:c>
    </x:row>
    <x:row r="26" ht="19" customHeight="1">
      <x:c r="A26" s="30" t="str">
        <x:v>PC21</x:v>
      </x:c>
      <x:c r="B26" s="43" t="n">
        <x:v>0.0041949779</x:v>
      </x:c>
      <x:c r="C26" s="32" t="n">
        <x:f>B26/SUM($B$6:$B$48)</x:f>
        <x:v>0.009776726253387902</x:v>
      </x:c>
      <x:c r="D26" s="32" t="n">
        <x:f>SUM($C$6:C26)</x:f>
        <x:v>0.9348402797427486</x:v>
      </x:c>
    </x:row>
    <x:row r="27" ht="19" customHeight="1">
      <x:c r="A27" s="30" t="str">
        <x:v>PC22</x:v>
      </x:c>
      <x:c r="B27" s="43" t="n">
        <x:v>0.0035220029</x:v>
      </x:c>
      <x:c r="C27" s="32" t="n">
        <x:f>B27/SUM($B$6:$B$48)</x:f>
        <x:v>0.008208305034679283</x:v>
      </x:c>
      <x:c r="D27" s="32" t="n">
        <x:f>SUM($C$6:C27)</x:f>
        <x:v>0.9430485847774279</x:v>
      </x:c>
    </x:row>
    <x:row r="28" ht="19" customHeight="1">
      <x:c r="A28" s="30" t="str">
        <x:v>PC23</x:v>
      </x:c>
      <x:c r="B28" s="43" t="n">
        <x:v>0.0034792946</x:v>
      </x:c>
      <x:c r="C28" s="32" t="n">
        <x:f>B28/SUM($B$6:$B$48)</x:f>
        <x:v>0.008108769979238928</x:v>
      </x:c>
      <x:c r="D28" s="32" t="n">
        <x:f>SUM($C$6:C28)</x:f>
        <x:v>0.9511573547566669</x:v>
      </x:c>
    </x:row>
    <x:row r="29" ht="19" customHeight="1">
      <x:c r="A29" s="30" t="str">
        <x:v>PC24</x:v>
      </x:c>
      <x:c r="B29" s="43" t="n">
        <x:v>0.0029632736</x:v>
      </x:c>
      <x:c r="C29" s="32" t="n">
        <x:f>B29/SUM($B$6:$B$48)</x:f>
        <x:v>0.006906142414025896</x:v>
      </x:c>
      <x:c r="D29" s="32" t="n">
        <x:f>SUM($C$6:C29)</x:f>
        <x:v>0.9580634971706927</x:v>
      </x:c>
    </x:row>
    <x:row r="30" ht="19" customHeight="1">
      <x:c r="A30" s="30" t="str">
        <x:v>PC25</x:v>
      </x:c>
      <x:c r="B30" s="43" t="n">
        <x:v>0.0027673273</x:v>
      </x:c>
      <x:c r="C30" s="32" t="n">
        <x:f>B30/SUM($B$6:$B$48)</x:f>
        <x:v>0.0064494741356389655</x:v>
      </x:c>
      <x:c r="D30" s="32" t="n">
        <x:f>SUM($C$6:C30)</x:f>
        <x:v>0.9645129713063317</x:v>
      </x:c>
    </x:row>
    <x:row r="31" ht="19" customHeight="1">
      <x:c r="A31" s="30" t="str">
        <x:v>PC26</x:v>
      </x:c>
      <x:c r="B31" s="43" t="n">
        <x:v>0.0022543211</x:v>
      </x:c>
      <x:c r="C31" s="32" t="n">
        <x:f>B31/SUM($B$6:$B$48)</x:f>
        <x:v>0.00525387279917167</x:v>
      </x:c>
      <x:c r="D31" s="32" t="n">
        <x:f>SUM($C$6:C31)</x:f>
        <x:v>0.9697668441055034</x:v>
      </x:c>
    </x:row>
    <x:row r="32" ht="19" customHeight="1">
      <x:c r="A32" s="30" t="str">
        <x:v>PC27</x:v>
      </x:c>
      <x:c r="B32" s="43" t="n">
        <x:v>0.0021443877</x:v>
      </x:c>
      <x:c r="C32" s="32" t="n">
        <x:f>B32/SUM($B$6:$B$48)</x:f>
        <x:v>0.004997664355760278</x:v>
      </x:c>
      <x:c r="D32" s="32" t="n">
        <x:f>SUM($C$6:C32)</x:f>
        <x:v>0.9747645084612637</x:v>
      </x:c>
    </x:row>
    <x:row r="33" ht="19" customHeight="1">
      <x:c r="A33" s="30" t="str">
        <x:v>PC28</x:v>
      </x:c>
      <x:c r="B33" s="43" t="n">
        <x:v>0.0018315721</x:v>
      </x:c>
      <x:c r="C33" s="32" t="n">
        <x:f>B33/SUM($B$6:$B$48)</x:f>
        <x:v>0.0042686229729703255</x:v>
      </x:c>
      <x:c r="D33" s="32" t="n">
        <x:f>SUM($C$6:C33)</x:f>
        <x:v>0.9790331314342341</x:v>
      </x:c>
    </x:row>
    <x:row r="34" ht="19" customHeight="1">
      <x:c r="A34" s="30" t="str">
        <x:v>PC29</x:v>
      </x:c>
      <x:c r="B34" s="43" t="n">
        <x:v>0.0014554884</x:v>
      </x:c>
      <x:c r="C34" s="32" t="n">
        <x:f>B34/SUM($B$6:$B$48)</x:f>
        <x:v>0.003392130302231521</x:v>
      </x:c>
      <x:c r="D34" s="32" t="n">
        <x:f>SUM($C$6:C34)</x:f>
        <x:v>0.9824252617364656</x:v>
      </x:c>
    </x:row>
    <x:row r="35" ht="19" customHeight="1">
      <x:c r="A35" s="30" t="str">
        <x:v>PC30</x:v>
      </x:c>
      <x:c r="B35" s="43" t="n">
        <x:v>0.0012431597</x:v>
      </x:c>
      <x:c r="C35" s="32" t="n">
        <x:f>B35/SUM($B$6:$B$48)</x:f>
        <x:v>0.0028972815509096792</x:v>
      </x:c>
      <x:c r="D35" s="32" t="n">
        <x:f>SUM($C$6:C35)</x:f>
        <x:v>0.9853225432873752</x:v>
      </x:c>
    </x:row>
    <x:row r="36" ht="19" customHeight="1">
      <x:c r="A36" s="30" t="str">
        <x:v>PC31</x:v>
      </x:c>
      <x:c r="B36" s="43" t="n">
        <x:v>0.0010696971</x:v>
      </x:c>
      <x:c r="C36" s="32" t="n">
        <x:f>B36/SUM($B$6:$B$48)</x:f>
        <x:v>0.002493013305443851</x:v>
      </x:c>
      <x:c r="D36" s="32" t="n">
        <x:f>SUM($C$6:C36)</x:f>
        <x:v>0.987815556592819</x:v>
      </x:c>
    </x:row>
    <x:row r="37" ht="19" customHeight="1">
      <x:c r="A37" s="30" t="str">
        <x:v>PC32</x:v>
      </x:c>
      <x:c r="B37" s="43" t="n">
        <x:v>0.001060215</x:v>
      </x:c>
      <x:c r="C37" s="32" t="n">
        <x:f>B37/SUM($B$6:$B$48)</x:f>
        <x:v>0.0024709145248978915</x:v>
      </x:c>
      <x:c r="D37" s="32" t="n">
        <x:f>SUM($C$6:C37)</x:f>
        <x:v>0.990286471117717</x:v>
      </x:c>
    </x:row>
    <x:row r="38" ht="19" customHeight="1">
      <x:c r="A38" s="30" t="str">
        <x:v>PC33</x:v>
      </x:c>
      <x:c r="B38" s="43" t="n">
        <x:v>0.0007884217</x:v>
      </x:c>
      <x:c r="C38" s="32" t="n">
        <x:f>B38/SUM($B$6:$B$48)</x:f>
        <x:v>0.0018374788418148093</x:v>
      </x:c>
      <x:c r="D38" s="32" t="n">
        <x:f>SUM($C$6:C38)</x:f>
        <x:v>0.9921239499595318</x:v>
      </x:c>
    </x:row>
    <x:row r="39" ht="19" customHeight="1">
      <x:c r="A39" s="30" t="str">
        <x:v>PC34</x:v>
      </x:c>
      <x:c r="B39" s="43" t="n">
        <x:v>0.0006475013</x:v>
      </x:c>
      <x:c r="C39" s="32" t="n">
        <x:f>B39/SUM($B$6:$B$48)</x:f>
        <x:v>0.001509052755394205</x:v>
      </x:c>
      <x:c r="D39" s="32" t="n">
        <x:f>SUM($C$6:C39)</x:f>
        <x:v>0.993633002714926</x:v>
      </x:c>
    </x:row>
    <x:row r="40" ht="19" customHeight="1">
      <x:c r="A40" s="30" t="str">
        <x:v>PC35</x:v>
      </x:c>
      <x:c r="B40" s="43" t="n">
        <x:v>0.0005629681</x:v>
      </x:c>
      <x:c r="C40" s="32" t="n">
        <x:f>B40/SUM($B$6:$B$48)</x:f>
        <x:v>0.001312041477760802</x:v>
      </x:c>
      <x:c r="D40" s="32" t="n">
        <x:f>SUM($C$6:C40)</x:f>
        <x:v>0.9949450441926868</x:v>
      </x:c>
    </x:row>
    <x:row r="41" ht="19" customHeight="1">
      <x:c r="A41" s="30" t="str">
        <x:v>PC36</x:v>
      </x:c>
      <x:c r="B41" s="43" t="n">
        <x:v>0.0004363051</x:v>
      </x:c>
      <x:c r="C41" s="32" t="n">
        <x:f>B41/SUM($B$6:$B$48)</x:f>
        <x:v>0.0010168433844805317</x:v>
      </x:c>
      <x:c r="D41" s="32" t="n">
        <x:f>SUM($C$6:C41)</x:f>
        <x:v>0.9959618875771673</x:v>
      </x:c>
    </x:row>
    <x:row r="42" ht="19" customHeight="1">
      <x:c r="A42" s="30" t="str">
        <x:v>PC37</x:v>
      </x:c>
      <x:c r="B42" s="43" t="n">
        <x:v>0.0004282224</x:v>
      </x:c>
      <x:c r="C42" s="32" t="n">
        <x:f>B42/SUM($B$6:$B$48)</x:f>
        <x:v>0.0009980060158049403</x:v>
      </x:c>
      <x:c r="D42" s="32" t="n">
        <x:f>SUM($C$6:C42)</x:f>
        <x:v>0.9969598935929722</x:v>
      </x:c>
    </x:row>
    <x:row r="43" ht="19" customHeight="1">
      <x:c r="A43" s="30" t="str">
        <x:v>PC38</x:v>
      </x:c>
      <x:c r="B43" s="43" t="n">
        <x:v>0.0003501241</x:v>
      </x:c>
      <x:c r="C43" s="32" t="n">
        <x:f>B43/SUM($B$6:$B$48)</x:f>
        <x:v>0.0008159917792210087</x:v>
      </x:c>
      <x:c r="D43" s="32" t="n">
        <x:f>SUM($C$6:C43)</x:f>
        <x:v>0.9977758853721932</x:v>
      </x:c>
    </x:row>
    <x:row r="44" ht="19" customHeight="1">
      <x:c r="A44" s="30" t="str">
        <x:v>PC39</x:v>
      </x:c>
      <x:c r="B44" s="43" t="n">
        <x:v>0.0003152455</x:v>
      </x:c>
      <x:c r="C44" s="32" t="n">
        <x:f>B44/SUM($B$6:$B$48)</x:f>
        <x:v>0.0007347044560383491</x:v>
      </x:c>
      <x:c r="D44" s="32" t="n">
        <x:f>SUM($C$6:C44)</x:f>
        <x:v>0.9985105898282316</x:v>
      </x:c>
    </x:row>
    <x:row r="45" ht="19" customHeight="1">
      <x:c r="A45" s="30" t="str">
        <x:v>PC40</x:v>
      </x:c>
      <x:c r="B45" s="43" t="n">
        <x:v>0.0002209271</x:v>
      </x:c>
      <x:c r="C45" s="32" t="n">
        <x:f>B45/SUM($B$6:$B$48)</x:f>
        <x:v>0.0005148879994468754</x:v>
      </x:c>
      <x:c r="D45" s="32" t="n">
        <x:f>SUM($C$6:C45)</x:f>
        <x:v>0.9990254778276785</x:v>
      </x:c>
    </x:row>
    <x:row r="46" ht="19" customHeight="1">
      <x:c r="A46" s="30" t="str">
        <x:v>PC41</x:v>
      </x:c>
      <x:c r="B46" s="43" t="n">
        <x:v>0.0002030821</x:v>
      </x:c>
      <x:c r="C46" s="32" t="n">
        <x:f>B46/SUM($B$6:$B$48)</x:f>
        <x:v>0.0004732988220660584</x:v>
      </x:c>
      <x:c r="D46" s="32" t="n">
        <x:f>SUM($C$6:C46)</x:f>
        <x:v>0.9994987766497445</x:v>
      </x:c>
    </x:row>
    <x:row r="47" ht="19" customHeight="1">
      <x:c r="A47" s="30" t="str">
        <x:v>PC42</x:v>
      </x:c>
      <x:c r="B47" s="43" t="n">
        <x:v>0.0001329681</x:v>
      </x:c>
      <x:c r="C47" s="32" t="n">
        <x:f>B47/SUM($B$6:$B$48)</x:f>
        <x:v>0.00030989262521099526</x:v>
      </x:c>
      <x:c r="D47" s="32" t="n">
        <x:f>SUM($C$6:C47)</x:f>
        <x:v>0.9998086692749555</x:v>
      </x:c>
    </x:row>
    <x:row r="48" ht="19" customHeight="1">
      <x:c r="A48" s="30" t="str">
        <x:v>PC43</x:v>
      </x:c>
      <x:c r="B48" s="43" t="n">
        <x:v>0.0000820958</x:v>
      </x:c>
      <x:c r="C48" s="32" t="n">
        <x:f>B48/SUM($B$6:$B$48)</x:f>
        <x:v>0.00019133072504455448</x:v>
      </x:c>
      <x:c r="D48" s="32" t="n">
        <x:f>SUM($C$6:C48)</x:f>
        <x:v>1</x:v>
      </x:c>
    </x:row>
  </x:sheetData>
  <x:pageMargins left="0.7" right="0.7" top="0.75" bottom="0.75" header="0.3" footer="0.3"/>
  <x:drawing xmlns:r="http://schemas.openxmlformats.org/officeDocument/2006/relationships" r:id="R919ff4daafa6475c"/>
</x:worksheet>
</file>

<file path=xl/worksheets/sheet8.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15"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15" hidden="0" customWidth="1"/>
    <x:col min="31" max="31" width="15" hidden="0" customWidth="1"/>
    <x:col min="32" max="32" width="15" hidden="0" customWidth="1"/>
    <x:col min="33" max="33" width="15" hidden="0" customWidth="1"/>
    <x:col min="34" max="34" width="15" hidden="0" customWidth="1"/>
    <x:col min="35" max="35" width="15" hidden="0" customWidth="1"/>
    <x:col min="36" max="36" width="15" hidden="0" customWidth="1"/>
    <x:col min="37" max="37" width="15" hidden="0" customWidth="1"/>
    <x:col min="38" max="38" width="15" hidden="0" customWidth="1"/>
    <x:col min="39" max="39" width="15" hidden="0" customWidth="1"/>
    <x:col min="40" max="40" width="15" hidden="0" customWidth="1"/>
    <x:col min="41" max="41" width="15" hidden="0" customWidth="1"/>
    <x:col min="42" max="42" width="15" hidden="0" customWidth="1"/>
    <x:col min="43" max="43" width="15" hidden="0" customWidth="1"/>
    <x:col min="44" max="44"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c r="W1" s="24"/>
      <x:c r="X1" s="24"/>
      <x:c r="Y1" s="24"/>
      <x:c r="Z1" s="24"/>
      <x:c r="AA1" s="24"/>
      <x:c r="AB1" s="24"/>
      <x:c r="AC1" s="24"/>
      <x:c r="AD1" s="24"/>
      <x:c r="AE1" s="24"/>
      <x:c r="AF1" s="24"/>
      <x:c r="AG1" s="24"/>
      <x:c r="AH1" s="24"/>
      <x:c r="AI1" s="24"/>
      <x:c r="AJ1" s="24"/>
      <x:c r="AK1" s="24"/>
      <x:c r="AL1" s="24"/>
      <x:c r="AM1" s="24"/>
      <x:c r="AN1" s="24"/>
      <x:c r="AO1" s="24"/>
      <x:c r="AP1" s="24"/>
      <x:c r="AQ1" s="24"/>
      <x:c r="AR1" s="24"/>
    </x:row>
    <x:row r="2" ht="19" customHeight="1">
      <x:c r="A2" s="35" t="str">
        <x:v>PCA eigenvectors</x:v>
      </x:c>
      <x:c r="B2" s="24"/>
      <x:c r="C2" s="24"/>
      <x:c r="D2" s="24"/>
      <x:c r="E2" s="24"/>
      <x:c r="F2" s="24"/>
      <x:c r="G2" s="24"/>
      <x:c r="H2" s="24"/>
      <x:c r="I2" s="24"/>
      <x:c r="J2" s="24"/>
      <x:c r="K2" s="24"/>
      <x:c r="L2" s="24"/>
      <x:c r="M2" s="24"/>
      <x:c r="N2" s="24"/>
      <x:c r="O2" s="24"/>
      <x:c r="P2" s="24"/>
      <x:c r="Q2" s="24"/>
      <x:c r="R2" s="24"/>
      <x:c r="S2" s="24"/>
      <x:c r="T2" s="24"/>
      <x:c r="U2" s="24"/>
      <x:c r="V2" s="24"/>
      <x:c r="W2" s="24"/>
      <x:c r="X2" s="24"/>
      <x:c r="Y2" s="24"/>
      <x:c r="Z2" s="24"/>
      <x:c r="AA2" s="24"/>
      <x:c r="AB2" s="24"/>
      <x:c r="AC2" s="24"/>
      <x:c r="AD2" s="24"/>
      <x:c r="AE2" s="24"/>
      <x:c r="AF2" s="24"/>
      <x:c r="AG2" s="24"/>
      <x:c r="AH2" s="24"/>
      <x:c r="AI2" s="24"/>
      <x:c r="AJ2" s="24"/>
      <x:c r="AK2" s="24"/>
      <x:c r="AL2" s="24"/>
      <x:c r="AM2" s="24"/>
      <x:c r="AN2" s="24"/>
      <x:c r="AO2" s="24"/>
      <x:c r="AP2" s="24"/>
      <x:c r="AQ2" s="24"/>
      <x:c r="AR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c r="W3" s="24"/>
      <x:c r="X3" s="24"/>
      <x:c r="Y3" s="24"/>
      <x:c r="Z3" s="24"/>
      <x:c r="AA3" s="24"/>
      <x:c r="AB3" s="24"/>
      <x:c r="AC3" s="24"/>
      <x:c r="AD3" s="24"/>
      <x:c r="AE3" s="24"/>
      <x:c r="AF3" s="24"/>
      <x:c r="AG3" s="24"/>
      <x:c r="AH3" s="24"/>
      <x:c r="AI3" s="24"/>
      <x:c r="AJ3" s="24"/>
      <x:c r="AK3" s="24"/>
      <x:c r="AL3" s="24"/>
      <x:c r="AM3" s="24"/>
      <x:c r="AN3" s="24"/>
      <x:c r="AO3" s="24"/>
      <x:c r="AP3" s="24"/>
      <x:c r="AQ3" s="24"/>
      <x:c r="AR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c r="W4" s="24"/>
      <x:c r="X4" s="24"/>
      <x:c r="Y4" s="24"/>
      <x:c r="Z4" s="24"/>
      <x:c r="AA4" s="24"/>
      <x:c r="AB4" s="24"/>
      <x:c r="AC4" s="24"/>
      <x:c r="AD4" s="24"/>
      <x:c r="AE4" s="24"/>
      <x:c r="AF4" s="24"/>
      <x:c r="AG4" s="24"/>
      <x:c r="AH4" s="24"/>
      <x:c r="AI4" s="24"/>
      <x:c r="AJ4" s="24"/>
      <x:c r="AK4" s="24"/>
      <x:c r="AL4" s="24"/>
      <x:c r="AM4" s="24"/>
      <x:c r="AN4" s="24"/>
      <x:c r="AO4" s="24"/>
      <x:c r="AP4" s="24"/>
      <x:c r="AQ4" s="24"/>
      <x:c r="AR4" s="24"/>
    </x:row>
    <x:row r="5" ht="42" customHeight="1">
      <x:c r="A5" s="36" t="str">
        <x:v>factor_or_stock</x:v>
      </x:c>
      <x:c r="B5" s="36" t="str">
        <x:v>PC1</x:v>
      </x:c>
      <x:c r="C5" s="36" t="str">
        <x:v>PC2</x:v>
      </x:c>
      <x:c r="D5" s="36" t="str">
        <x:v>PC3</x:v>
      </x:c>
      <x:c r="E5" s="36" t="str">
        <x:v>PC4</x:v>
      </x:c>
      <x:c r="F5" s="36" t="str">
        <x:v>PC5</x:v>
      </x:c>
      <x:c r="G5" s="36" t="str">
        <x:v>PC6</x:v>
      </x:c>
      <x:c r="H5" s="36" t="str">
        <x:v>PC7</x:v>
      </x:c>
      <x:c r="I5" s="36" t="str">
        <x:v>PC8</x:v>
      </x:c>
      <x:c r="J5" s="36" t="str">
        <x:v>PC9</x:v>
      </x:c>
      <x:c r="K5" s="36" t="str">
        <x:v>PC10</x:v>
      </x:c>
      <x:c r="L5" s="36" t="str">
        <x:v>PC11</x:v>
      </x:c>
      <x:c r="M5" s="36" t="str">
        <x:v>PC12</x:v>
      </x:c>
      <x:c r="N5" s="36" t="str">
        <x:v>PC13</x:v>
      </x:c>
      <x:c r="O5" s="36" t="str">
        <x:v>PC14</x:v>
      </x:c>
      <x:c r="P5" s="36" t="str">
        <x:v>PC15</x:v>
      </x:c>
      <x:c r="Q5" s="36" t="str">
        <x:v>PC16</x:v>
      </x:c>
      <x:c r="R5" s="36" t="str">
        <x:v>PC17</x:v>
      </x:c>
      <x:c r="S5" s="36" t="str">
        <x:v>PC18</x:v>
      </x:c>
      <x:c r="T5" s="36" t="str">
        <x:v>PC19</x:v>
      </x:c>
      <x:c r="U5" s="36" t="str">
        <x:v>PC20</x:v>
      </x:c>
      <x:c r="V5" s="36" t="str">
        <x:v>PC21</x:v>
      </x:c>
      <x:c r="W5" s="36" t="str">
        <x:v>PC22</x:v>
      </x:c>
      <x:c r="X5" s="36" t="str">
        <x:v>PC23</x:v>
      </x:c>
      <x:c r="Y5" s="36" t="str">
        <x:v>PC24</x:v>
      </x:c>
      <x:c r="Z5" s="36" t="str">
        <x:v>PC25</x:v>
      </x:c>
      <x:c r="AA5" s="36" t="str">
        <x:v>PC26</x:v>
      </x:c>
      <x:c r="AB5" s="36" t="str">
        <x:v>PC27</x:v>
      </x:c>
      <x:c r="AC5" s="36" t="str">
        <x:v>PC28</x:v>
      </x:c>
      <x:c r="AD5" s="36" t="str">
        <x:v>PC29</x:v>
      </x:c>
      <x:c r="AE5" s="36" t="str">
        <x:v>PC30</x:v>
      </x:c>
      <x:c r="AF5" s="36" t="str">
        <x:v>PC31</x:v>
      </x:c>
      <x:c r="AG5" s="36" t="str">
        <x:v>PC32</x:v>
      </x:c>
      <x:c r="AH5" s="36" t="str">
        <x:v>PC33</x:v>
      </x:c>
      <x:c r="AI5" s="36" t="str">
        <x:v>PC34</x:v>
      </x:c>
      <x:c r="AJ5" s="36" t="str">
        <x:v>PC35</x:v>
      </x:c>
      <x:c r="AK5" s="36" t="str">
        <x:v>PC36</x:v>
      </x:c>
      <x:c r="AL5" s="36" t="str">
        <x:v>PC37</x:v>
      </x:c>
      <x:c r="AM5" s="36" t="str">
        <x:v>PC38</x:v>
      </x:c>
      <x:c r="AN5" s="36" t="str">
        <x:v>PC39</x:v>
      </x:c>
      <x:c r="AO5" s="36" t="str">
        <x:v>PC40</x:v>
      </x:c>
      <x:c r="AP5" s="36" t="str">
        <x:v>PC41</x:v>
      </x:c>
      <x:c r="AQ5" s="36" t="str">
        <x:v>PC42</x:v>
      </x:c>
      <x:c r="AR5" s="36" t="str">
        <x:v>PC43</x:v>
      </x:c>
    </x:row>
    <x:row r="6" ht="19" customHeight="1">
      <x:c r="A6" s="30" t="str">
        <x:v>VST</x:v>
      </x:c>
      <x:c r="B6" s="39" t="n">
        <x:v>0.0030766752</x:v>
      </x:c>
      <x:c r="C6" s="39" t="n">
        <x:v>-0.0264656531</x:v>
      </x:c>
      <x:c r="D6" s="39" t="n">
        <x:v>-0.0646860323</x:v>
      </x:c>
      <x:c r="E6" s="39" t="n">
        <x:v>0.2378793806</x:v>
      </x:c>
      <x:c r="F6" s="39" t="n">
        <x:v>-0.0543683827</x:v>
      </x:c>
      <x:c r="G6" s="39" t="n">
        <x:v>0.1962935602</x:v>
      </x:c>
      <x:c r="H6" s="39" t="n">
        <x:v>-0.005977001</x:v>
      </x:c>
      <x:c r="I6" s="39" t="n">
        <x:v>0.0341913349</x:v>
      </x:c>
      <x:c r="J6" s="39" t="n">
        <x:v>-0.4423422958</x:v>
      </x:c>
      <x:c r="K6" s="39" t="n">
        <x:v>0.2071878972</x:v>
      </x:c>
      <x:c r="L6" s="39" t="n">
        <x:v>0.0828340843</x:v>
      </x:c>
      <x:c r="M6" s="39" t="n">
        <x:v>-0.0990419395</x:v>
      </x:c>
      <x:c r="N6" s="39" t="n">
        <x:v>-0.3006338866</x:v>
      </x:c>
      <x:c r="O6" s="39" t="n">
        <x:v>0.3585478908</x:v>
      </x:c>
      <x:c r="P6" s="39" t="n">
        <x:v>-0.1910193417</x:v>
      </x:c>
      <x:c r="Q6" s="39" t="n">
        <x:v>0.1000829711</x:v>
      </x:c>
      <x:c r="R6" s="39" t="n">
        <x:v>0.0964577973</x:v>
      </x:c>
      <x:c r="S6" s="39" t="n">
        <x:v>-0.0035669841</x:v>
      </x:c>
      <x:c r="T6" s="39" t="n">
        <x:v>-0.1904754475</x:v>
      </x:c>
      <x:c r="U6" s="39" t="n">
        <x:v>-0.3631552734</x:v>
      </x:c>
      <x:c r="V6" s="39" t="n">
        <x:v>0.176974839</x:v>
      </x:c>
      <x:c r="W6" s="39" t="n">
        <x:v>0.1113085569</x:v>
      </x:c>
      <x:c r="X6" s="39" t="n">
        <x:v>0.042994863</x:v>
      </x:c>
      <x:c r="Y6" s="39" t="n">
        <x:v>0.0189472067</x:v>
      </x:c>
      <x:c r="Z6" s="39" t="n">
        <x:v>-0.034438386</x:v>
      </x:c>
      <x:c r="AA6" s="39" t="n">
        <x:v>-0.0390614559</x:v>
      </x:c>
      <x:c r="AB6" s="39" t="n">
        <x:v>-0.1224582627</x:v>
      </x:c>
      <x:c r="AC6" s="39" t="n">
        <x:v>0.1696994074</x:v>
      </x:c>
      <x:c r="AD6" s="39" t="n">
        <x:v>0.0742549229</x:v>
      </x:c>
      <x:c r="AE6" s="39" t="n">
        <x:v>0.0906776571</x:v>
      </x:c>
      <x:c r="AF6" s="39" t="n">
        <x:v>-0.1071597303</x:v>
      </x:c>
      <x:c r="AG6" s="39" t="n">
        <x:v>0.0463783952</x:v>
      </x:c>
      <x:c r="AH6" s="39" t="n">
        <x:v>-0.1192338862</x:v>
      </x:c>
      <x:c r="AI6" s="39" t="n">
        <x:v>0.0466735514</x:v>
      </x:c>
      <x:c r="AJ6" s="39" t="n">
        <x:v>-0.0979297679</x:v>
      </x:c>
      <x:c r="AK6" s="39" t="n">
        <x:v>0.1655369494</x:v>
      </x:c>
      <x:c r="AL6" s="39" t="n">
        <x:v>-0.0632774185</x:v>
      </x:c>
      <x:c r="AM6" s="39" t="n">
        <x:v>0.0297545351</x:v>
      </x:c>
      <x:c r="AN6" s="39" t="n">
        <x:v>0.0265929132</x:v>
      </x:c>
      <x:c r="AO6" s="39" t="n">
        <x:v>0.0845735661</x:v>
      </x:c>
      <x:c r="AP6" s="39" t="n">
        <x:v>0.0601757514</x:v>
      </x:c>
      <x:c r="AQ6" s="39" t="n">
        <x:v>-0.0553485727</x:v>
      </x:c>
      <x:c r="AR6" s="39" t="n">
        <x:v>0.0708958142</x:v>
      </x:c>
    </x:row>
    <x:row r="7" ht="19" customHeight="1">
      <x:c r="A7" s="30" t="str">
        <x:v>VIST</x:v>
      </x:c>
      <x:c r="B7" s="39" t="n">
        <x:v>0.0134471987</x:v>
      </x:c>
      <x:c r="C7" s="39" t="n">
        <x:v>-0.0505391621</x:v>
      </x:c>
      <x:c r="D7" s="39" t="n">
        <x:v>0.121138281</x:v>
      </x:c>
      <x:c r="E7" s="39" t="n">
        <x:v>-0.0262331977</x:v>
      </x:c>
      <x:c r="F7" s="39" t="n">
        <x:v>0.1593590958</x:v>
      </x:c>
      <x:c r="G7" s="39" t="n">
        <x:v>-0.1334701572</x:v>
      </x:c>
      <x:c r="H7" s="39" t="n">
        <x:v>0.4751185872</x:v>
      </x:c>
      <x:c r="I7" s="39" t="n">
        <x:v>-0.0426226385</x:v>
      </x:c>
      <x:c r="J7" s="39" t="n">
        <x:v>-0.1951433281</x:v>
      </x:c>
      <x:c r="K7" s="39" t="n">
        <x:v>-0.1083499327</x:v>
      </x:c>
      <x:c r="L7" s="39" t="n">
        <x:v>-0.0458089284</x:v>
      </x:c>
      <x:c r="M7" s="39" t="n">
        <x:v>-0.228900886</x:v>
      </x:c>
      <x:c r="N7" s="39" t="n">
        <x:v>0.185459572</x:v>
      </x:c>
      <x:c r="O7" s="39" t="n">
        <x:v>-0.3278200003</x:v>
      </x:c>
      <x:c r="P7" s="39" t="n">
        <x:v>-0.2645651746</x:v>
      </x:c>
      <x:c r="Q7" s="39" t="n">
        <x:v>-0.2579901787</x:v>
      </x:c>
      <x:c r="R7" s="39" t="n">
        <x:v>-0.218261072</x:v>
      </x:c>
      <x:c r="S7" s="39" t="n">
        <x:v>0.0380476786</x:v>
      </x:c>
      <x:c r="T7" s="39" t="n">
        <x:v>-0.3092791182</x:v>
      </x:c>
      <x:c r="U7" s="39" t="n">
        <x:v>-0.0651141844</x:v>
      </x:c>
      <x:c r="V7" s="39" t="n">
        <x:v>-0.0238248917</x:v>
      </x:c>
      <x:c r="W7" s="39" t="n">
        <x:v>0.0279163852</x:v>
      </x:c>
      <x:c r="X7" s="39" t="n">
        <x:v>0.0021016947</x:v>
      </x:c>
      <x:c r="Y7" s="39" t="n">
        <x:v>0.1656787265</x:v>
      </x:c>
      <x:c r="Z7" s="39" t="n">
        <x:v>-0.2300418119</x:v>
      </x:c>
      <x:c r="AA7" s="39" t="n">
        <x:v>0.0701702732</x:v>
      </x:c>
      <x:c r="AB7" s="39" t="n">
        <x:v>0.0791969427</x:v>
      </x:c>
      <x:c r="AC7" s="39" t="n">
        <x:v>-0.0101322051</x:v>
      </x:c>
      <x:c r="AD7" s="39" t="n">
        <x:v>0.0127426117</x:v>
      </x:c>
      <x:c r="AE7" s="39" t="n">
        <x:v>0.1748942249</x:v>
      </x:c>
      <x:c r="AF7" s="39" t="n">
        <x:v>-0.15448245</x:v>
      </x:c>
      <x:c r="AG7" s="39" t="n">
        <x:v>-0.0355916736</x:v>
      </x:c>
      <x:c r="AH7" s="39" t="n">
        <x:v>-0.021587223</x:v>
      </x:c>
      <x:c r="AI7" s="39" t="n">
        <x:v>-0.0446440932</x:v>
      </x:c>
      <x:c r="AJ7" s="39" t="n">
        <x:v>-0.0585835563</x:v>
      </x:c>
      <x:c r="AK7" s="39" t="n">
        <x:v>0.1113361389</x:v>
      </x:c>
      <x:c r="AL7" s="39" t="n">
        <x:v>-0.0550017031</x:v>
      </x:c>
      <x:c r="AM7" s="39" t="n">
        <x:v>0.0370362216</x:v>
      </x:c>
      <x:c r="AN7" s="39" t="n">
        <x:v>-0.0220023073</x:v>
      </x:c>
      <x:c r="AO7" s="39" t="n">
        <x:v>-0.0035113566</x:v>
      </x:c>
      <x:c r="AP7" s="39" t="n">
        <x:v>-0.0347811768</x:v>
      </x:c>
      <x:c r="AQ7" s="39" t="n">
        <x:v>-0.074716181</x:v>
      </x:c>
      <x:c r="AR7" s="39" t="n">
        <x:v>-0.0235949073</x:v>
      </x:c>
    </x:row>
    <x:row r="8" ht="19" customHeight="1">
      <x:c r="A8" s="30" t="str">
        <x:v>AEP</x:v>
      </x:c>
      <x:c r="B8" s="39" t="n">
        <x:v>-0.0284139695</x:v>
      </x:c>
      <x:c r="C8" s="39" t="n">
        <x:v>-0.0259520821</x:v>
      </x:c>
      <x:c r="D8" s="39" t="n">
        <x:v>0.0075537059</x:v>
      </x:c>
      <x:c r="E8" s="39" t="n">
        <x:v>-0.0249463689</x:v>
      </x:c>
      <x:c r="F8" s="39" t="n">
        <x:v>0.0071478066</x:v>
      </x:c>
      <x:c r="G8" s="39" t="n">
        <x:v>0.0214247399</x:v>
      </x:c>
      <x:c r="H8" s="39" t="n">
        <x:v>0.0685475817</x:v>
      </x:c>
      <x:c r="I8" s="39" t="n">
        <x:v>-0.0585642751</x:v>
      </x:c>
      <x:c r="J8" s="39" t="n">
        <x:v>0.0087365954</x:v>
      </x:c>
      <x:c r="K8" s="39" t="n">
        <x:v>-0.0505431692</x:v>
      </x:c>
      <x:c r="L8" s="39" t="n">
        <x:v>0.0590857813</x:v>
      </x:c>
      <x:c r="M8" s="39" t="n">
        <x:v>-0.0271708042</x:v>
      </x:c>
      <x:c r="N8" s="39" t="n">
        <x:v>0.1201714185</x:v>
      </x:c>
      <x:c r="O8" s="39" t="n">
        <x:v>-0.0199864742</x:v>
      </x:c>
      <x:c r="P8" s="39" t="n">
        <x:v>0.0598160506</x:v>
      </x:c>
      <x:c r="Q8" s="39" t="n">
        <x:v>0.0980207022</x:v>
      </x:c>
      <x:c r="R8" s="39" t="n">
        <x:v>0.007702196</x:v>
      </x:c>
      <x:c r="S8" s="39" t="n">
        <x:v>-0.0300471591</x:v>
      </x:c>
      <x:c r="T8" s="39" t="n">
        <x:v>0.1004944804</x:v>
      </x:c>
      <x:c r="U8" s="39" t="n">
        <x:v>-0.0028105036</x:v>
      </x:c>
      <x:c r="V8" s="39" t="n">
        <x:v>0.0246241609</x:v>
      </x:c>
      <x:c r="W8" s="39" t="n">
        <x:v>-0.0046974102</x:v>
      </x:c>
      <x:c r="X8" s="39" t="n">
        <x:v>0.01184801</x:v>
      </x:c>
      <x:c r="Y8" s="39" t="n">
        <x:v>-0.0038155343</x:v>
      </x:c>
      <x:c r="Z8" s="39" t="n">
        <x:v>0.0415399537</x:v>
      </x:c>
      <x:c r="AA8" s="39" t="n">
        <x:v>0.0780386333</x:v>
      </x:c>
      <x:c r="AB8" s="39" t="n">
        <x:v>0.1314773284</x:v>
      </x:c>
      <x:c r="AC8" s="39" t="n">
        <x:v>0.0808106915</x:v>
      </x:c>
      <x:c r="AD8" s="39" t="n">
        <x:v>-0.2049017934</x:v>
      </x:c>
      <x:c r="AE8" s="39" t="n">
        <x:v>0.0711884749</x:v>
      </x:c>
      <x:c r="AF8" s="39" t="n">
        <x:v>0.0860893392</x:v>
      </x:c>
      <x:c r="AG8" s="39" t="n">
        <x:v>0.2700863888</x:v>
      </x:c>
      <x:c r="AH8" s="39" t="n">
        <x:v>-0.1585881451</x:v>
      </x:c>
      <x:c r="AI8" s="39" t="n">
        <x:v>-0.185805983</x:v>
      </x:c>
      <x:c r="AJ8" s="39" t="n">
        <x:v>-0.0322734804</x:v>
      </x:c>
      <x:c r="AK8" s="39" t="n">
        <x:v>0.2761617643</x:v>
      </x:c>
      <x:c r="AL8" s="39" t="n">
        <x:v>0.3000323761</x:v>
      </x:c>
      <x:c r="AM8" s="39" t="n">
        <x:v>0.0068672884</x:v>
      </x:c>
      <x:c r="AN8" s="39" t="n">
        <x:v>-0.3926142799</x:v>
      </x:c>
      <x:c r="AO8" s="39" t="n">
        <x:v>0.0344707717</x:v>
      </x:c>
      <x:c r="AP8" s="39" t="n">
        <x:v>0.1516283495</x:v>
      </x:c>
      <x:c r="AQ8" s="39" t="n">
        <x:v>0.0693734694</x:v>
      </x:c>
      <x:c r="AR8" s="39" t="n">
        <x:v>0.6109281228</x:v>
      </x:c>
    </x:row>
    <x:row r="9" ht="19" customHeight="1">
      <x:c r="A9" s="30" t="str">
        <x:v>ETR</x:v>
      </x:c>
      <x:c r="B9" s="39" t="n">
        <x:v>0.0019845343</x:v>
      </x:c>
      <x:c r="C9" s="39" t="n">
        <x:v>-0.0241558441</x:v>
      </x:c>
      <x:c r="D9" s="39" t="n">
        <x:v>0.0467393119</x:v>
      </x:c>
      <x:c r="E9" s="39" t="n">
        <x:v>-0.0326380147</x:v>
      </x:c>
      <x:c r="F9" s="39" t="n">
        <x:v>-0.0036866955</x:v>
      </x:c>
      <x:c r="G9" s="39" t="n">
        <x:v>0.0219038598</x:v>
      </x:c>
      <x:c r="H9" s="39" t="n">
        <x:v>-0.0644688196</x:v>
      </x:c>
      <x:c r="I9" s="39" t="n">
        <x:v>-0.0451878742</x:v>
      </x:c>
      <x:c r="J9" s="39" t="n">
        <x:v>0.0000086565</x:v>
      </x:c>
      <x:c r="K9" s="39" t="n">
        <x:v>0.0206274513</x:v>
      </x:c>
      <x:c r="L9" s="39" t="n">
        <x:v>0.0331971066</x:v>
      </x:c>
      <x:c r="M9" s="39" t="n">
        <x:v>-0.0589334587</x:v>
      </x:c>
      <x:c r="N9" s="39" t="n">
        <x:v>0.0795037106</x:v>
      </x:c>
      <x:c r="O9" s="39" t="n">
        <x:v>-0.048918046</x:v>
      </x:c>
      <x:c r="P9" s="39" t="n">
        <x:v>0.1200898565</x:v>
      </x:c>
      <x:c r="Q9" s="39" t="n">
        <x:v>0.0247780399</x:v>
      </x:c>
      <x:c r="R9" s="39" t="n">
        <x:v>-0.00430336</x:v>
      </x:c>
      <x:c r="S9" s="39" t="n">
        <x:v>-0.0736933168</x:v>
      </x:c>
      <x:c r="T9" s="39" t="n">
        <x:v>0.1002364868</x:v>
      </x:c>
      <x:c r="U9" s="39" t="n">
        <x:v>-0.0101237967</x:v>
      </x:c>
      <x:c r="V9" s="39" t="n">
        <x:v>0.0207431189</x:v>
      </x:c>
      <x:c r="W9" s="39" t="n">
        <x:v>-0.0610023336</x:v>
      </x:c>
      <x:c r="X9" s="39" t="n">
        <x:v>-0.0423289308</x:v>
      </x:c>
      <x:c r="Y9" s="39" t="n">
        <x:v>-0.0648139417</x:v>
      </x:c>
      <x:c r="Z9" s="39" t="n">
        <x:v>0.0737832539</x:v>
      </x:c>
      <x:c r="AA9" s="39" t="n">
        <x:v>0.2772068891</x:v>
      </x:c>
      <x:c r="AB9" s="39" t="n">
        <x:v>-0.0747259809</x:v>
      </x:c>
      <x:c r="AC9" s="39" t="n">
        <x:v>0.0317126554</x:v>
      </x:c>
      <x:c r="AD9" s="39" t="n">
        <x:v>-0.1355181232</x:v>
      </x:c>
      <x:c r="AE9" s="39" t="n">
        <x:v>-0.0035455287</x:v>
      </x:c>
      <x:c r="AF9" s="39" t="n">
        <x:v>-0.0605061675</x:v>
      </x:c>
      <x:c r="AG9" s="39" t="n">
        <x:v>0.1923972004</x:v>
      </x:c>
      <x:c r="AH9" s="39" t="n">
        <x:v>0.0546744842</x:v>
      </x:c>
      <x:c r="AI9" s="39" t="n">
        <x:v>0.1002293711</x:v>
      </x:c>
      <x:c r="AJ9" s="39" t="n">
        <x:v>0.1815398151</x:v>
      </x:c>
      <x:c r="AK9" s="39" t="n">
        <x:v>0.6595333994</x:v>
      </x:c>
      <x:c r="AL9" s="39" t="n">
        <x:v>0.1141966373</x:v>
      </x:c>
      <x:c r="AM9" s="39" t="n">
        <x:v>-0.051491316</x:v>
      </x:c>
      <x:c r="AN9" s="39" t="n">
        <x:v>0.0297821335</x:v>
      </x:c>
      <x:c r="AO9" s="39" t="n">
        <x:v>0.1552389269</x:v>
      </x:c>
      <x:c r="AP9" s="39" t="n">
        <x:v>0.0279378662</x:v>
      </x:c>
      <x:c r="AQ9" s="39" t="n">
        <x:v>-0.1700438641</x:v>
      </x:c>
      <x:c r="AR9" s="39" t="n">
        <x:v>-0.4854845568</x:v>
      </x:c>
    </x:row>
    <x:row r="10" ht="19" customHeight="1">
      <x:c r="A10" s="30" t="str">
        <x:v>DIS</x:v>
      </x:c>
      <x:c r="B10" s="39" t="n">
        <x:v>-0.0463672657</x:v>
      </x:c>
      <x:c r="C10" s="39" t="n">
        <x:v>-0.0486771161</x:v>
      </x:c>
      <x:c r="D10" s="39" t="n">
        <x:v>-0.0363466595</x:v>
      </x:c>
      <x:c r="E10" s="39" t="n">
        <x:v>0.0933941837</x:v>
      </x:c>
      <x:c r="F10" s="39" t="n">
        <x:v>-0.0314226225</x:v>
      </x:c>
      <x:c r="G10" s="39" t="n">
        <x:v>0.1234799386</x:v>
      </x:c>
      <x:c r="H10" s="39" t="n">
        <x:v>0.1520830379</x:v>
      </x:c>
      <x:c r="I10" s="39" t="n">
        <x:v>0.0560675307</x:v>
      </x:c>
      <x:c r="J10" s="39" t="n">
        <x:v>-0.0744950478</x:v>
      </x:c>
      <x:c r="K10" s="39" t="n">
        <x:v>-0.1594257437</x:v>
      </x:c>
      <x:c r="L10" s="39" t="n">
        <x:v>-0.1649420437</x:v>
      </x:c>
      <x:c r="M10" s="39" t="n">
        <x:v>0.0993582281</x:v>
      </x:c>
      <x:c r="N10" s="39" t="n">
        <x:v>0.0183627905</x:v>
      </x:c>
      <x:c r="O10" s="39" t="n">
        <x:v>-0.1146184484</x:v>
      </x:c>
      <x:c r="P10" s="39" t="n">
        <x:v>0.1703576122</x:v>
      </x:c>
      <x:c r="Q10" s="39" t="n">
        <x:v>-0.0670058145</x:v>
      </x:c>
      <x:c r="R10" s="39" t="n">
        <x:v>0.0990705722</x:v>
      </x:c>
      <x:c r="S10" s="39" t="n">
        <x:v>0.0484049298</x:v>
      </x:c>
      <x:c r="T10" s="39" t="n">
        <x:v>0.1456871476</x:v>
      </x:c>
      <x:c r="U10" s="39" t="n">
        <x:v>-0.1848292372</x:v>
      </x:c>
      <x:c r="V10" s="39" t="n">
        <x:v>0.1740804319</x:v>
      </x:c>
      <x:c r="W10" s="39" t="n">
        <x:v>-0.0733343492</x:v>
      </x:c>
      <x:c r="X10" s="39" t="n">
        <x:v>-0.194093016</x:v>
      </x:c>
      <x:c r="Y10" s="39" t="n">
        <x:v>0.290780528</x:v>
      </x:c>
      <x:c r="Z10" s="39" t="n">
        <x:v>-0.0155183052</x:v>
      </x:c>
      <x:c r="AA10" s="39" t="n">
        <x:v>0.1543027562</x:v>
      </x:c>
      <x:c r="AB10" s="39" t="n">
        <x:v>-0.0624969244</x:v>
      </x:c>
      <x:c r="AC10" s="39" t="n">
        <x:v>0.3683261779</x:v>
      </x:c>
      <x:c r="AD10" s="39" t="n">
        <x:v>-0.1467983436</x:v>
      </x:c>
      <x:c r="AE10" s="39" t="n">
        <x:v>-0.1042717787</x:v>
      </x:c>
      <x:c r="AF10" s="39" t="n">
        <x:v>0.322283763</x:v>
      </x:c>
      <x:c r="AG10" s="39" t="n">
        <x:v>-0.0943217453</x:v>
      </x:c>
      <x:c r="AH10" s="39" t="n">
        <x:v>-0.0272733772</x:v>
      </x:c>
      <x:c r="AI10" s="39" t="n">
        <x:v>-0.4071298148</x:v>
      </x:c>
      <x:c r="AJ10" s="39" t="n">
        <x:v>0.0079431072</x:v>
      </x:c>
      <x:c r="AK10" s="39" t="n">
        <x:v>-0.1246923409</x:v>
      </x:c>
      <x:c r="AL10" s="39" t="n">
        <x:v>0.0150785785</x:v>
      </x:c>
      <x:c r="AM10" s="39" t="n">
        <x:v>0.0179791351</x:v>
      </x:c>
      <x:c r="AN10" s="39" t="n">
        <x:v>0.2650369378</x:v>
      </x:c>
      <x:c r="AO10" s="39" t="n">
        <x:v>0.1850996846</x:v>
      </x:c>
      <x:c r="AP10" s="39" t="n">
        <x:v>0.0367491914</x:v>
      </x:c>
      <x:c r="AQ10" s="39" t="n">
        <x:v>-0.0093952149</x:v>
      </x:c>
      <x:c r="AR10" s="39" t="n">
        <x:v>-0.0709641217</x:v>
      </x:c>
    </x:row>
    <x:row r="11" ht="19" customHeight="1">
      <x:c r="A11" s="30" t="str">
        <x:v>CMG</x:v>
      </x:c>
      <x:c r="B11" s="39" t="n">
        <x:v>0.1155260459</x:v>
      </x:c>
      <x:c r="C11" s="39" t="n">
        <x:v>0.1053797045</x:v>
      </x:c>
      <x:c r="D11" s="39" t="n">
        <x:v>-0.0863898254</x:v>
      </x:c>
      <x:c r="E11" s="39" t="n">
        <x:v>0.1776085215</x:v>
      </x:c>
      <x:c r="F11" s="39" t="n">
        <x:v>0.0407248179</x:v>
      </x:c>
      <x:c r="G11" s="39" t="n">
        <x:v>0.0172388994</x:v>
      </x:c>
      <x:c r="H11" s="39" t="n">
        <x:v>0.1019605888</x:v>
      </x:c>
      <x:c r="I11" s="39" t="n">
        <x:v>-0.1716212385</x:v>
      </x:c>
      <x:c r="J11" s="39" t="n">
        <x:v>-0.3196438329</x:v>
      </x:c>
      <x:c r="K11" s="39" t="n">
        <x:v>-0.0154026794</x:v>
      </x:c>
      <x:c r="L11" s="39" t="n">
        <x:v>-0.275843489</x:v>
      </x:c>
      <x:c r="M11" s="39" t="n">
        <x:v>0.3843712496</x:v>
      </x:c>
      <x:c r="N11" s="39" t="n">
        <x:v>-0.1032900207</x:v>
      </x:c>
      <x:c r="O11" s="39" t="n">
        <x:v>-0.2561346784</x:v>
      </x:c>
      <x:c r="P11" s="39" t="n">
        <x:v>0.1166262037</x:v>
      </x:c>
      <x:c r="Q11" s="39" t="n">
        <x:v>0.2666556836</x:v>
      </x:c>
      <x:c r="R11" s="39" t="n">
        <x:v>-0.1015022892</x:v>
      </x:c>
      <x:c r="S11" s="39" t="n">
        <x:v>0.0004077841</x:v>
      </x:c>
      <x:c r="T11" s="39" t="n">
        <x:v>0.2113160124</x:v>
      </x:c>
      <x:c r="U11" s="39" t="n">
        <x:v>0.1806604223</x:v>
      </x:c>
      <x:c r="V11" s="39" t="n">
        <x:v>0.1840919153</x:v>
      </x:c>
      <x:c r="W11" s="39" t="n">
        <x:v>-0.0314597433</x:v>
      </x:c>
      <x:c r="X11" s="39" t="n">
        <x:v>-0.0289249257</x:v>
      </x:c>
      <x:c r="Y11" s="39" t="n">
        <x:v>0.0798321633</x:v>
      </x:c>
      <x:c r="Z11" s="39" t="n">
        <x:v>-0.1093100669</x:v>
      </x:c>
      <x:c r="AA11" s="39" t="n">
        <x:v>0.0124068008</x:v>
      </x:c>
      <x:c r="AB11" s="39" t="n">
        <x:v>-0.0972470734</x:v>
      </x:c>
      <x:c r="AC11" s="39" t="n">
        <x:v>-0.082318149</x:v>
      </x:c>
      <x:c r="AD11" s="39" t="n">
        <x:v>0.0372341218</x:v>
      </x:c>
      <x:c r="AE11" s="39" t="n">
        <x:v>-0.1280340081</x:v>
      </x:c>
      <x:c r="AF11" s="39" t="n">
        <x:v>-0.3272180424</x:v>
      </x:c>
      <x:c r="AG11" s="39" t="n">
        <x:v>0.153640357</x:v>
      </x:c>
      <x:c r="AH11" s="39" t="n">
        <x:v>0.0845087576</x:v>
      </x:c>
      <x:c r="AI11" s="39" t="n">
        <x:v>0.0820106942</x:v>
      </x:c>
      <x:c r="AJ11" s="39" t="n">
        <x:v>0.0170537695</x:v>
      </x:c>
      <x:c r="AK11" s="39" t="n">
        <x:v>0.0211992012</x:v>
      </x:c>
      <x:c r="AL11" s="39" t="n">
        <x:v>-0.0139875491</x:v>
      </x:c>
      <x:c r="AM11" s="39" t="n">
        <x:v>0.104105769</x:v>
      </x:c>
      <x:c r="AN11" s="39" t="n">
        <x:v>0.0313231322</x:v>
      </x:c>
      <x:c r="AO11" s="39" t="n">
        <x:v>-0.1737638422</x:v>
      </x:c>
      <x:c r="AP11" s="39" t="n">
        <x:v>-0.1446363476</x:v>
      </x:c>
      <x:c r="AQ11" s="39" t="n">
        <x:v>-0.0960240264</x:v>
      </x:c>
      <x:c r="AR11" s="39" t="n">
        <x:v>0.1186623617</x:v>
      </x:c>
    </x:row>
    <x:row r="12" ht="19" customHeight="1">
      <x:c r="A12" s="30" t="str">
        <x:v>AMZN</x:v>
      </x:c>
      <x:c r="B12" s="39" t="n">
        <x:v>-0.0293365758</x:v>
      </x:c>
      <x:c r="C12" s="39" t="n">
        <x:v>0.043035539</x:v>
      </x:c>
      <x:c r="D12" s="39" t="n">
        <x:v>-0.0062082054</x:v>
      </x:c>
      <x:c r="E12" s="39" t="n">
        <x:v>-0.0536483612</x:v>
      </x:c>
      <x:c r="F12" s="39" t="n">
        <x:v>0.0411508532</x:v>
      </x:c>
      <x:c r="G12" s="39" t="n">
        <x:v>0.013192572</x:v>
      </x:c>
      <x:c r="H12" s="39" t="n">
        <x:v>0.11050068</x:v>
      </x:c>
      <x:c r="I12" s="39" t="n">
        <x:v>-0.0108012974</x:v>
      </x:c>
      <x:c r="J12" s="39" t="n">
        <x:v>-0.0537053068</x:v>
      </x:c>
      <x:c r="K12" s="39" t="n">
        <x:v>-0.0693812901</x:v>
      </x:c>
      <x:c r="L12" s="39" t="n">
        <x:v>0.0043068922</x:v>
      </x:c>
      <x:c r="M12" s="39" t="n">
        <x:v>0.0753254965</x:v>
      </x:c>
      <x:c r="N12" s="39" t="n">
        <x:v>-0.1439436814</x:v>
      </x:c>
      <x:c r="O12" s="39" t="n">
        <x:v>-0.0264550602</x:v>
      </x:c>
      <x:c r="P12" s="39" t="n">
        <x:v>0.1392152707</x:v>
      </x:c>
      <x:c r="Q12" s="39" t="n">
        <x:v>0.062905837</x:v>
      </x:c>
      <x:c r="R12" s="39" t="n">
        <x:v>0.1754861457</x:v>
      </x:c>
      <x:c r="S12" s="39" t="n">
        <x:v>-0.0631930166</x:v>
      </x:c>
      <x:c r="T12" s="39" t="n">
        <x:v>-0.2083054677</x:v>
      </x:c>
      <x:c r="U12" s="39" t="n">
        <x:v>0.0384794138</x:v>
      </x:c>
      <x:c r="V12" s="39" t="n">
        <x:v>-0.0203742744</x:v>
      </x:c>
      <x:c r="W12" s="39" t="n">
        <x:v>-0.0079386694</x:v>
      </x:c>
      <x:c r="X12" s="39" t="n">
        <x:v>0.24642274</x:v>
      </x:c>
      <x:c r="Y12" s="39" t="n">
        <x:v>-0.0009633441</x:v>
      </x:c>
      <x:c r="Z12" s="39" t="n">
        <x:v>-0.1049979465</x:v>
      </x:c>
      <x:c r="AA12" s="39" t="n">
        <x:v>0.3002592101</x:v>
      </x:c>
      <x:c r="AB12" s="39" t="n">
        <x:v>-0.1663842433</x:v>
      </x:c>
      <x:c r="AC12" s="39" t="n">
        <x:v>-0.234191974</x:v>
      </x:c>
      <x:c r="AD12" s="39" t="n">
        <x:v>-0.1501630738</x:v>
      </x:c>
      <x:c r="AE12" s="39" t="n">
        <x:v>0.1229480179</x:v>
      </x:c>
      <x:c r="AF12" s="39" t="n">
        <x:v>0.2322453758</x:v>
      </x:c>
      <x:c r="AG12" s="39" t="n">
        <x:v>0.3692645388</x:v>
      </x:c>
      <x:c r="AH12" s="39" t="n">
        <x:v>-0.3649998326</x:v>
      </x:c>
      <x:c r="AI12" s="39" t="n">
        <x:v>0.0304842008</x:v>
      </x:c>
      <x:c r="AJ12" s="39" t="n">
        <x:v>0.1286463297</x:v>
      </x:c>
      <x:c r="AK12" s="39" t="n">
        <x:v>-0.2529562905</x:v>
      </x:c>
      <x:c r="AL12" s="39" t="n">
        <x:v>-0.2451742591</x:v>
      </x:c>
      <x:c r="AM12" s="39" t="n">
        <x:v>-0.1972487717</x:v>
      </x:c>
      <x:c r="AN12" s="39" t="n">
        <x:v>-0.132111323</x:v>
      </x:c>
      <x:c r="AO12" s="39" t="n">
        <x:v>0.0565516681</x:v>
      </x:c>
      <x:c r="AP12" s="39" t="n">
        <x:v>-0.1550686326</x:v>
      </x:c>
      <x:c r="AQ12" s="39" t="n">
        <x:v>-0.0036890676</x:v>
      </x:c>
      <x:c r="AR12" s="39" t="n">
        <x:v>-0.1052386469</x:v>
      </x:c>
    </x:row>
    <x:row r="13" ht="19" customHeight="1">
      <x:c r="A13" s="30" t="str">
        <x:v>FIX</x:v>
      </x:c>
      <x:c r="B13" s="39" t="n">
        <x:v>-0.1117850125</x:v>
      </x:c>
      <x:c r="C13" s="39" t="n">
        <x:v>-0.1223381211</x:v>
      </x:c>
      <x:c r="D13" s="39" t="n">
        <x:v>-0.0053766864</x:v>
      </x:c>
      <x:c r="E13" s="39" t="n">
        <x:v>-0.0165330108</x:v>
      </x:c>
      <x:c r="F13" s="39" t="n">
        <x:v>0.0557834386</x:v>
      </x:c>
      <x:c r="G13" s="39" t="n">
        <x:v>0.1648484129</x:v>
      </x:c>
      <x:c r="H13" s="39" t="n">
        <x:v>0.0278495377</x:v>
      </x:c>
      <x:c r="I13" s="39" t="n">
        <x:v>0.0008115898</x:v>
      </x:c>
      <x:c r="J13" s="39" t="n">
        <x:v>-0.2559770341</x:v>
      </x:c>
      <x:c r="K13" s="39" t="n">
        <x:v>0.1760014388</x:v>
      </x:c>
      <x:c r="L13" s="39" t="n">
        <x:v>0.4869940249</x:v>
      </x:c>
      <x:c r="M13" s="39" t="n">
        <x:v>-0.2146156345</x:v>
      </x:c>
      <x:c r="N13" s="39" t="n">
        <x:v>0.0432412149</x:v>
      </x:c>
      <x:c r="O13" s="39" t="n">
        <x:v>0.0210268649</x:v>
      </x:c>
      <x:c r="P13" s="39" t="n">
        <x:v>0.1140545672</x:v>
      </x:c>
      <x:c r="Q13" s="39" t="n">
        <x:v>-0.0044999805</x:v>
      </x:c>
      <x:c r="R13" s="39" t="n">
        <x:v>-0.0792038988</x:v>
      </x:c>
      <x:c r="S13" s="39" t="n">
        <x:v>0.0431310334</x:v>
      </x:c>
      <x:c r="T13" s="39" t="n">
        <x:v>0.2303184569</x:v>
      </x:c>
      <x:c r="U13" s="39" t="n">
        <x:v>0.3812709187</x:v>
      </x:c>
      <x:c r="V13" s="39" t="n">
        <x:v>0.1004726403</x:v>
      </x:c>
      <x:c r="W13" s="39" t="n">
        <x:v>0.0239000027</x:v>
      </x:c>
      <x:c r="X13" s="39" t="n">
        <x:v>-0.3649163338</x:v>
      </x:c>
      <x:c r="Y13" s="39" t="n">
        <x:v>0.1196585062</x:v>
      </x:c>
      <x:c r="Z13" s="39" t="n">
        <x:v>-0.1924904051</x:v>
      </x:c>
      <x:c r="AA13" s="39" t="n">
        <x:v>-0.0983926853</x:v>
      </x:c>
      <x:c r="AB13" s="39" t="n">
        <x:v>-0.0595592821</x:v>
      </x:c>
      <x:c r="AC13" s="39" t="n">
        <x:v>-0.1895870091</x:v>
      </x:c>
      <x:c r="AD13" s="39" t="n">
        <x:v>0.0620195211</x:v>
      </x:c>
      <x:c r="AE13" s="39" t="n">
        <x:v>0.0692391326</x:v>
      </x:c>
      <x:c r="AF13" s="39" t="n">
        <x:v>0.0928864509</x:v>
      </x:c>
      <x:c r="AG13" s="39" t="n">
        <x:v>0.1028713862</x:v>
      </x:c>
      <x:c r="AH13" s="39" t="n">
        <x:v>-0.0888981563</x:v>
      </x:c>
      <x:c r="AI13" s="39" t="n">
        <x:v>-0.0995772788</x:v>
      </x:c>
      <x:c r="AJ13" s="39" t="n">
        <x:v>-0.0971808645</x:v>
      </x:c>
      <x:c r="AK13" s="39" t="n">
        <x:v>-0.0642114382</x:v>
      </x:c>
      <x:c r="AL13" s="39" t="n">
        <x:v>0.0537710078</x:v>
      </x:c>
      <x:c r="AM13" s="39" t="n">
        <x:v>-0.043324866</x:v>
      </x:c>
      <x:c r="AN13" s="39" t="n">
        <x:v>0.0477993354</x:v>
      </x:c>
      <x:c r="AO13" s="39" t="n">
        <x:v>-0.0692226798</x:v>
      </x:c>
      <x:c r="AP13" s="39" t="n">
        <x:v>-0.039491385</x:v>
      </x:c>
      <x:c r="AQ13" s="39" t="n">
        <x:v>0.1011661389</x:v>
      </x:c>
      <x:c r="AR13" s="39" t="n">
        <x:v>-0.1109600775</x:v>
      </x:c>
    </x:row>
    <x:row r="14" ht="19" customHeight="1">
      <x:c r="A14" s="30" t="str">
        <x:v>STX</x:v>
      </x:c>
      <x:c r="B14" s="39" t="n">
        <x:v>-0.3162123575</x:v>
      </x:c>
      <x:c r="C14" s="39" t="n">
        <x:v>-0.0381447653</x:v>
      </x:c>
      <x:c r="D14" s="39" t="n">
        <x:v>0.1916091704</x:v>
      </x:c>
      <x:c r="E14" s="39" t="n">
        <x:v>-0.0214099844</x:v>
      </x:c>
      <x:c r="F14" s="39" t="n">
        <x:v>-0.0987949307</x:v>
      </x:c>
      <x:c r="G14" s="39" t="n">
        <x:v>0.1663692186</x:v>
      </x:c>
      <x:c r="H14" s="39" t="n">
        <x:v>-0.0546216559</x:v>
      </x:c>
      <x:c r="I14" s="39" t="n">
        <x:v>0.0373150838</x:v>
      </x:c>
      <x:c r="J14" s="39" t="n">
        <x:v>0.0877441147</x:v>
      </x:c>
      <x:c r="K14" s="39" t="n">
        <x:v>-0.2577437911</x:v>
      </x:c>
      <x:c r="L14" s="39" t="n">
        <x:v>-0.0466618479</x:v>
      </x:c>
      <x:c r="M14" s="39" t="n">
        <x:v>-0.1155453032</x:v>
      </x:c>
      <x:c r="N14" s="39" t="n">
        <x:v>-0.0853116785</x:v>
      </x:c>
      <x:c r="O14" s="39" t="n">
        <x:v>-0.0910914604</x:v>
      </x:c>
      <x:c r="P14" s="39" t="n">
        <x:v>0.1970583867</x:v>
      </x:c>
      <x:c r="Q14" s="39" t="n">
        <x:v>-0.0172825106</x:v>
      </x:c>
      <x:c r="R14" s="39" t="n">
        <x:v>0.0469027863</x:v>
      </x:c>
      <x:c r="S14" s="39" t="n">
        <x:v>0.050503418</x:v>
      </x:c>
      <x:c r="T14" s="39" t="n">
        <x:v>0.0578480483</x:v>
      </x:c>
      <x:c r="U14" s="39" t="n">
        <x:v>-0.2122149407</x:v>
      </x:c>
      <x:c r="V14" s="39" t="n">
        <x:v>-0.1956790623</x:v>
      </x:c>
      <x:c r="W14" s="39" t="n">
        <x:v>0.4912403362</x:v>
      </x:c>
      <x:c r="X14" s="39" t="n">
        <x:v>-0.0620739333</x:v>
      </x:c>
      <x:c r="Y14" s="39" t="n">
        <x:v>-0.0839961409</x:v>
      </x:c>
      <x:c r="Z14" s="39" t="n">
        <x:v>-0.2942853786</x:v>
      </x:c>
      <x:c r="AA14" s="39" t="n">
        <x:v>-0.1915957549</x:v>
      </x:c>
      <x:c r="AB14" s="39" t="n">
        <x:v>0.0732825502</x:v>
      </x:c>
      <x:c r="AC14" s="39" t="n">
        <x:v>-0.0429364293</x:v>
      </x:c>
      <x:c r="AD14" s="39" t="n">
        <x:v>-0.0355554247</x:v>
      </x:c>
      <x:c r="AE14" s="39" t="n">
        <x:v>-0.2472749596</x:v>
      </x:c>
      <x:c r="AF14" s="39" t="n">
        <x:v>-0.1257639697</x:v>
      </x:c>
      <x:c r="AG14" s="39" t="n">
        <x:v>0.1958788822</x:v>
      </x:c>
      <x:c r="AH14" s="39" t="n">
        <x:v>-0.1037413256</x:v>
      </x:c>
      <x:c r="AI14" s="39" t="n">
        <x:v>0.0230783098</x:v>
      </x:c>
      <x:c r="AJ14" s="39" t="n">
        <x:v>0.0591860956</x:v>
      </x:c>
      <x:c r="AK14" s="39" t="n">
        <x:v>0.0243313735</x:v>
      </x:c>
      <x:c r="AL14" s="39" t="n">
        <x:v>-0.0541711316</x:v>
      </x:c>
      <x:c r="AM14" s="39" t="n">
        <x:v>0.2203692637</x:v>
      </x:c>
      <x:c r="AN14" s="39" t="n">
        <x:v>0.0674600442</x:v>
      </x:c>
      <x:c r="AO14" s="39" t="n">
        <x:v>-0.062750795</x:v>
      </x:c>
      <x:c r="AP14" s="39" t="n">
        <x:v>0.0104004613</x:v>
      </x:c>
      <x:c r="AQ14" s="39" t="n">
        <x:v>-0.0945554445</x:v>
      </x:c>
      <x:c r="AR14" s="39" t="n">
        <x:v>-0.0029234281</x:v>
      </x:c>
    </x:row>
    <x:row r="15" ht="19" customHeight="1">
      <x:c r="A15" s="30" t="str">
        <x:v>VLO</x:v>
      </x:c>
      <x:c r="B15" s="39" t="n">
        <x:v>-0.0118126231</x:v>
      </x:c>
      <x:c r="C15" s="39" t="n">
        <x:v>0.0418028039</x:v>
      </x:c>
      <x:c r="D15" s="39" t="n">
        <x:v>-0.0204473485</x:v>
      </x:c>
      <x:c r="E15" s="39" t="n">
        <x:v>0.001155504</x:v>
      </x:c>
      <x:c r="F15" s="39" t="n">
        <x:v>0.1585937546</x:v>
      </x:c>
      <x:c r="G15" s="39" t="n">
        <x:v>0.2170109897</x:v>
      </x:c>
      <x:c r="H15" s="39" t="n">
        <x:v>-0.1388283929</x:v>
      </x:c>
      <x:c r="I15" s="39" t="n">
        <x:v>-0.0076446494</x:v>
      </x:c>
      <x:c r="J15" s="39" t="n">
        <x:v>0.0581211065</x:v>
      </x:c>
      <x:c r="K15" s="39" t="n">
        <x:v>-0.0772560151</x:v>
      </x:c>
      <x:c r="L15" s="39" t="n">
        <x:v>-0.0311754636</x:v>
      </x:c>
      <x:c r="M15" s="39" t="n">
        <x:v>-0.1929695246</x:v>
      </x:c>
      <x:c r="N15" s="39" t="n">
        <x:v>-0.0152032884</x:v>
      </x:c>
      <x:c r="O15" s="39" t="n">
        <x:v>0.1654944264</x:v>
      </x:c>
      <x:c r="P15" s="39" t="n">
        <x:v>-0.0033942928</x:v>
      </x:c>
      <x:c r="Q15" s="39" t="n">
        <x:v>0.0977616313</x:v>
      </x:c>
      <x:c r="R15" s="39" t="n">
        <x:v>0.1171594691</x:v>
      </x:c>
      <x:c r="S15" s="39" t="n">
        <x:v>-0.0760396275</x:v>
      </x:c>
      <x:c r="T15" s="39" t="n">
        <x:v>-0.1850419244</x:v>
      </x:c>
      <x:c r="U15" s="39" t="n">
        <x:v>0.2002201073</x:v>
      </x:c>
      <x:c r="V15" s="39" t="n">
        <x:v>-0.048561135</x:v>
      </x:c>
      <x:c r="W15" s="39" t="n">
        <x:v>-0.0126708427</x:v>
      </x:c>
      <x:c r="X15" s="39" t="n">
        <x:v>0.2893074393</x:v>
      </x:c>
      <x:c r="Y15" s="39" t="n">
        <x:v>0.5972909702</x:v>
      </x:c>
      <x:c r="Z15" s="39" t="n">
        <x:v>0.0185034628</x:v>
      </x:c>
      <x:c r="AA15" s="39" t="n">
        <x:v>-0.0197576844</x:v>
      </x:c>
      <x:c r="AB15" s="39" t="n">
        <x:v>0.220747659</x:v>
      </x:c>
      <x:c r="AC15" s="39" t="n">
        <x:v>-0.1354506803</x:v>
      </x:c>
      <x:c r="AD15" s="39" t="n">
        <x:v>0.1322120613</x:v>
      </x:c>
      <x:c r="AE15" s="39" t="n">
        <x:v>-0.1568693547</x:v>
      </x:c>
      <x:c r="AF15" s="39" t="n">
        <x:v>-0.062817949</x:v>
      </x:c>
      <x:c r="AG15" s="39" t="n">
        <x:v>0.0795821159</x:v>
      </x:c>
      <x:c r="AH15" s="39" t="n">
        <x:v>0.2120251792</x:v>
      </x:c>
      <x:c r="AI15" s="39" t="n">
        <x:v>-0.1246604404</x:v>
      </x:c>
      <x:c r="AJ15" s="39" t="n">
        <x:v>0.1289057423</x:v>
      </x:c>
      <x:c r="AK15" s="39" t="n">
        <x:v>0.0699445</x:v>
      </x:c>
      <x:c r="AL15" s="39" t="n">
        <x:v>0.1133892191</x:v>
      </x:c>
      <x:c r="AM15" s="39" t="n">
        <x:v>-0.0229886423</x:v>
      </x:c>
      <x:c r="AN15" s="39" t="n">
        <x:v>0.1076499846</x:v>
      </x:c>
      <x:c r="AO15" s="39" t="n">
        <x:v>0.11107234</x:v>
      </x:c>
      <x:c r="AP15" s="39" t="n">
        <x:v>-0.17731728</x:v>
      </x:c>
      <x:c r="AQ15" s="39" t="n">
        <x:v>-0.089285251</x:v>
      </x:c>
      <x:c r="AR15" s="39" t="n">
        <x:v>0.0752068559</x:v>
      </x:c>
    </x:row>
    <x:row r="16" ht="19" customHeight="1">
      <x:c r="A16" s="30" t="str">
        <x:v>CF</x:v>
      </x:c>
      <x:c r="B16" s="39" t="n">
        <x:v>0.0721676524</x:v>
      </x:c>
      <x:c r="C16" s="39" t="n">
        <x:v>-0.0198551855</x:v>
      </x:c>
      <x:c r="D16" s="39" t="n">
        <x:v>-0.0367645563</x:v>
      </x:c>
      <x:c r="E16" s="39" t="n">
        <x:v>-0.0703843535</x:v>
      </x:c>
      <x:c r="F16" s="39" t="n">
        <x:v>0.2409705262</x:v>
      </x:c>
      <x:c r="G16" s="39" t="n">
        <x:v>0.1425803143</x:v>
      </x:c>
      <x:c r="H16" s="39" t="n">
        <x:v>-0.0004340744</x:v>
      </x:c>
      <x:c r="I16" s="39" t="n">
        <x:v>-0.1018245276</x:v>
      </x:c>
      <x:c r="J16" s="39" t="n">
        <x:v>-0.220529022</x:v>
      </x:c>
      <x:c r="K16" s="39" t="n">
        <x:v>-0.1149244733</x:v>
      </x:c>
      <x:c r="L16" s="39" t="n">
        <x:v>-0.1008057376</x:v>
      </x:c>
      <x:c r="M16" s="39" t="n">
        <x:v>-0.1891748389</x:v>
      </x:c>
      <x:c r="N16" s="39" t="n">
        <x:v>-0.2769942007</x:v>
      </x:c>
      <x:c r="O16" s="39" t="n">
        <x:v>0.0101174121</x:v>
      </x:c>
      <x:c r="P16" s="39" t="n">
        <x:v>0.1695662844</x:v>
      </x:c>
      <x:c r="Q16" s="39" t="n">
        <x:v>-0.2702409671</x:v>
      </x:c>
      <x:c r="R16" s="39" t="n">
        <x:v>-0.2440473093</x:v>
      </x:c>
      <x:c r="S16" s="39" t="n">
        <x:v>0.2648327298</x:v>
      </x:c>
      <x:c r="T16" s="39" t="n">
        <x:v>0.0815821708</x:v>
      </x:c>
      <x:c r="U16" s="39" t="n">
        <x:v>0.0243516323</x:v>
      </x:c>
      <x:c r="V16" s="39" t="n">
        <x:v>-0.2255284805</x:v>
      </x:c>
      <x:c r="W16" s="39" t="n">
        <x:v>-0.1827007801</x:v>
      </x:c>
      <x:c r="X16" s="39" t="n">
        <x:v>0.1520516231</x:v>
      </x:c>
      <x:c r="Y16" s="39" t="n">
        <x:v>-0.2148736293</x:v>
      </x:c>
      <x:c r="Z16" s="39" t="n">
        <x:v>0.1945714199</x:v>
      </x:c>
      <x:c r="AA16" s="39" t="n">
        <x:v>-0.0492574557</x:v>
      </x:c>
      <x:c r="AB16" s="39" t="n">
        <x:v>-0.1423999794</x:v>
      </x:c>
      <x:c r="AC16" s="39" t="n">
        <x:v>0.0293657308</x:v>
      </x:c>
      <x:c r="AD16" s="39" t="n">
        <x:v>0.2545329771</x:v>
      </x:c>
      <x:c r="AE16" s="39" t="n">
        <x:v>-0.0142990332</x:v>
      </x:c>
      <x:c r="AF16" s="39" t="n">
        <x:v>0.2084892888</x:v>
      </x:c>
      <x:c r="AG16" s="39" t="n">
        <x:v>0.1536119916</x:v>
      </x:c>
      <x:c r="AH16" s="39" t="n">
        <x:v>0.1568307219</x:v>
      </x:c>
      <x:c r="AI16" s="39" t="n">
        <x:v>-0.1243901657</x:v>
      </x:c>
      <x:c r="AJ16" s="39" t="n">
        <x:v>0.1990722279</x:v>
      </x:c>
      <x:c r="AK16" s="39" t="n">
        <x:v>0.0476340529</x:v>
      </x:c>
      <x:c r="AL16" s="39" t="n">
        <x:v>-0.084146796</x:v>
      </x:c>
      <x:c r="AM16" s="39" t="n">
        <x:v>0.1360339155</x:v>
      </x:c>
      <x:c r="AN16" s="39" t="n">
        <x:v>-0.0090173288</x:v>
      </x:c>
      <x:c r="AO16" s="39" t="n">
        <x:v>-0.0693187321</x:v>
      </x:c>
      <x:c r="AP16" s="39" t="n">
        <x:v>0.0998556996</x:v>
      </x:c>
      <x:c r="AQ16" s="39" t="n">
        <x:v>0.0250066097</x:v>
      </x:c>
      <x:c r="AR16" s="39" t="n">
        <x:v>0.0770268114</x:v>
      </x:c>
    </x:row>
    <x:row r="17" ht="19" customHeight="1">
      <x:c r="A17" s="30" t="str">
        <x:v>NTR</x:v>
      </x:c>
      <x:c r="B17" s="39" t="n">
        <x:v>0.0194398384</x:v>
      </x:c>
      <x:c r="C17" s="39" t="n">
        <x:v>0.0091615554</x:v>
      </x:c>
      <x:c r="D17" s="39" t="n">
        <x:v>-0.0220153147</x:v>
      </x:c>
      <x:c r="E17" s="39" t="n">
        <x:v>0.0597318058</x:v>
      </x:c>
      <x:c r="F17" s="39" t="n">
        <x:v>0.086500947</x:v>
      </x:c>
      <x:c r="G17" s="39" t="n">
        <x:v>0.0324223465</x:v>
      </x:c>
      <x:c r="H17" s="39" t="n">
        <x:v>0.0098064816</x:v>
      </x:c>
      <x:c r="I17" s="39" t="n">
        <x:v>-0.0355259499</x:v>
      </x:c>
      <x:c r="J17" s="39" t="n">
        <x:v>-0.1122572745</x:v>
      </x:c>
      <x:c r="K17" s="39" t="n">
        <x:v>-0.0192447977</x:v>
      </x:c>
      <x:c r="L17" s="39" t="n">
        <x:v>-0.1829722407</x:v>
      </x:c>
      <x:c r="M17" s="39" t="n">
        <x:v>-0.3260628924</x:v>
      </x:c>
      <x:c r="N17" s="39" t="n">
        <x:v>-0.1034835469</x:v>
      </x:c>
      <x:c r="O17" s="39" t="n">
        <x:v>0.0254803287</x:v>
      </x:c>
      <x:c r="P17" s="39" t="n">
        <x:v>0.061602461</x:v>
      </x:c>
      <x:c r="Q17" s="39" t="n">
        <x:v>-0.1143459724</x:v>
      </x:c>
      <x:c r="R17" s="39" t="n">
        <x:v>-0.0970428282</x:v>
      </x:c>
      <x:c r="S17" s="39" t="n">
        <x:v>-0.0324006838</x:v>
      </x:c>
      <x:c r="T17" s="39" t="n">
        <x:v>0.3285322646</x:v>
      </x:c>
      <x:c r="U17" s="39" t="n">
        <x:v>-0.1536193125</x:v>
      </x:c>
      <x:c r="V17" s="39" t="n">
        <x:v>0.2777724098</x:v>
      </x:c>
      <x:c r="W17" s="39" t="n">
        <x:v>-0.0204083545</x:v>
      </x:c>
      <x:c r="X17" s="39" t="n">
        <x:v>0.0550143675</x:v>
      </x:c>
      <x:c r="Y17" s="39" t="n">
        <x:v>0.0259711153</x:v>
      </x:c>
      <x:c r="Z17" s="39" t="n">
        <x:v>0.0005287256</x:v>
      </x:c>
      <x:c r="AA17" s="39" t="n">
        <x:v>0.1448577727</x:v>
      </x:c>
      <x:c r="AB17" s="39" t="n">
        <x:v>0.4019778098</x:v>
      </x:c>
      <x:c r="AC17" s="39" t="n">
        <x:v>-0.1671076762</x:v>
      </x:c>
      <x:c r="AD17" s="39" t="n">
        <x:v>-0.1925299213</x:v>
      </x:c>
      <x:c r="AE17" s="39" t="n">
        <x:v>-0.1216540564</x:v>
      </x:c>
      <x:c r="AF17" s="39" t="n">
        <x:v>0.2221835084</x:v>
      </x:c>
      <x:c r="AG17" s="39" t="n">
        <x:v>-0.1529746082</x:v>
      </x:c>
      <x:c r="AH17" s="39" t="n">
        <x:v>-0.0131002123</x:v>
      </x:c>
      <x:c r="AI17" s="39" t="n">
        <x:v>0.4583575223</x:v>
      </x:c>
      <x:c r="AJ17" s="39" t="n">
        <x:v>-0.0990626707</x:v>
      </x:c>
      <x:c r="AK17" s="39" t="n">
        <x:v>-0.0819356095</x:v>
      </x:c>
      <x:c r="AL17" s="39" t="n">
        <x:v>-0.0018852531</x:v>
      </x:c>
      <x:c r="AM17" s="39" t="n">
        <x:v>-0.0063610906</x:v>
      </x:c>
      <x:c r="AN17" s="39" t="n">
        <x:v>-0.0924614588</x:v>
      </x:c>
      <x:c r="AO17" s="39" t="n">
        <x:v>0.0136184758</x:v>
      </x:c>
      <x:c r="AP17" s="39" t="n">
        <x:v>-0.0987732378</x:v>
      </x:c>
      <x:c r="AQ17" s="39" t="n">
        <x:v>0.0294743426</x:v>
      </x:c>
      <x:c r="AR17" s="39" t="n">
        <x:v>-0.0005537324</x:v>
      </x:c>
    </x:row>
    <x:row r="18" ht="19" customHeight="1">
      <x:c r="A18" s="30" t="str">
        <x:v>LNN</x:v>
      </x:c>
      <x:c r="B18" s="39" t="n">
        <x:v>0.0796978819</x:v>
      </x:c>
      <x:c r="C18" s="39" t="n">
        <x:v>-0.0836327391</x:v>
      </x:c>
      <x:c r="D18" s="39" t="n">
        <x:v>0.0008181549</x:v>
      </x:c>
      <x:c r="E18" s="39" t="n">
        <x:v>0.1305743157</x:v>
      </x:c>
      <x:c r="F18" s="39" t="n">
        <x:v>0.0229047376</x:v>
      </x:c>
      <x:c r="G18" s="39" t="n">
        <x:v>0.0718673138</x:v>
      </x:c>
      <x:c r="H18" s="39" t="n">
        <x:v>-0.1199673857</x:v>
      </x:c>
      <x:c r="I18" s="39" t="n">
        <x:v>0.0335043452</x:v>
      </x:c>
      <x:c r="J18" s="39" t="n">
        <x:v>0.041081646</x:v>
      </x:c>
      <x:c r="K18" s="39" t="n">
        <x:v>0.0050188685</x:v>
      </x:c>
      <x:c r="L18" s="39" t="n">
        <x:v>-0.0243573595</x:v>
      </x:c>
      <x:c r="M18" s="39" t="n">
        <x:v>0.0778358769</x:v>
      </x:c>
      <x:c r="N18" s="39" t="n">
        <x:v>0.0591107951</x:v>
      </x:c>
      <x:c r="O18" s="39" t="n">
        <x:v>-0.0856450327</x:v>
      </x:c>
      <x:c r="P18" s="39" t="n">
        <x:v>0.0241067192</x:v>
      </x:c>
      <x:c r="Q18" s="39" t="n">
        <x:v>0.0342941565</x:v>
      </x:c>
      <x:c r="R18" s="39" t="n">
        <x:v>-0.1969268363</x:v>
      </x:c>
      <x:c r="S18" s="39" t="n">
        <x:v>-0.2456136101</x:v>
      </x:c>
      <x:c r="T18" s="39" t="n">
        <x:v>0.4241737944</x:v>
      </x:c>
      <x:c r="U18" s="39" t="n">
        <x:v>-0.0692301292</x:v>
      </x:c>
      <x:c r="V18" s="39" t="n">
        <x:v>-0.1909790677</x:v>
      </x:c>
      <x:c r="W18" s="39" t="n">
        <x:v>0.1344890455</x:v>
      </x:c>
      <x:c r="X18" s="39" t="n">
        <x:v>0.2766684314</x:v>
      </x:c>
      <x:c r="Y18" s="39" t="n">
        <x:v>0.114770363</x:v>
      </x:c>
      <x:c r="Z18" s="39" t="n">
        <x:v>0.0055030107</x:v>
      </x:c>
      <x:c r="AA18" s="39" t="n">
        <x:v>-0.030173706</x:v>
      </x:c>
      <x:c r="AB18" s="39" t="n">
        <x:v>0.1403830936</x:v>
      </x:c>
      <x:c r="AC18" s="39" t="n">
        <x:v>0.0573717491</x:v>
      </x:c>
      <x:c r="AD18" s="39" t="n">
        <x:v>0.2930510859</x:v>
      </x:c>
      <x:c r="AE18" s="39" t="n">
        <x:v>0.446486446</x:v>
      </x:c>
      <x:c r="AF18" s="39" t="n">
        <x:v>-0.0324539426</x:v>
      </x:c>
      <x:c r="AG18" s="39" t="n">
        <x:v>-0.1318050431</x:v>
      </x:c>
      <x:c r="AH18" s="39" t="n">
        <x:v>-0.3578252652</x:v>
      </x:c>
      <x:c r="AI18" s="39" t="n">
        <x:v>-0.1260547253</x:v>
      </x:c>
      <x:c r="AJ18" s="39" t="n">
        <x:v>0.0023837918</x:v>
      </x:c>
      <x:c r="AK18" s="39" t="n">
        <x:v>0.0580583673</x:v>
      </x:c>
      <x:c r="AL18" s="39" t="n">
        <x:v>-0.1129605654</x:v>
      </x:c>
      <x:c r="AM18" s="39" t="n">
        <x:v>-0.0172841414</x:v>
      </x:c>
      <x:c r="AN18" s="39" t="n">
        <x:v>0.0450028463</x:v>
      </x:c>
      <x:c r="AO18" s="39" t="n">
        <x:v>0.0464820524</x:v>
      </x:c>
      <x:c r="AP18" s="39" t="n">
        <x:v>-0.0433087839</x:v>
      </x:c>
      <x:c r="AQ18" s="39" t="n">
        <x:v>-0.0447662644</x:v>
      </x:c>
      <x:c r="AR18" s="39" t="n">
        <x:v>-0.0576521223</x:v>
      </x:c>
    </x:row>
    <x:row r="19" ht="19" customHeight="1">
      <x:c r="A19" s="30" t="str">
        <x:v>WDC</x:v>
      </x:c>
      <x:c r="B19" s="39" t="n">
        <x:v>-0.3901463947</x:v>
      </x:c>
      <x:c r="C19" s="39" t="n">
        <x:v>-0.0188393918</x:v>
      </x:c>
      <x:c r="D19" s="39" t="n">
        <x:v>0.270437162</x:v>
      </x:c>
      <x:c r="E19" s="39" t="n">
        <x:v>0.0352772908</x:v>
      </x:c>
      <x:c r="F19" s="39" t="n">
        <x:v>-0.1526014136</x:v>
      </x:c>
      <x:c r="G19" s="39" t="n">
        <x:v>0.1981874393</x:v>
      </x:c>
      <x:c r="H19" s="39" t="n">
        <x:v>0.0359207583</x:v>
      </x:c>
      <x:c r="I19" s="39" t="n">
        <x:v>-0.0179856162</x:v>
      </x:c>
      <x:c r="J19" s="39" t="n">
        <x:v>-0.0353158761</x:v>
      </x:c>
      <x:c r="K19" s="39" t="n">
        <x:v>-0.0623867452</x:v>
      </x:c>
      <x:c r="L19" s="39" t="n">
        <x:v>0.2313806084</x:v>
      </x:c>
      <x:c r="M19" s="39" t="n">
        <x:v>-0.1286935256</x:v>
      </x:c>
      <x:c r="N19" s="39" t="n">
        <x:v>0.082300198</x:v>
      </x:c>
      <x:c r="O19" s="39" t="n">
        <x:v>-0.2367136541</x:v>
      </x:c>
      <x:c r="P19" s="39" t="n">
        <x:v>0.067928473</x:v>
      </x:c>
      <x:c r="Q19" s="39" t="n">
        <x:v>0.1442517231</x:v>
      </x:c>
      <x:c r="R19" s="39" t="n">
        <x:v>-0.0775664117</x:v>
      </x:c>
      <x:c r="S19" s="39" t="n">
        <x:v>0.0286034277</x:v>
      </x:c>
      <x:c r="T19" s="39" t="n">
        <x:v>0.0343784332</x:v>
      </x:c>
      <x:c r="U19" s="39" t="n">
        <x:v>-0.0289756082</x:v>
      </x:c>
      <x:c r="V19" s="39" t="n">
        <x:v>-0.006601872</x:v>
      </x:c>
      <x:c r="W19" s="39" t="n">
        <x:v>-0.260036856</x:v>
      </x:c>
      <x:c r="X19" s="39" t="n">
        <x:v>0.2110343867</x:v>
      </x:c>
      <x:c r="Y19" s="39" t="n">
        <x:v>0.1535893043</x:v>
      </x:c>
      <x:c r="Z19" s="39" t="n">
        <x:v>0.2883161444</x:v>
      </x:c>
      <x:c r="AA19" s="39" t="n">
        <x:v>0.026726683</x:v>
      </x:c>
      <x:c r="AB19" s="39" t="n">
        <x:v>-0.2940485851</x:v>
      </x:c>
      <x:c r="AC19" s="39" t="n">
        <x:v>0.1743108932</x:v>
      </x:c>
      <x:c r="AD19" s="39" t="n">
        <x:v>-0.021672447</x:v>
      </x:c>
      <x:c r="AE19" s="39" t="n">
        <x:v>-0.1220639531</x:v>
      </x:c>
      <x:c r="AF19" s="39" t="n">
        <x:v>-0.1453835772</x:v>
      </x:c>
      <x:c r="AG19" s="39" t="n">
        <x:v>-0.2275829014</x:v>
      </x:c>
      <x:c r="AH19" s="39" t="n">
        <x:v>-0.0668634002</x:v>
      </x:c>
      <x:c r="AI19" s="39" t="n">
        <x:v>0.2358716353</x:v>
      </x:c>
      <x:c r="AJ19" s="39" t="n">
        <x:v>0.0286974528</x:v>
      </x:c>
      <x:c r="AK19" s="39" t="n">
        <x:v>-0.0503856885</x:v>
      </x:c>
      <x:c r="AL19" s="39" t="n">
        <x:v>-0.1236091345</x:v>
      </x:c>
      <x:c r="AM19" s="39" t="n">
        <x:v>-0.089656984</x:v>
      </x:c>
      <x:c r="AN19" s="39" t="n">
        <x:v>-0.0944956394</x:v>
      </x:c>
      <x:c r="AO19" s="39" t="n">
        <x:v>-0.0686686083</x:v>
      </x:c>
      <x:c r="AP19" s="39" t="n">
        <x:v>-0.0115386273</x:v>
      </x:c>
      <x:c r="AQ19" s="39" t="n">
        <x:v>-0.005244492</x:v>
      </x:c>
      <x:c r="AR19" s="39" t="n">
        <x:v>0.1057282289</x:v>
      </x:c>
    </x:row>
    <x:row r="20" ht="19" customHeight="1">
      <x:c r="A20" s="30" t="str">
        <x:v>ASND</x:v>
      </x:c>
      <x:c r="B20" s="39" t="n">
        <x:v>0.0497384911</x:v>
      </x:c>
      <x:c r="C20" s="39" t="n">
        <x:v>-0.0351052239</x:v>
      </x:c>
      <x:c r="D20" s="39" t="n">
        <x:v>0.033353702</x:v>
      </x:c>
      <x:c r="E20" s="39" t="n">
        <x:v>0.0372472758</x:v>
      </x:c>
      <x:c r="F20" s="39" t="n">
        <x:v>0.1815458279</x:v>
      </x:c>
      <x:c r="G20" s="39" t="n">
        <x:v>0.200742448</x:v>
      </x:c>
      <x:c r="H20" s="39" t="n">
        <x:v>0.0607189663</x:v>
      </x:c>
      <x:c r="I20" s="39" t="n">
        <x:v>-0.1243043515</x:v>
      </x:c>
      <x:c r="J20" s="39" t="n">
        <x:v>0.4918498298</x:v>
      </x:c>
      <x:c r="K20" s="39" t="n">
        <x:v>0.4316190728</x:v>
      </x:c>
      <x:c r="L20" s="39" t="n">
        <x:v>0.0772907792</x:v>
      </x:c>
      <x:c r="M20" s="39" t="n">
        <x:v>-0.0157985221</x:v>
      </x:c>
      <x:c r="N20" s="39" t="n">
        <x:v>-0.3720036615</x:v>
      </x:c>
      <x:c r="O20" s="39" t="n">
        <x:v>-0.2717131654</x:v>
      </x:c>
      <x:c r="P20" s="39" t="n">
        <x:v>-0.2364760377</x:v>
      </x:c>
      <x:c r="Q20" s="39" t="n">
        <x:v>0.0607945655</x:v>
      </x:c>
      <x:c r="R20" s="39" t="n">
        <x:v>-0.1165159814</x:v>
      </x:c>
      <x:c r="S20" s="39" t="n">
        <x:v>0.0090523136</x:v>
      </x:c>
      <x:c r="T20" s="39" t="n">
        <x:v>0.0138785691</x:v>
      </x:c>
      <x:c r="U20" s="39" t="n">
        <x:v>-0.1173681329</x:v>
      </x:c>
      <x:c r="V20" s="39" t="n">
        <x:v>0.0542002077</x:v>
      </x:c>
      <x:c r="W20" s="39" t="n">
        <x:v>0.057403132</x:v>
      </x:c>
      <x:c r="X20" s="39" t="n">
        <x:v>-0.1496455766</x:v>
      </x:c>
      <x:c r="Y20" s="39" t="n">
        <x:v>0.0947021562</x:v>
      </x:c>
      <x:c r="Z20" s="39" t="n">
        <x:v>0.0728728471</x:v>
      </x:c>
      <x:c r="AA20" s="39" t="n">
        <x:v>0.191493572</x:v>
      </x:c>
      <x:c r="AB20" s="39" t="n">
        <x:v>-0.0551747549</x:v>
      </x:c>
      <x:c r="AC20" s="39" t="n">
        <x:v>-0.1044803572</x:v>
      </x:c>
      <x:c r="AD20" s="39" t="n">
        <x:v>-0.0264670526</x:v>
      </x:c>
      <x:c r="AE20" s="39" t="n">
        <x:v>-0.0810052031</x:v>
      </x:c>
      <x:c r="AF20" s="39" t="n">
        <x:v>0.0275438324</x:v>
      </x:c>
      <x:c r="AG20" s="39" t="n">
        <x:v>0.02275607</x:v>
      </x:c>
      <x:c r="AH20" s="39" t="n">
        <x:v>-0.0422080145</x:v>
      </x:c>
      <x:c r="AI20" s="39" t="n">
        <x:v>-0.0870441992</x:v>
      </x:c>
      <x:c r="AJ20" s="39" t="n">
        <x:v>0.0506424314</x:v>
      </x:c>
      <x:c r="AK20" s="39" t="n">
        <x:v>0.0162053657</x:v>
      </x:c>
      <x:c r="AL20" s="39" t="n">
        <x:v>-0.0897432932</x:v>
      </x:c>
      <x:c r="AM20" s="39" t="n">
        <x:v>0.2012051473</x:v>
      </x:c>
      <x:c r="AN20" s="39" t="n">
        <x:v>0.0056092198</x:v>
      </x:c>
      <x:c r="AO20" s="39" t="n">
        <x:v>-0.0275054724</x:v>
      </x:c>
      <x:c r="AP20" s="39" t="n">
        <x:v>0.011110257</x:v>
      </x:c>
      <x:c r="AQ20" s="39" t="n">
        <x:v>-0.0149457062</x:v>
      </x:c>
      <x:c r="AR20" s="39" t="n">
        <x:v>0.0597882885</x:v>
      </x:c>
    </x:row>
    <x:row r="21" ht="19" customHeight="1">
      <x:c r="A21" s="30" t="str">
        <x:v>DOCN</x:v>
      </x:c>
      <x:c r="B21" s="39" t="n">
        <x:v>-0.0826974087</x:v>
      </x:c>
      <x:c r="C21" s="39" t="n">
        <x:v>-0.3113783418</x:v>
      </x:c>
      <x:c r="D21" s="39" t="n">
        <x:v>0.4651145757</x:v>
      </x:c>
      <x:c r="E21" s="39" t="n">
        <x:v>-0.2577915308</x:v>
      </x:c>
      <x:c r="F21" s="39" t="n">
        <x:v>0.4208905558</x:v>
      </x:c>
      <x:c r="G21" s="39" t="n">
        <x:v>-0.0706891243</x:v>
      </x:c>
      <x:c r="H21" s="39" t="n">
        <x:v>-0.0892847716</x:v>
      </x:c>
      <x:c r="I21" s="39" t="n">
        <x:v>0.1608418757</x:v>
      </x:c>
      <x:c r="J21" s="39" t="n">
        <x:v>-0.1501420407</x:v>
      </x:c>
      <x:c r="K21" s="39" t="n">
        <x:v>-0.0169314551</x:v>
      </x:c>
      <x:c r="L21" s="39" t="n">
        <x:v>0.03426157</x:v>
      </x:c>
      <x:c r="M21" s="39" t="n">
        <x:v>0.4150071488</x:v>
      </x:c>
      <x:c r="N21" s="39" t="n">
        <x:v>0.0712702222</x:v>
      </x:c>
      <x:c r="O21" s="39" t="n">
        <x:v>0.1680700465</x:v>
      </x:c>
      <x:c r="P21" s="39" t="n">
        <x:v>-0.0989098263</x:v>
      </x:c>
      <x:c r="Q21" s="39" t="n">
        <x:v>-0.0528561431</x:v>
      </x:c>
      <x:c r="R21" s="39" t="n">
        <x:v>-0.0740299622</x:v>
      </x:c>
      <x:c r="S21" s="39" t="n">
        <x:v>-0.0585487329</x:v>
      </x:c>
      <x:c r="T21" s="39" t="n">
        <x:v>0.0089368143</x:v>
      </x:c>
      <x:c r="U21" s="39" t="n">
        <x:v>-0.0645124207</x:v>
      </x:c>
      <x:c r="V21" s="39" t="n">
        <x:v>0.2080951148</x:v>
      </x:c>
      <x:c r="W21" s="39" t="n">
        <x:v>0.1131893082</x:v>
      </x:c>
      <x:c r="X21" s="39" t="n">
        <x:v>-0.03874139</x:v>
      </x:c>
      <x:c r="Y21" s="39" t="n">
        <x:v>0.0490389673</x:v>
      </x:c>
      <x:c r="Z21" s="39" t="n">
        <x:v>0.1329639099</x:v>
      </x:c>
      <x:c r="AA21" s="39" t="n">
        <x:v>0.0660028559</x:v>
      </x:c>
      <x:c r="AB21" s="39" t="n">
        <x:v>0.0235797574</x:v>
      </x:c>
      <x:c r="AC21" s="39" t="n">
        <x:v>-0.0591111602</x:v>
      </x:c>
      <x:c r="AD21" s="39" t="n">
        <x:v>0.1216316329</x:v>
      </x:c>
      <x:c r="AE21" s="39" t="n">
        <x:v>-0.1184279213</x:v>
      </x:c>
      <x:c r="AF21" s="39" t="n">
        <x:v>0.0614437777</x:v>
      </x:c>
      <x:c r="AG21" s="39" t="n">
        <x:v>0.0034565567</x:v>
      </x:c>
      <x:c r="AH21" s="39" t="n">
        <x:v>-0.0241129176</x:v>
      </x:c>
      <x:c r="AI21" s="39" t="n">
        <x:v>0.0578104372</x:v>
      </x:c>
      <x:c r="AJ21" s="39" t="n">
        <x:v>0.0763248117</x:v>
      </x:c>
      <x:c r="AK21" s="39" t="n">
        <x:v>-0.0375422558</x:v>
      </x:c>
      <x:c r="AL21" s="39" t="n">
        <x:v>0.0156224876</x:v>
      </x:c>
      <x:c r="AM21" s="39" t="n">
        <x:v>0.0449997479</x:v>
      </x:c>
      <x:c r="AN21" s="39" t="n">
        <x:v>-0.0483569682</x:v>
      </x:c>
      <x:c r="AO21" s="39" t="n">
        <x:v>0.038571586</x:v>
      </x:c>
      <x:c r="AP21" s="39" t="n">
        <x:v>0.048854328</x:v>
      </x:c>
      <x:c r="AQ21" s="39" t="n">
        <x:v>-0.0581762234</x:v>
      </x:c>
      <x:c r="AR21" s="39" t="n">
        <x:v>0.0200570056</x:v>
      </x:c>
    </x:row>
    <x:row r="22" ht="19" customHeight="1">
      <x:c r="A22" s="30" t="str">
        <x:v>CME</x:v>
      </x:c>
      <x:c r="B22" s="39" t="n">
        <x:v>0.020765145</x:v>
      </x:c>
      <x:c r="C22" s="39" t="n">
        <x:v>-0.0556789632</x:v>
      </x:c>
      <x:c r="D22" s="39" t="n">
        <x:v>-0.0706154219</x:v>
      </x:c>
      <x:c r="E22" s="39" t="n">
        <x:v>-0.0740211515</x:v>
      </x:c>
      <x:c r="F22" s="39" t="n">
        <x:v>0.0109431342</x:v>
      </x:c>
      <x:c r="G22" s="39" t="n">
        <x:v>0.0123656875</x:v>
      </x:c>
      <x:c r="H22" s="39" t="n">
        <x:v>0.1552028616</x:v>
      </x:c>
      <x:c r="I22" s="39" t="n">
        <x:v>0.1139652343</x:v>
      </x:c>
      <x:c r="J22" s="39" t="n">
        <x:v>-0.0022179979</x:v>
      </x:c>
      <x:c r="K22" s="39" t="n">
        <x:v>0.0264074217</x:v>
      </x:c>
      <x:c r="L22" s="39" t="n">
        <x:v>-0.0374585172</x:v>
      </x:c>
      <x:c r="M22" s="39" t="n">
        <x:v>-0.1434729157</x:v>
      </x:c>
      <x:c r="N22" s="39" t="n">
        <x:v>-0.0221753342</x:v>
      </x:c>
      <x:c r="O22" s="39" t="n">
        <x:v>0.0185879633</x:v>
      </x:c>
      <x:c r="P22" s="39" t="n">
        <x:v>0.1618379789</x:v>
      </x:c>
      <x:c r="Q22" s="39" t="n">
        <x:v>0.0340618645</x:v>
      </x:c>
      <x:c r="R22" s="39" t="n">
        <x:v>0.0996230974</x:v>
      </x:c>
      <x:c r="S22" s="39" t="n">
        <x:v>0.0157363056</x:v>
      </x:c>
      <x:c r="T22" s="39" t="n">
        <x:v>0.082888584</x:v>
      </x:c>
      <x:c r="U22" s="39" t="n">
        <x:v>-0.2558453792</x:v>
      </x:c>
      <x:c r="V22" s="39" t="n">
        <x:v>0.1641803824</x:v>
      </x:c>
      <x:c r="W22" s="39" t="n">
        <x:v>0.1813180912</x:v>
      </x:c>
      <x:c r="X22" s="39" t="n">
        <x:v>-0.0711201349</x:v>
      </x:c>
      <x:c r="Y22" s="39" t="n">
        <x:v>-0.0403722729</x:v>
      </x:c>
      <x:c r="Z22" s="39" t="n">
        <x:v>0.0749762184</x:v>
      </x:c>
      <x:c r="AA22" s="39" t="n">
        <x:v>0.0672154599</x:v>
      </x:c>
      <x:c r="AB22" s="39" t="n">
        <x:v>-0.070689887</x:v>
      </x:c>
      <x:c r="AC22" s="39" t="n">
        <x:v>-0.2615841773</x:v>
      </x:c>
      <x:c r="AD22" s="39" t="n">
        <x:v>0.0231863219</x:v>
      </x:c>
      <x:c r="AE22" s="39" t="n">
        <x:v>0.1436337786</x:v>
      </x:c>
      <x:c r="AF22" s="39" t="n">
        <x:v>-0.2296193052</x:v>
      </x:c>
      <x:c r="AG22" s="39" t="n">
        <x:v>-0.2279063821</x:v>
      </x:c>
      <x:c r="AH22" s="39" t="n">
        <x:v>0.1382509546</x:v>
      </x:c>
      <x:c r="AI22" s="39" t="n">
        <x:v>-0.1949833882</x:v>
      </x:c>
      <x:c r="AJ22" s="39" t="n">
        <x:v>0.4761607649</x:v>
      </x:c>
      <x:c r="AK22" s="39" t="n">
        <x:v>-0.0641223111</x:v>
      </x:c>
      <x:c r="AL22" s="39" t="n">
        <x:v>0.1340639527</x:v>
      </x:c>
      <x:c r="AM22" s="39" t="n">
        <x:v>-0.3982946006</x:v>
      </x:c>
      <x:c r="AN22" s="39" t="n">
        <x:v>-0.0168272058</x:v>
      </x:c>
      <x:c r="AO22" s="39" t="n">
        <x:v>-0.2570716021</x:v>
      </x:c>
      <x:c r="AP22" s="39" t="n">
        <x:v>0.0548607859</x:v>
      </x:c>
      <x:c r="AQ22" s="39" t="n">
        <x:v>-0.0042680929</x:v>
      </x:c>
      <x:c r="AR22" s="39" t="n">
        <x:v>0.0733328811</x:v>
      </x:c>
    </x:row>
    <x:row r="23" ht="19" customHeight="1">
      <x:c r="A23" s="30" t="str">
        <x:v>NET</x:v>
      </x:c>
      <x:c r="B23" s="39" t="n">
        <x:v>0.1682526806</x:v>
      </x:c>
      <x:c r="C23" s="39" t="n">
        <x:v>-0.1323620915</x:v>
      </x:c>
      <x:c r="D23" s="39" t="n">
        <x:v>-0.0060856379</x:v>
      </x:c>
      <x:c r="E23" s="39" t="n">
        <x:v>-0.0267236589</x:v>
      </x:c>
      <x:c r="F23" s="39" t="n">
        <x:v>0.3570659369</x:v>
      </x:c>
      <x:c r="G23" s="39" t="n">
        <x:v>0.4993726844</x:v>
      </x:c>
      <x:c r="H23" s="39" t="n">
        <x:v>-0.0086475787</x:v>
      </x:c>
      <x:c r="I23" s="39" t="n">
        <x:v>0.1120953795</x:v>
      </x:c>
      <x:c r="J23" s="39" t="n">
        <x:v>0.1472702905</x:v>
      </x:c>
      <x:c r="K23" s="39" t="n">
        <x:v>-0.2988544461</x:v>
      </x:c>
      <x:c r="L23" s="39" t="n">
        <x:v>-0.200966287</x:v>
      </x:c>
      <x:c r="M23" s="39" t="n">
        <x:v>-0.1242382628</x:v>
      </x:c>
      <x:c r="N23" s="39" t="n">
        <x:v>0.0103364555</x:v>
      </x:c>
      <x:c r="O23" s="39" t="n">
        <x:v>-0.070485946</x:v>
      </x:c>
      <x:c r="P23" s="39" t="n">
        <x:v>-0.0730622217</x:v>
      </x:c>
      <x:c r="Q23" s="39" t="n">
        <x:v>0.1980962864</x:v>
      </x:c>
      <x:c r="R23" s="39" t="n">
        <x:v>0.1826510389</x:v>
      </x:c>
      <x:c r="S23" s="39" t="n">
        <x:v>-0.147783109</x:v>
      </x:c>
      <x:c r="T23" s="39" t="n">
        <x:v>-0.09397183</x:v>
      </x:c>
      <x:c r="U23" s="39" t="n">
        <x:v>0.1400469905</x:v>
      </x:c>
      <x:c r="V23" s="39" t="n">
        <x:v>0.0530843451</x:v>
      </x:c>
      <x:c r="W23" s="39" t="n">
        <x:v>-0.111556375</x:v>
      </x:c>
      <x:c r="X23" s="39" t="n">
        <x:v>-0.2003315042</x:v>
      </x:c>
      <x:c r="Y23" s="39" t="n">
        <x:v>-0.2337317225</x:v>
      </x:c>
      <x:c r="Z23" s="39" t="n">
        <x:v>-0.1174517523</x:v>
      </x:c>
      <x:c r="AA23" s="39" t="n">
        <x:v>-0.1268707335</x:v>
      </x:c>
      <x:c r="AB23" s="39" t="n">
        <x:v>-0.1042233054</x:v>
      </x:c>
      <x:c r="AC23" s="39" t="n">
        <x:v>0.1493055257</x:v>
      </x:c>
      <x:c r="AD23" s="39" t="n">
        <x:v>0.0122035789</x:v>
      </x:c>
      <x:c r="AE23" s="39" t="n">
        <x:v>0.1448339332</x:v>
      </x:c>
      <x:c r="AF23" s="39" t="n">
        <x:v>-0.0157520239</x:v>
      </x:c>
      <x:c r="AG23" s="39" t="n">
        <x:v>-0.0955611509</x:v>
      </x:c>
      <x:c r="AH23" s="39" t="n">
        <x:v>-0.0330843589</x:v>
      </x:c>
      <x:c r="AI23" s="39" t="n">
        <x:v>0.1333475088</x:v>
      </x:c>
      <x:c r="AJ23" s="39" t="n">
        <x:v>-0.1172395731</x:v>
      </x:c>
      <x:c r="AK23" s="39" t="n">
        <x:v>0.0205898982</x:v>
      </x:c>
      <x:c r="AL23" s="39" t="n">
        <x:v>0.0046449848</x:v>
      </x:c>
      <x:c r="AM23" s="39" t="n">
        <x:v>-0.1371811611</x:v>
      </x:c>
      <x:c r="AN23" s="39" t="n">
        <x:v>-0.0724530576</x:v>
      </x:c>
      <x:c r="AO23" s="39" t="n">
        <x:v>-0.020951599</x:v>
      </x:c>
      <x:c r="AP23" s="39" t="n">
        <x:v>-0.0207861554</x:v>
      </x:c>
      <x:c r="AQ23" s="39" t="n">
        <x:v>-0.0466151939</x:v>
      </x:c>
      <x:c r="AR23" s="39" t="n">
        <x:v>-0.0053622831</x:v>
      </x:c>
    </x:row>
    <x:row r="24" ht="19" customHeight="1">
      <x:c r="A24" s="30" t="str">
        <x:v>MRNA</x:v>
      </x:c>
      <x:c r="B24" s="39" t="n">
        <x:v>-0.1799063643</x:v>
      </x:c>
      <x:c r="C24" s="39" t="n">
        <x:v>0.3007479729</x:v>
      </x:c>
      <x:c r="D24" s="39" t="n">
        <x:v>0.1639046339</x:v>
      </x:c>
      <x:c r="E24" s="39" t="n">
        <x:v>0.6786362621</x:v>
      </x:c>
      <x:c r="F24" s="39" t="n">
        <x:v>0.4440988877</x:v>
      </x:c>
      <x:c r="G24" s="39" t="n">
        <x:v>-0.2540398322</x:v>
      </x:c>
      <x:c r="H24" s="39" t="n">
        <x:v>0.0377373671</x:v>
      </x:c>
      <x:c r="I24" s="39" t="n">
        <x:v>0.1836983698</x:v>
      </x:c>
      <x:c r="J24" s="39" t="n">
        <x:v>0.0573277066</x:v>
      </x:c>
      <x:c r="K24" s="39" t="n">
        <x:v>0.0277460325</x:v>
      </x:c>
      <x:c r="L24" s="39" t="n">
        <x:v>0.0058939194</x:v>
      </x:c>
      <x:c r="M24" s="39" t="n">
        <x:v>-0.0816985813</x:v>
      </x:c>
      <x:c r="N24" s="39" t="n">
        <x:v>0.0912807953</x:v>
      </x:c>
      <x:c r="O24" s="39" t="n">
        <x:v>0.039675512</x:v>
      </x:c>
      <x:c r="P24" s="39" t="n">
        <x:v>0.0636085751</x:v>
      </x:c>
      <x:c r="Q24" s="39" t="n">
        <x:v>0.1028749399</x:v>
      </x:c>
      <x:c r="R24" s="39" t="n">
        <x:v>0.031569188</x:v>
      </x:c>
      <x:c r="S24" s="39" t="n">
        <x:v>-0.0255665043</x:v>
      </x:c>
      <x:c r="T24" s="39" t="n">
        <x:v>-0.0062104339</x:v>
      </x:c>
      <x:c r="U24" s="39" t="n">
        <x:v>0.0122607722</x:v>
      </x:c>
      <x:c r="V24" s="39" t="n">
        <x:v>-0.0973564981</x:v>
      </x:c>
      <x:c r="W24" s="39" t="n">
        <x:v>0.0171072225</x:v>
      </x:c>
      <x:c r="X24" s="39" t="n">
        <x:v>-0.0669882713</x:v>
      </x:c>
      <x:c r="Y24" s="39" t="n">
        <x:v>-0.0655064729</x:v>
      </x:c>
      <x:c r="Z24" s="39" t="n">
        <x:v>0.0787000135</x:v>
      </x:c>
      <x:c r="AA24" s="39" t="n">
        <x:v>-0.0624768221</x:v>
      </x:c>
      <x:c r="AB24" s="39" t="n">
        <x:v>-0.0256219244</x:v>
      </x:c>
      <x:c r="AC24" s="39" t="n">
        <x:v>-0.0299527724</x:v>
      </x:c>
      <x:c r="AD24" s="39" t="n">
        <x:v>-0.0296515216</x:v>
      </x:c>
      <x:c r="AE24" s="39" t="n">
        <x:v>-0.0156814682</x:v>
      </x:c>
      <x:c r="AF24" s="39" t="n">
        <x:v>0.0781551458</x:v>
      </x:c>
      <x:c r="AG24" s="39" t="n">
        <x:v>0.0459487635</x:v>
      </x:c>
      <x:c r="AH24" s="39" t="n">
        <x:v>0.0312872026</x:v>
      </x:c>
      <x:c r="AI24" s="39" t="n">
        <x:v>-0.0417093482</x:v>
      </x:c>
      <x:c r="AJ24" s="39" t="n">
        <x:v>0.0409479848</x:v>
      </x:c>
      <x:c r="AK24" s="39" t="n">
        <x:v>-0.0061471489</x:v>
      </x:c>
      <x:c r="AL24" s="39" t="n">
        <x:v>0.0036180859</x:v>
      </x:c>
      <x:c r="AM24" s="39" t="n">
        <x:v>-0.0402660434</x:v>
      </x:c>
      <x:c r="AN24" s="39" t="n">
        <x:v>-0.0132949454</x:v>
      </x:c>
      <x:c r="AO24" s="39" t="n">
        <x:v>-0.025162256</x:v>
      </x:c>
      <x:c r="AP24" s="39" t="n">
        <x:v>0.068117087</x:v>
      </x:c>
      <x:c r="AQ24" s="39" t="n">
        <x:v>0.0480019697</x:v>
      </x:c>
      <x:c r="AR24" s="39" t="n">
        <x:v>-0.0483357405</x:v>
      </x:c>
    </x:row>
    <x:row r="25" ht="19" customHeight="1">
      <x:c r="A25" s="30" t="str">
        <x:v>AXON</x:v>
      </x:c>
      <x:c r="B25" s="39" t="n">
        <x:v>0.1749035068</x:v>
      </x:c>
      <x:c r="C25" s="39" t="n">
        <x:v>-0.039001384</x:v>
      </x:c>
      <x:c r="D25" s="39" t="n">
        <x:v>-0.2387902841</x:v>
      </x:c>
      <x:c r="E25" s="39" t="n">
        <x:v>0.1397523007</x:v>
      </x:c>
      <x:c r="F25" s="39" t="n">
        <x:v>-0.0475042354</x:v>
      </x:c>
      <x:c r="G25" s="39" t="n">
        <x:v>0.3673278373</x:v>
      </x:c>
      <x:c r="H25" s="39" t="n">
        <x:v>0.0512980955</x:v>
      </x:c>
      <x:c r="I25" s="39" t="n">
        <x:v>0.2417412792</x:v>
      </x:c>
      <x:c r="J25" s="39" t="n">
        <x:v>-0.1017016699</x:v>
      </x:c>
      <x:c r="K25" s="39" t="n">
        <x:v>0.2390192061</x:v>
      </x:c>
      <x:c r="L25" s="39" t="n">
        <x:v>-0.0545029747</x:v>
      </x:c>
      <x:c r="M25" s="39" t="n">
        <x:v>0.0727881698</x:v>
      </x:c>
      <x:c r="N25" s="39" t="n">
        <x:v>0.3935840808</x:v>
      </x:c>
      <x:c r="O25" s="39" t="n">
        <x:v>0.0106178543</x:v>
      </x:c>
      <x:c r="P25" s="39" t="n">
        <x:v>0.0539147882</x:v>
      </x:c>
      <x:c r="Q25" s="39" t="n">
        <x:v>-0.1773233552</x:v>
      </x:c>
      <x:c r="R25" s="39" t="n">
        <x:v>-0.278721349</x:v>
      </x:c>
      <x:c r="S25" s="39" t="n">
        <x:v>-0.123617414</x:v>
      </x:c>
      <x:c r="T25" s="39" t="n">
        <x:v>-0.127414104</x:v>
      </x:c>
      <x:c r="U25" s="39" t="n">
        <x:v>0.0751786275</x:v>
      </x:c>
      <x:c r="V25" s="39" t="n">
        <x:v>-0.174021453</x:v>
      </x:c>
      <x:c r="W25" s="39" t="n">
        <x:v>0.2724473835</x:v>
      </x:c>
      <x:c r="X25" s="39" t="n">
        <x:v>-0.0312786965</x:v>
      </x:c>
      <x:c r="Y25" s="39" t="n">
        <x:v>-0.0390911962</x:v>
      </x:c>
      <x:c r="Z25" s="39" t="n">
        <x:v>0.1961603371</x:v>
      </x:c>
      <x:c r="AA25" s="39" t="n">
        <x:v>0.1017647863</x:v>
      </x:c>
      <x:c r="AB25" s="39" t="n">
        <x:v>-0.018520622</x:v>
      </x:c>
      <x:c r="AC25" s="39" t="n">
        <x:v>0.0369579591</x:v>
      </x:c>
      <x:c r="AD25" s="39" t="n">
        <x:v>-0.1158820726</x:v>
      </x:c>
      <x:c r="AE25" s="39" t="n">
        <x:v>-0.2561415656</x:v>
      </x:c>
      <x:c r="AF25" s="39" t="n">
        <x:v>-0.0450353133</x:v>
      </x:c>
      <x:c r="AG25" s="39" t="n">
        <x:v>0.0597185166</x:v>
      </x:c>
      <x:c r="AH25" s="39" t="n">
        <x:v>-0.0114727967</x:v>
      </x:c>
      <x:c r="AI25" s="39" t="n">
        <x:v>0.0964080062</x:v>
      </x:c>
      <x:c r="AJ25" s="39" t="n">
        <x:v>0.120036512</x:v>
      </x:c>
      <x:c r="AK25" s="39" t="n">
        <x:v>-0.1383045761</x:v>
      </x:c>
      <x:c r="AL25" s="39" t="n">
        <x:v>-0.073490262</x:v>
      </x:c>
      <x:c r="AM25" s="39" t="n">
        <x:v>-0.0196860971</x:v>
      </x:c>
      <x:c r="AN25" s="39" t="n">
        <x:v>-0.0883466728</x:v>
      </x:c>
      <x:c r="AO25" s="39" t="n">
        <x:v>0.1109645913</x:v>
      </x:c>
      <x:c r="AP25" s="39" t="n">
        <x:v>0.0333155964</x:v>
      </x:c>
      <x:c r="AQ25" s="39" t="n">
        <x:v>0.0155893996</x:v>
      </x:c>
      <x:c r="AR25" s="39" t="n">
        <x:v>0.0264022643</x:v>
      </x:c>
    </x:row>
    <x:row r="26" ht="19" customHeight="1">
      <x:c r="A26" s="30" t="str">
        <x:v>NFLX</x:v>
      </x:c>
      <x:c r="B26" s="39" t="n">
        <x:v>0.1211570463</x:v>
      </x:c>
      <x:c r="C26" s="39" t="n">
        <x:v>-0.1591741105</x:v>
      </x:c>
      <x:c r="D26" s="39" t="n">
        <x:v>-0.1132316941</x:v>
      </x:c>
      <x:c r="E26" s="39" t="n">
        <x:v>0.0045590665</x:v>
      </x:c>
      <x:c r="F26" s="39" t="n">
        <x:v>0.1673830542</x:v>
      </x:c>
      <x:c r="G26" s="39" t="n">
        <x:v>0.0052010178</x:v>
      </x:c>
      <x:c r="H26" s="39" t="n">
        <x:v>0.0570827926</x:v>
      </x:c>
      <x:c r="I26" s="39" t="n">
        <x:v>0.3242264137</x:v>
      </x:c>
      <x:c r="J26" s="39" t="n">
        <x:v>-0.088050476</x:v>
      </x:c>
      <x:c r="K26" s="39" t="n">
        <x:v>0.1992177669</x:v>
      </x:c>
      <x:c r="L26" s="39" t="n">
        <x:v>0.316977491</x:v>
      </x:c>
      <x:c r="M26" s="39" t="n">
        <x:v>0.1326923431</x:v>
      </x:c>
      <x:c r="N26" s="39" t="n">
        <x:v>-0.0248920448</x:v>
      </x:c>
      <x:c r="O26" s="39" t="n">
        <x:v>-0.3135097604</x:v>
      </x:c>
      <x:c r="P26" s="39" t="n">
        <x:v>0.0462565905</x:v>
      </x:c>
      <x:c r="Q26" s="39" t="n">
        <x:v>-0.0638610981</x:v>
      </x:c>
      <x:c r="R26" s="39" t="n">
        <x:v>0.3897943424</x:v>
      </x:c>
      <x:c r="S26" s="39" t="n">
        <x:v>0.1611558703</x:v>
      </x:c>
      <x:c r="T26" s="39" t="n">
        <x:v>0.1313248724</x:v>
      </x:c>
      <x:c r="U26" s="39" t="n">
        <x:v>-0.0397596675</x:v>
      </x:c>
      <x:c r="V26" s="39" t="n">
        <x:v>-0.0690501936</x:v>
      </x:c>
      <x:c r="W26" s="39" t="n">
        <x:v>0.0022499158</x:v>
      </x:c>
      <x:c r="X26" s="39" t="n">
        <x:v>0.3879216204</x:v>
      </x:c>
      <x:c r="Y26" s="39" t="n">
        <x:v>-0.1005954126</x:v>
      </x:c>
      <x:c r="Z26" s="39" t="n">
        <x:v>-0.199058068</x:v>
      </x:c>
      <x:c r="AA26" s="39" t="n">
        <x:v>-0.0935532781</x:v>
      </x:c>
      <x:c r="AB26" s="39" t="n">
        <x:v>0.0943669881</x:v>
      </x:c>
      <x:c r="AC26" s="39" t="n">
        <x:v>0.1169562829</x:v>
      </x:c>
      <x:c r="AD26" s="39" t="n">
        <x:v>-0.1490014716</x:v>
      </x:c>
      <x:c r="AE26" s="39" t="n">
        <x:v>-0.0356178763</x:v>
      </x:c>
      <x:c r="AF26" s="39" t="n">
        <x:v>0.0437932431</x:v>
      </x:c>
      <x:c r="AG26" s="39" t="n">
        <x:v>-0.0749666258</x:v>
      </x:c>
      <x:c r="AH26" s="39" t="n">
        <x:v>0.2275774886</x:v>
      </x:c>
      <x:c r="AI26" s="39" t="n">
        <x:v>0.0385646135</x:v>
      </x:c>
      <x:c r="AJ26" s="39" t="n">
        <x:v>0.0082396538</x:v>
      </x:c>
      <x:c r="AK26" s="39" t="n">
        <x:v>0.0756038075</x:v>
      </x:c>
      <x:c r="AL26" s="39" t="n">
        <x:v>-0.0204465956</x:v>
      </x:c>
      <x:c r="AM26" s="39" t="n">
        <x:v>0.0679823726</x:v>
      </x:c>
      <x:c r="AN26" s="39" t="n">
        <x:v>-0.0172026439</x:v>
      </x:c>
      <x:c r="AO26" s="39" t="n">
        <x:v>-0.0034769701</x:v>
      </x:c>
      <x:c r="AP26" s="39" t="n">
        <x:v>-0.1029037207</x:v>
      </x:c>
      <x:c r="AQ26" s="39" t="n">
        <x:v>-0.0175297822</x:v>
      </x:c>
      <x:c r="AR26" s="39" t="n">
        <x:v>0.0260797237</x:v>
      </x:c>
    </x:row>
    <x:row r="27" ht="19" customHeight="1">
      <x:c r="A27" s="30" t="str">
        <x:v>CMCSA</x:v>
      </x:c>
      <x:c r="B27" s="39" t="n">
        <x:v>0.032121599</x:v>
      </x:c>
      <x:c r="C27" s="39" t="n">
        <x:v>0.0334769684</x:v>
      </x:c>
      <x:c r="D27" s="39" t="n">
        <x:v>-0.0591254923</x:v>
      </x:c>
      <x:c r="E27" s="39" t="n">
        <x:v>0.0612110846</x:v>
      </x:c>
      <x:c r="F27" s="39" t="n">
        <x:v>-0.0462765743</x:v>
      </x:c>
      <x:c r="G27" s="39" t="n">
        <x:v>0.0009281493</x:v>
      </x:c>
      <x:c r="H27" s="39" t="n">
        <x:v>0.0567828986</x:v>
      </x:c>
      <x:c r="I27" s="39" t="n">
        <x:v>-0.0007019338</x:v>
      </x:c>
      <x:c r="J27" s="39" t="n">
        <x:v>0.0512616678</x:v>
      </x:c>
      <x:c r="K27" s="39" t="n">
        <x:v>-0.0196135232</x:v>
      </x:c>
      <x:c r="L27" s="39" t="n">
        <x:v>0.0569528611</x:v>
      </x:c>
      <x:c r="M27" s="39" t="n">
        <x:v>0.1095643681</x:v>
      </x:c>
      <x:c r="N27" s="39" t="n">
        <x:v>0.164184112</x:v>
      </x:c>
      <x:c r="O27" s="39" t="n">
        <x:v>0.0570971583</x:v>
      </x:c>
      <x:c r="P27" s="39" t="n">
        <x:v>0.2695872589</x:v>
      </x:c>
      <x:c r="Q27" s="39" t="n">
        <x:v>0.0012607246</x:v>
      </x:c>
      <x:c r="R27" s="39" t="n">
        <x:v>0.1543572587</x:v>
      </x:c>
      <x:c r="S27" s="39" t="n">
        <x:v>0.2360012546</x:v>
      </x:c>
      <x:c r="T27" s="39" t="n">
        <x:v>-0.132464827</x:v>
      </x:c>
      <x:c r="U27" s="39" t="n">
        <x:v>-0.0793488843</x:v>
      </x:c>
      <x:c r="V27" s="39" t="n">
        <x:v>-0.0805206615</x:v>
      </x:c>
      <x:c r="W27" s="39" t="n">
        <x:v>0.0046606148</x:v>
      </x:c>
      <x:c r="X27" s="39" t="n">
        <x:v>-0.2916605388</x:v>
      </x:c>
      <x:c r="Y27" s="39" t="n">
        <x:v>0.0293645737</x:v>
      </x:c>
      <x:c r="Z27" s="39" t="n">
        <x:v>0.040899512</x:v>
      </x:c>
      <x:c r="AA27" s="39" t="n">
        <x:v>0.1123531093</x:v>
      </x:c>
      <x:c r="AB27" s="39" t="n">
        <x:v>-0.0380125665</x:v>
      </x:c>
      <x:c r="AC27" s="39" t="n">
        <x:v>-0.2192688177</x:v>
      </x:c>
      <x:c r="AD27" s="39" t="n">
        <x:v>0.2701176485</x:v>
      </x:c>
      <x:c r="AE27" s="39" t="n">
        <x:v>0.1083821091</x:v>
      </x:c>
      <x:c r="AF27" s="39" t="n">
        <x:v>0.193066653</x:v>
      </x:c>
      <x:c r="AG27" s="39" t="n">
        <x:v>-0.2701015141</x:v>
      </x:c>
      <x:c r="AH27" s="39" t="n">
        <x:v>-0.0528887728</x:v>
      </x:c>
      <x:c r="AI27" s="39" t="n">
        <x:v>0.1648016522</x:v>
      </x:c>
      <x:c r="AJ27" s="39" t="n">
        <x:v>0.017583911</x:v>
      </x:c>
      <x:c r="AK27" s="39" t="n">
        <x:v>0.249084275</x:v>
      </x:c>
      <x:c r="AL27" s="39" t="n">
        <x:v>-0.1870145874</x:v>
      </x:c>
      <x:c r="AM27" s="39" t="n">
        <x:v>0.1804073636</x:v>
      </x:c>
      <x:c r="AN27" s="39" t="n">
        <x:v>-0.0160810076</x:v>
      </x:c>
      <x:c r="AO27" s="39" t="n">
        <x:v>0.1307993181</x:v>
      </x:c>
      <x:c r="AP27" s="39" t="n">
        <x:v>-0.3340194711</x:v>
      </x:c>
      <x:c r="AQ27" s="39" t="n">
        <x:v>-0.2130236521</x:v>
      </x:c>
      <x:c r="AR27" s="39" t="n">
        <x:v>0.274549755</x:v>
      </x:c>
    </x:row>
    <x:row r="28" ht="19" customHeight="1">
      <x:c r="A28" s="30" t="str">
        <x:v>MU</x:v>
      </x:c>
      <x:c r="B28" s="39" t="n">
        <x:v>-0.3652308354</x:v>
      </x:c>
      <x:c r="C28" s="39" t="n">
        <x:v>-0.0804774047</x:v>
      </x:c>
      <x:c r="D28" s="39" t="n">
        <x:v>0.1942963495</x:v>
      </x:c>
      <x:c r="E28" s="39" t="n">
        <x:v>0.2286025547</x:v>
      </x:c>
      <x:c r="F28" s="39" t="n">
        <x:v>-0.2460847291</x:v>
      </x:c>
      <x:c r="G28" s="39" t="n">
        <x:v>0.3169800588</x:v>
      </x:c>
      <x:c r="H28" s="39" t="n">
        <x:v>0.0538209317</x:v>
      </x:c>
      <x:c r="I28" s="39" t="n">
        <x:v>-0.0312157736</x:v>
      </x:c>
      <x:c r="J28" s="39" t="n">
        <x:v>-0.0471885849</x:v>
      </x:c>
      <x:c r="K28" s="39" t="n">
        <x:v>0.1594111917</x:v>
      </x:c>
      <x:c r="L28" s="39" t="n">
        <x:v>-0.2272681998</x:v>
      </x:c>
      <x:c r="M28" s="39" t="n">
        <x:v>0.2602622715</x:v>
      </x:c>
      <x:c r="N28" s="39" t="n">
        <x:v>-0.1153350861</x:v>
      </x:c>
      <x:c r="O28" s="39" t="n">
        <x:v>-0.0685154305</x:v>
      </x:c>
      <x:c r="P28" s="39" t="n">
        <x:v>-0.0171169357</x:v>
      </x:c>
      <x:c r="Q28" s="39" t="n">
        <x:v>-0.3497115576</x:v>
      </x:c>
      <x:c r="R28" s="39" t="n">
        <x:v>0.175166103</x:v>
      </x:c>
      <x:c r="S28" s="39" t="n">
        <x:v>-0.0937708042</x:v>
      </x:c>
      <x:c r="T28" s="39" t="n">
        <x:v>-0.1005338865</x:v>
      </x:c>
      <x:c r="U28" s="39" t="n">
        <x:v>0.1590921887</x:v>
      </x:c>
      <x:c r="V28" s="39" t="n">
        <x:v>-0.0109732833</x:v>
      </x:c>
      <x:c r="W28" s="39" t="n">
        <x:v>-0.134798801</x:v>
      </x:c>
      <x:c r="X28" s="39" t="n">
        <x:v>0.0026100008</x:v>
      </x:c>
      <x:c r="Y28" s="39" t="n">
        <x:v>-0.1187321401</x:v>
      </x:c>
      <x:c r="Z28" s="39" t="n">
        <x:v>0.0242260086</x:v>
      </x:c>
      <x:c r="AA28" s="39" t="n">
        <x:v>-0.0171695794</x:v>
      </x:c>
      <x:c r="AB28" s="39" t="n">
        <x:v>0.2227126531</x:v>
      </x:c>
      <x:c r="AC28" s="39" t="n">
        <x:v>-0.2283449056</x:v>
      </x:c>
      <x:c r="AD28" s="39" t="n">
        <x:v>0.0152933778</x:v>
      </x:c>
      <x:c r="AE28" s="39" t="n">
        <x:v>0.2175189168</x:v>
      </x:c>
      <x:c r="AF28" s="39" t="n">
        <x:v>0.0461674003</x:v>
      </x:c>
      <x:c r="AG28" s="39" t="n">
        <x:v>-0.030327399</x:v>
      </x:c>
      <x:c r="AH28" s="39" t="n">
        <x:v>0.1560171749</x:v>
      </x:c>
      <x:c r="AI28" s="39" t="n">
        <x:v>-0.0651602141</x:v>
      </x:c>
      <x:c r="AJ28" s="39" t="n">
        <x:v>-0.0517790579</x:v>
      </x:c>
      <x:c r="AK28" s="39" t="n">
        <x:v>0.0680606498</x:v>
      </x:c>
      <x:c r="AL28" s="39" t="n">
        <x:v>0.0855308511</x:v>
      </x:c>
      <x:c r="AM28" s="39" t="n">
        <x:v>-0.0698545207</x:v>
      </x:c>
      <x:c r="AN28" s="39" t="n">
        <x:v>-0.0261688729</x:v>
      </x:c>
      <x:c r="AO28" s="39" t="n">
        <x:v>-0.0007755859</x:v>
      </x:c>
      <x:c r="AP28" s="39" t="n">
        <x:v>0.0789993408</x:v>
      </x:c>
      <x:c r="AQ28" s="39" t="n">
        <x:v>0.0400560301</x:v>
      </x:c>
      <x:c r="AR28" s="39" t="n">
        <x:v>-0.0214924051</x:v>
      </x:c>
    </x:row>
    <x:row r="29" ht="19" customHeight="1">
      <x:c r="A29" s="30" t="str">
        <x:v>NEM</x:v>
      </x:c>
      <x:c r="B29" s="39" t="n">
        <x:v>-0.0434938559</x:v>
      </x:c>
      <x:c r="C29" s="39" t="n">
        <x:v>0.0570463355</x:v>
      </x:c>
      <x:c r="D29" s="39" t="n">
        <x:v>0.0374523237</x:v>
      </x:c>
      <x:c r="E29" s="39" t="n">
        <x:v>-0.0602825445</x:v>
      </x:c>
      <x:c r="F29" s="39" t="n">
        <x:v>-0.232717863</x:v>
      </x:c>
      <x:c r="G29" s="39" t="n">
        <x:v>0.0229598917</x:v>
      </x:c>
      <x:c r="H29" s="39" t="n">
        <x:v>0.2649245644</x:v>
      </x:c>
      <x:c r="I29" s="39" t="n">
        <x:v>0.5481927387</x:v>
      </x:c>
      <x:c r="J29" s="39" t="n">
        <x:v>0.1038269431</x:v>
      </x:c>
      <x:c r="K29" s="39" t="n">
        <x:v>-0.0194898131</x:v>
      </x:c>
      <x:c r="L29" s="39" t="n">
        <x:v>-0.0056205426</x:v>
      </x:c>
      <x:c r="M29" s="39" t="n">
        <x:v>0.0018921964</x:v>
      </x:c>
      <x:c r="N29" s="39" t="n">
        <x:v>-0.0799860612</x:v>
      </x:c>
      <x:c r="O29" s="39" t="n">
        <x:v>0.0751722314</x:v>
      </x:c>
      <x:c r="P29" s="39" t="n">
        <x:v>-0.0505791211</x:v>
      </x:c>
      <x:c r="Q29" s="39" t="n">
        <x:v>0.2395724267</x:v>
      </x:c>
      <x:c r="R29" s="39" t="n">
        <x:v>-0.3459555699</x:v>
      </x:c>
      <x:c r="S29" s="39" t="n">
        <x:v>-0.0904994313</x:v>
      </x:c>
      <x:c r="T29" s="39" t="n">
        <x:v>0.0044790283</x:v>
      </x:c>
      <x:c r="U29" s="39" t="n">
        <x:v>-0.0649572502</x:v>
      </x:c>
      <x:c r="V29" s="39" t="n">
        <x:v>0.154154421</x:v>
      </x:c>
      <x:c r="W29" s="39" t="n">
        <x:v>-0.3177776903</x:v>
      </x:c>
      <x:c r="X29" s="39" t="n">
        <x:v>0.0392221234</x:v>
      </x:c>
      <x:c r="Y29" s="39" t="n">
        <x:v>-0.1399520242</x:v>
      </x:c>
      <x:c r="Z29" s="39" t="n">
        <x:v>-0.0934089361</x:v>
      </x:c>
      <x:c r="AA29" s="39" t="n">
        <x:v>-0.2150372509</x:v>
      </x:c>
      <x:c r="AB29" s="39" t="n">
        <x:v>0.1010185141</x:v>
      </x:c>
      <x:c r="AC29" s="39" t="n">
        <x:v>-0.1305150746</x:v>
      </x:c>
      <x:c r="AD29" s="39" t="n">
        <x:v>0.0804552753</x:v>
      </x:c>
      <x:c r="AE29" s="39" t="n">
        <x:v>-0.0807382268</x:v>
      </x:c>
      <x:c r="AF29" s="39" t="n">
        <x:v>0.1072505991</x:v>
      </x:c>
      <x:c r="AG29" s="39" t="n">
        <x:v>0.1229488599</x:v>
      </x:c>
      <x:c r="AH29" s="39" t="n">
        <x:v>0.0055684663</x:v>
      </x:c>
      <x:c r="AI29" s="39" t="n">
        <x:v>-0.1120207484</x:v>
      </x:c>
      <x:c r="AJ29" s="39" t="n">
        <x:v>0.1114167416</x:v>
      </x:c>
      <x:c r="AK29" s="39" t="n">
        <x:v>0.0800698567</x:v>
      </x:c>
      <x:c r="AL29" s="39" t="n">
        <x:v>-0.0106649148</x:v>
      </x:c>
      <x:c r="AM29" s="39" t="n">
        <x:v>0.0759811461</x:v>
      </x:c>
      <x:c r="AN29" s="39" t="n">
        <x:v>0.0216399714</x:v>
      </x:c>
      <x:c r="AO29" s="39" t="n">
        <x:v>0.094859156</x:v>
      </x:c>
      <x:c r="AP29" s="39" t="n">
        <x:v>-0.1781335795</x:v>
      </x:c>
      <x:c r="AQ29" s="39" t="n">
        <x:v>-0.0532445727</x:v>
      </x:c>
      <x:c r="AR29" s="39" t="n">
        <x:v>-0.0104297998</x:v>
      </x:c>
    </x:row>
    <x:row r="30" ht="19" customHeight="1">
      <x:c r="A30" s="30" t="str">
        <x:v>PGR</x:v>
      </x:c>
      <x:c r="B30" s="39" t="n">
        <x:v>0.0044272451</x:v>
      </x:c>
      <x:c r="C30" s="39" t="n">
        <x:v>-0.0237808754</x:v>
      </x:c>
      <x:c r="D30" s="39" t="n">
        <x:v>-0.0478469323</x:v>
      </x:c>
      <x:c r="E30" s="39" t="n">
        <x:v>-0.0298633116</x:v>
      </x:c>
      <x:c r="F30" s="39" t="n">
        <x:v>-0.0434201467</x:v>
      </x:c>
      <x:c r="G30" s="39" t="n">
        <x:v>0.0256216121</x:v>
      </x:c>
      <x:c r="H30" s="39" t="n">
        <x:v>-0.0296808573</x:v>
      </x:c>
      <x:c r="I30" s="39" t="n">
        <x:v>-0.0120046481</x:v>
      </x:c>
      <x:c r="J30" s="39" t="n">
        <x:v>0.0078672101</x:v>
      </x:c>
      <x:c r="K30" s="39" t="n">
        <x:v>0.0028565126</x:v>
      </x:c>
      <x:c r="L30" s="39" t="n">
        <x:v>-0.040151434</x:v>
      </x:c>
      <x:c r="M30" s="39" t="n">
        <x:v>0.0866049671</x:v>
      </x:c>
      <x:c r="N30" s="39" t="n">
        <x:v>0.0871604342</x:v>
      </x:c>
      <x:c r="O30" s="39" t="n">
        <x:v>-0.1424242076</x:v>
      </x:c>
      <x:c r="P30" s="39" t="n">
        <x:v>0.0215401114</x:v>
      </x:c>
      <x:c r="Q30" s="39" t="n">
        <x:v>0.1148965855</x:v>
      </x:c>
      <x:c r="R30" s="39" t="n">
        <x:v>-0.1289583806</x:v>
      </x:c>
      <x:c r="S30" s="39" t="n">
        <x:v>-0.1649956229</x:v>
      </x:c>
      <x:c r="T30" s="39" t="n">
        <x:v>-0.0010320118</x:v>
      </x:c>
      <x:c r="U30" s="39" t="n">
        <x:v>-0.3412355077</x:v>
      </x:c>
      <x:c r="V30" s="39" t="n">
        <x:v>-0.1077765067</x:v>
      </x:c>
      <x:c r="W30" s="39" t="n">
        <x:v>0.1249248848</x:v>
      </x:c>
      <x:c r="X30" s="39" t="n">
        <x:v>0.0197633759</x:v>
      </x:c>
      <x:c r="Y30" s="39" t="n">
        <x:v>0.2311418113</x:v>
      </x:c>
      <x:c r="Z30" s="39" t="n">
        <x:v>-0.0792982702</x:v>
      </x:c>
      <x:c r="AA30" s="39" t="n">
        <x:v>-0.1177292881</x:v>
      </x:c>
      <x:c r="AB30" s="39" t="n">
        <x:v>-0.3000928631</x:v>
      </x:c>
      <x:c r="AC30" s="39" t="n">
        <x:v>-0.1736444607</x:v>
      </x:c>
      <x:c r="AD30" s="39" t="n">
        <x:v>0.129097491</x:v>
      </x:c>
      <x:c r="AE30" s="39" t="n">
        <x:v>0.0684800628</x:v>
      </x:c>
      <x:c r="AF30" s="39" t="n">
        <x:v>0.3810007741</x:v>
      </x:c>
      <x:c r="AG30" s="39" t="n">
        <x:v>0.150853537</x:v>
      </x:c>
      <x:c r="AH30" s="39" t="n">
        <x:v>0.4030512796</x:v>
      </x:c>
      <x:c r="AI30" s="39" t="n">
        <x:v>0.1311860023</x:v>
      </x:c>
      <x:c r="AJ30" s="39" t="n">
        <x:v>-0.3113137523</x:v>
      </x:c>
      <x:c r="AK30" s="39" t="n">
        <x:v>0.0758965759</x:v>
      </x:c>
      <x:c r="AL30" s="39" t="n">
        <x:v>0.0725335819</x:v>
      </x:c>
      <x:c r="AM30" s="39" t="n">
        <x:v>-0.1939880344</x:v>
      </x:c>
      <x:c r="AN30" s="39" t="n">
        <x:v>-0.1057001439</x:v>
      </x:c>
      <x:c r="AO30" s="39" t="n">
        <x:v>-0.1233100681</x:v>
      </x:c>
      <x:c r="AP30" s="39" t="n">
        <x:v>0.0645804657</x:v>
      </x:c>
      <x:c r="AQ30" s="39" t="n">
        <x:v>0.1156880437</x:v>
      </x:c>
      <x:c r="AR30" s="39" t="n">
        <x:v>-0.0425420402</x:v>
      </x:c>
    </x:row>
    <x:row r="31" ht="19" customHeight="1">
      <x:c r="A31" s="30" t="str">
        <x:v>ORKA</x:v>
      </x:c>
      <x:c r="B31" s="39" t="n">
        <x:v>-0.136469599</x:v>
      </x:c>
      <x:c r="C31" s="39" t="n">
        <x:v>0.7806930308</x:v>
      </x:c>
      <x:c r="D31" s="39" t="n">
        <x:v>0.0144515473</x:v>
      </x:c>
      <x:c r="E31" s="39" t="n">
        <x:v>-0.371442727</x:v>
      </x:c>
      <x:c r="F31" s="39" t="n">
        <x:v>0.1050975087</x:v>
      </x:c>
      <x:c r="G31" s="39" t="n">
        <x:v>0.1812011657</x:v>
      </x:c>
      <x:c r="H31" s="39" t="n">
        <x:v>-0.0606244948</x:v>
      </x:c>
      <x:c r="I31" s="39" t="n">
        <x:v>0.1463871352</x:v>
      </x:c>
      <x:c r="J31" s="39" t="n">
        <x:v>-0.1062327547</x:v>
      </x:c>
      <x:c r="K31" s="39" t="n">
        <x:v>0.1204963554</x:v>
      </x:c>
      <x:c r="L31" s="39" t="n">
        <x:v>-0.0013236728</x:v>
      </x:c>
      <x:c r="M31" s="39" t="n">
        <x:v>0.0576685589</x:v>
      </x:c>
      <x:c r="N31" s="39" t="n">
        <x:v>0.057127477</x:v>
      </x:c>
      <x:c r="O31" s="39" t="n">
        <x:v>-0.1329510233</x:v>
      </x:c>
      <x:c r="P31" s="39" t="n">
        <x:v>-0.0959779233</x:v>
      </x:c>
      <x:c r="Q31" s="39" t="n">
        <x:v>-0.0738600673</x:v>
      </x:c>
      <x:c r="R31" s="39" t="n">
        <x:v>0.0868687277</x:v>
      </x:c>
      <x:c r="S31" s="39" t="n">
        <x:v>0.0447339413</x:v>
      </x:c>
      <x:c r="T31" s="39" t="n">
        <x:v>0.0665524096</x:v>
      </x:c>
      <x:c r="U31" s="39" t="n">
        <x:v>-0.0258756428</x:v>
      </x:c>
      <x:c r="V31" s="39" t="n">
        <x:v>0.0790015903</x:v>
      </x:c>
      <x:c r="W31" s="39" t="n">
        <x:v>0.0928571328</x:v>
      </x:c>
      <x:c r="X31" s="39" t="n">
        <x:v>-0.0367266591</x:v>
      </x:c>
      <x:c r="Y31" s="39" t="n">
        <x:v>-0.0151352982</x:v>
      </x:c>
      <x:c r="Z31" s="39" t="n">
        <x:v>-0.0106826719</x:v>
      </x:c>
      <x:c r="AA31" s="39" t="n">
        <x:v>0.074221879</x:v>
      </x:c>
      <x:c r="AB31" s="39" t="n">
        <x:v>0.0680056679</x:v>
      </x:c>
      <x:c r="AC31" s="39" t="n">
        <x:v>0.1045743471</x:v>
      </x:c>
      <x:c r="AD31" s="39" t="n">
        <x:v>0.1766650947</x:v>
      </x:c>
      <x:c r="AE31" s="39" t="n">
        <x:v>0.0680419277</x:v>
      </x:c>
      <x:c r="AF31" s="39" t="n">
        <x:v>0.024060777</x:v>
      </x:c>
      <x:c r="AG31" s="39" t="n">
        <x:v>0.0106032877</x:v>
      </x:c>
      <x:c r="AH31" s="39" t="n">
        <x:v>-0.0391590036</x:v>
      </x:c>
      <x:c r="AI31" s="39" t="n">
        <x:v>0.0297818803</x:v>
      </x:c>
      <x:c r="AJ31" s="39" t="n">
        <x:v>-0.0215670952</x:v>
      </x:c>
      <x:c r="AK31" s="39" t="n">
        <x:v>0.0121570231</x:v>
      </x:c>
      <x:c r="AL31" s="39" t="n">
        <x:v>0.0370315456</x:v>
      </x:c>
      <x:c r="AM31" s="39" t="n">
        <x:v>-0.0527734033</x:v>
      </x:c>
      <x:c r="AN31" s="39" t="n">
        <x:v>0.0127599016</x:v>
      </x:c>
      <x:c r="AO31" s="39" t="n">
        <x:v>0.0149366658</x:v>
      </x:c>
      <x:c r="AP31" s="39" t="n">
        <x:v>0.0594902335</x:v>
      </x:c>
      <x:c r="AQ31" s="39" t="n">
        <x:v>0.0069428607</x:v>
      </x:c>
      <x:c r="AR31" s="39" t="n">
        <x:v>0.0052407774</x:v>
      </x:c>
    </x:row>
    <x:row r="32" ht="19" customHeight="1">
      <x:c r="A32" s="30" t="str">
        <x:v>UPST</x:v>
      </x:c>
      <x:c r="B32" s="39" t="n">
        <x:v>0.5972112024</x:v>
      </x:c>
      <x:c r="C32" s="39" t="n">
        <x:v>0.1414401274</x:v>
      </x:c>
      <x:c r="D32" s="39" t="n">
        <x:v>0.6747984906</x:v>
      </x:c>
      <x:c r="E32" s="39" t="n">
        <x:v>0.0576431839</x:v>
      </x:c>
      <x:c r="F32" s="39" t="n">
        <x:v>-0.2353613556</x:v>
      </x:c>
      <x:c r="G32" s="39" t="n">
        <x:v>0.0903036954</x:v>
      </x:c>
      <x:c r="H32" s="39" t="n">
        <x:v>0.0770317797</x:v>
      </x:c>
      <x:c r="I32" s="39" t="n">
        <x:v>-0.0133919382</x:v>
      </x:c>
      <x:c r="J32" s="39" t="n">
        <x:v>-0.0222591365</x:v>
      </x:c>
      <x:c r="K32" s="39" t="n">
        <x:v>0.1290958407</x:v>
      </x:c>
      <x:c r="L32" s="39" t="n">
        <x:v>-0.0096338571</x:v>
      </x:c>
      <x:c r="M32" s="39" t="n">
        <x:v>-0.1139588875</x:v>
      </x:c>
      <x:c r="N32" s="39" t="n">
        <x:v>0.0176663239</x:v>
      </x:c>
      <x:c r="O32" s="39" t="n">
        <x:v>0.0309332084</x:v>
      </x:c>
      <x:c r="P32" s="39" t="n">
        <x:v>0.1700916605</x:v>
      </x:c>
      <x:c r="Q32" s="39" t="n">
        <x:v>0.0201022639</x:v>
      </x:c>
      <x:c r="R32" s="39" t="n">
        <x:v>0.1082653635</x:v>
      </x:c>
      <x:c r="S32" s="39" t="n">
        <x:v>0.0356013244</x:v>
      </x:c>
      <x:c r="T32" s="39" t="n">
        <x:v>0.0173961799</x:v>
      </x:c>
      <x:c r="U32" s="39" t="n">
        <x:v>0.0078797604</x:v>
      </x:c>
      <x:c r="V32" s="39" t="n">
        <x:v>-0.0707123864</x:v>
      </x:c>
      <x:c r="W32" s="39" t="n">
        <x:v>0.0012346152</x:v>
      </x:c>
      <x:c r="X32" s="39" t="n">
        <x:v>-0.0009625351</x:v>
      </x:c>
      <x:c r="Y32" s="39" t="n">
        <x:v>0.0442175879</x:v>
      </x:c>
      <x:c r="Z32" s="39" t="n">
        <x:v>-0.0258124342</x:v>
      </x:c>
      <x:c r="AA32" s="39" t="n">
        <x:v>-0.0203949148</x:v>
      </x:c>
      <x:c r="AB32" s="39" t="n">
        <x:v>0.0096204332</x:v>
      </x:c>
      <x:c r="AC32" s="39" t="n">
        <x:v>0.0277831661</x:v>
      </x:c>
      <x:c r="AD32" s="39" t="n">
        <x:v>-0.0103466987</x:v>
      </x:c>
      <x:c r="AE32" s="39" t="n">
        <x:v>0.0020960966</x:v>
      </x:c>
      <x:c r="AF32" s="39" t="n">
        <x:v>0.0171961146</x:v>
      </x:c>
      <x:c r="AG32" s="39" t="n">
        <x:v>0.0398307073</x:v>
      </x:c>
      <x:c r="AH32" s="39" t="n">
        <x:v>0.0343802381</x:v>
      </x:c>
      <x:c r="AI32" s="39" t="n">
        <x:v>-0.0099055897</x:v>
      </x:c>
      <x:c r="AJ32" s="39" t="n">
        <x:v>-0.0170964867</x:v>
      </x:c>
      <x:c r="AK32" s="39" t="n">
        <x:v>-0.0561574143</x:v>
      </x:c>
      <x:c r="AL32" s="39" t="n">
        <x:v>0.0083872435</x:v>
      </x:c>
      <x:c r="AM32" s="39" t="n">
        <x:v>-0.0019973883</x:v>
      </x:c>
      <x:c r="AN32" s="39" t="n">
        <x:v>0.0055520121</x:v>
      </x:c>
      <x:c r="AO32" s="39" t="n">
        <x:v>-0.0436114334</x:v>
      </x:c>
      <x:c r="AP32" s="39" t="n">
        <x:v>0.029945195</x:v>
      </x:c>
      <x:c r="AQ32" s="39" t="n">
        <x:v>0.0475345261</x:v>
      </x:c>
      <x:c r="AR32" s="39" t="n">
        <x:v>-0.0029456161</x:v>
      </x:c>
    </x:row>
    <x:row r="33" ht="19" customHeight="1">
      <x:c r="A33" s="30" t="str">
        <x:v>PG</x:v>
      </x:c>
      <x:c r="B33" s="39" t="n">
        <x:v>-0.046520748</x:v>
      </x:c>
      <x:c r="C33" s="39" t="n">
        <x:v>-0.016133555</x:v>
      </x:c>
      <x:c r="D33" s="39" t="n">
        <x:v>-0.0298720929</x:v>
      </x:c>
      <x:c r="E33" s="39" t="n">
        <x:v>0.0572851291</x:v>
      </x:c>
      <x:c r="F33" s="39" t="n">
        <x:v>-0.0490400271</x:v>
      </x:c>
      <x:c r="G33" s="39" t="n">
        <x:v>0.0393042943</x:v>
      </x:c>
      <x:c r="H33" s="39" t="n">
        <x:v>-0.0058356826</x:v>
      </x:c>
      <x:c r="I33" s="39" t="n">
        <x:v>-0.0432554054</x:v>
      </x:c>
      <x:c r="J33" s="39" t="n">
        <x:v>-0.0353745152</x:v>
      </x:c>
      <x:c r="K33" s="39" t="n">
        <x:v>-0.0160346292</x:v>
      </x:c>
      <x:c r="L33" s="39" t="n">
        <x:v>0.0261697788</x:v>
      </x:c>
      <x:c r="M33" s="39" t="n">
        <x:v>-0.0242901364</x:v>
      </x:c>
      <x:c r="N33" s="39" t="n">
        <x:v>0.0640273449</x:v>
      </x:c>
      <x:c r="O33" s="39" t="n">
        <x:v>-0.0086025293</x:v>
      </x:c>
      <x:c r="P33" s="39" t="n">
        <x:v>0.0205810487</x:v>
      </x:c>
      <x:c r="Q33" s="39" t="n">
        <x:v>0.0889480039</x:v>
      </x:c>
      <x:c r="R33" s="39" t="n">
        <x:v>0.0781766763</x:v>
      </x:c>
      <x:c r="S33" s="39" t="n">
        <x:v>-0.0885791098</x:v>
      </x:c>
      <x:c r="T33" s="39" t="n">
        <x:v>-0.058721092</x:v>
      </x:c>
      <x:c r="U33" s="39" t="n">
        <x:v>-0.1087549025</x:v>
      </x:c>
      <x:c r="V33" s="39" t="n">
        <x:v>0.0175002926</x:v>
      </x:c>
      <x:c r="W33" s="39" t="n">
        <x:v>-0.0496378891</x:v>
      </x:c>
      <x:c r="X33" s="39" t="n">
        <x:v>-0.0510319819</x:v>
      </x:c>
      <x:c r="Y33" s="39" t="n">
        <x:v>0.034175023</x:v>
      </x:c>
      <x:c r="Z33" s="39" t="n">
        <x:v>-0.0915116027</x:v>
      </x:c>
      <x:c r="AA33" s="39" t="n">
        <x:v>0.1271811039</x:v>
      </x:c>
      <x:c r="AB33" s="39" t="n">
        <x:v>-0.0096137289</x:v>
      </x:c>
      <x:c r="AC33" s="39" t="n">
        <x:v>0.1464737418</x:v>
      </x:c>
      <x:c r="AD33" s="39" t="n">
        <x:v>0.2011726546</x:v>
      </x:c>
      <x:c r="AE33" s="39" t="n">
        <x:v>0.172899396</x:v>
      </x:c>
      <x:c r="AF33" s="39" t="n">
        <x:v>-0.0094251204</x:v>
      </x:c>
      <x:c r="AG33" s="39" t="n">
        <x:v>-0.0006297272</x:v>
      </x:c>
      <x:c r="AH33" s="39" t="n">
        <x:v>0.107373062</x:v>
      </x:c>
      <x:c r="AI33" s="39" t="n">
        <x:v>0.0838390477</x:v>
      </x:c>
      <x:c r="AJ33" s="39" t="n">
        <x:v>0.2937732969</x:v>
      </x:c>
      <x:c r="AK33" s="39" t="n">
        <x:v>-0.2668435273</x:v>
      </x:c>
      <x:c r="AL33" s="39" t="n">
        <x:v>0.3453080688</x:v>
      </x:c>
      <x:c r="AM33" s="39" t="n">
        <x:v>0.4948350966</x:v>
      </x:c>
      <x:c r="AN33" s="39" t="n">
        <x:v>-0.3947357873</x:v>
      </x:c>
      <x:c r="AO33" s="39" t="n">
        <x:v>0.0216830586</x:v>
      </x:c>
      <x:c r="AP33" s="39" t="n">
        <x:v>-0.1274445184</x:v>
      </x:c>
      <x:c r="AQ33" s="39" t="n">
        <x:v>0.2162007559</x:v>
      </x:c>
      <x:c r="AR33" s="39" t="n">
        <x:v>-0.2459498694</x:v>
      </x:c>
    </x:row>
    <x:row r="34" ht="19" customHeight="1">
      <x:c r="A34" s="30" t="str">
        <x:v>F</x:v>
      </x:c>
      <x:c r="B34" s="39" t="n">
        <x:v>-0.0913591662</x:v>
      </x:c>
      <x:c r="C34" s="39" t="n">
        <x:v>-0.0897070622</x:v>
      </x:c>
      <x:c r="D34" s="39" t="n">
        <x:v>0.004091869</x:v>
      </x:c>
      <x:c r="E34" s="39" t="n">
        <x:v>0.0095943177</x:v>
      </x:c>
      <x:c r="F34" s="39" t="n">
        <x:v>-0.0159143593</x:v>
      </x:c>
      <x:c r="G34" s="39" t="n">
        <x:v>0.0248901091</x:v>
      </x:c>
      <x:c r="H34" s="39" t="n">
        <x:v>0.2385784331</x:v>
      </x:c>
      <x:c r="I34" s="39" t="n">
        <x:v>-0.12170034</x:v>
      </x:c>
      <x:c r="J34" s="39" t="n">
        <x:v>0.1424933936</x:v>
      </x:c>
      <x:c r="K34" s="39" t="n">
        <x:v>0.192917474</x:v>
      </x:c>
      <x:c r="L34" s="39" t="n">
        <x:v>-0.2466379543</x:v>
      </x:c>
      <x:c r="M34" s="39" t="n">
        <x:v>-0.1080830541</x:v>
      </x:c>
      <x:c r="N34" s="39" t="n">
        <x:v>0.3660657662</x:v>
      </x:c>
      <x:c r="O34" s="39" t="n">
        <x:v>0.2172082988</x:v>
      </x:c>
      <x:c r="P34" s="39" t="n">
        <x:v>-0.3142930304</x:v>
      </x:c>
      <x:c r="Q34" s="39" t="n">
        <x:v>-0.0913092107</x:v>
      </x:c>
      <x:c r="R34" s="39" t="n">
        <x:v>0.2928796169</x:v>
      </x:c>
      <x:c r="S34" s="39" t="n">
        <x:v>0.1762683238</x:v>
      </x:c>
      <x:c r="T34" s="39" t="n">
        <x:v>0.3765114713</x:v>
      </x:c>
      <x:c r="U34" s="39" t="n">
        <x:v>-0.0418484996</x:v>
      </x:c>
      <x:c r="V34" s="39" t="n">
        <x:v>0.0253873382</x:v>
      </x:c>
      <x:c r="W34" s="39" t="n">
        <x:v>-0.1014297411</x:v>
      </x:c>
      <x:c r="X34" s="39" t="n">
        <x:v>0.083961384</x:v>
      </x:c>
      <x:c r="Y34" s="39" t="n">
        <x:v>-0.0124201938</x:v>
      </x:c>
      <x:c r="Z34" s="39" t="n">
        <x:v>-0.0867763167</x:v>
      </x:c>
      <x:c r="AA34" s="39" t="n">
        <x:v>-0.0757703674</x:v>
      </x:c>
      <x:c r="AB34" s="39" t="n">
        <x:v>-0.1941519954</x:v>
      </x:c>
      <x:c r="AC34" s="39" t="n">
        <x:v>0.0025934362</x:v>
      </x:c>
      <x:c r="AD34" s="39" t="n">
        <x:v>0.2297539053</x:v>
      </x:c>
      <x:c r="AE34" s="39" t="n">
        <x:v>-0.1662410004</x:v>
      </x:c>
      <x:c r="AF34" s="39" t="n">
        <x:v>-0.0052036732</x:v>
      </x:c>
      <x:c r="AG34" s="39" t="n">
        <x:v>0.2408466761</x:v>
      </x:c>
      <x:c r="AH34" s="39" t="n">
        <x:v>-0.0650449383</x:v>
      </x:c>
      <x:c r="AI34" s="39" t="n">
        <x:v>0.0220128936</x:v>
      </x:c>
      <x:c r="AJ34" s="39" t="n">
        <x:v>0.048595067</x:v>
      </x:c>
      <x:c r="AK34" s="39" t="n">
        <x:v>-0.0187264322</x:v>
      </x:c>
      <x:c r="AL34" s="39" t="n">
        <x:v>-0.0670898267</x:v>
      </x:c>
      <x:c r="AM34" s="39" t="n">
        <x:v>-0.050900512</x:v>
      </x:c>
      <x:c r="AN34" s="39" t="n">
        <x:v>-0.0350666381</x:v>
      </x:c>
      <x:c r="AO34" s="39" t="n">
        <x:v>-0.007982701</x:v>
      </x:c>
      <x:c r="AP34" s="39" t="n">
        <x:v>-0.0863871884</x:v>
      </x:c>
      <x:c r="AQ34" s="39" t="n">
        <x:v>-0.0358243321</x:v>
      </x:c>
      <x:c r="AR34" s="39" t="n">
        <x:v>-0.008515816</x:v>
      </x:c>
    </x:row>
    <x:row r="35" ht="19" customHeight="1">
      <x:c r="A35" s="30" t="str">
        <x:v>HPE</x:v>
      </x:c>
      <x:c r="B35" s="39" t="n">
        <x:v>-0.0061244</x:v>
      </x:c>
      <x:c r="C35" s="39" t="n">
        <x:v>-0.0259337357</x:v>
      </x:c>
      <x:c r="D35" s="39" t="n">
        <x:v>0.0441181133</x:v>
      </x:c>
      <x:c r="E35" s="39" t="n">
        <x:v>0.0828601171</x:v>
      </x:c>
      <x:c r="F35" s="39" t="n">
        <x:v>-0.0204786154</x:v>
      </x:c>
      <x:c r="G35" s="39" t="n">
        <x:v>0.1281310096</x:v>
      </x:c>
      <x:c r="H35" s="39" t="n">
        <x:v>-0.3562296752</x:v>
      </x:c>
      <x:c r="I35" s="39" t="n">
        <x:v>0.2745591764</x:v>
      </x:c>
      <x:c r="J35" s="39" t="n">
        <x:v>0.060450609</x:v>
      </x:c>
      <x:c r="K35" s="39" t="n">
        <x:v>-0.0483634062</x:v>
      </x:c>
      <x:c r="L35" s="39" t="n">
        <x:v>-0.1440411286</x:v>
      </x:c>
      <x:c r="M35" s="39" t="n">
        <x:v>0.0368640309</x:v>
      </x:c>
      <x:c r="N35" s="39" t="n">
        <x:v>0.1160485557</x:v>
      </x:c>
      <x:c r="O35" s="39" t="n">
        <x:v>0.0889105572</x:v>
      </x:c>
      <x:c r="P35" s="39" t="n">
        <x:v>-0.1307469692</x:v>
      </x:c>
      <x:c r="Q35" s="39" t="n">
        <x:v>-0.0054499174</x:v>
      </x:c>
      <x:c r="R35" s="39" t="n">
        <x:v>-0.198242845</x:v>
      </x:c>
      <x:c r="S35" s="39" t="n">
        <x:v>0.5812737376</x:v>
      </x:c>
      <x:c r="T35" s="39" t="n">
        <x:v>0.0009917029</x:v>
      </x:c>
      <x:c r="U35" s="39" t="n">
        <x:v>-0.035331378</x:v>
      </x:c>
      <x:c r="V35" s="39" t="n">
        <x:v>-0.0008051695</x:v>
      </x:c>
      <x:c r="W35" s="39" t="n">
        <x:v>-0.067845743</x:v>
      </x:c>
      <x:c r="X35" s="39" t="n">
        <x:v>0.0551309575</x:v>
      </x:c>
      <x:c r="Y35" s="39" t="n">
        <x:v>0.1293755492</x:v>
      </x:c>
      <x:c r="Z35" s="39" t="n">
        <x:v>-0.1423551122</x:v>
      </x:c>
      <x:c r="AA35" s="39" t="n">
        <x:v>0.2138580301</x:v>
      </x:c>
      <x:c r="AB35" s="39" t="n">
        <x:v>-0.109048939</x:v>
      </x:c>
      <x:c r="AC35" s="39" t="n">
        <x:v>-0.097510466</x:v>
      </x:c>
      <x:c r="AD35" s="39" t="n">
        <x:v>-0.247460376</x:v>
      </x:c>
      <x:c r="AE35" s="39" t="n">
        <x:v>0.2369553955</x:v>
      </x:c>
      <x:c r="AF35" s="39" t="n">
        <x:v>-0.0789180289</x:v>
      </x:c>
      <x:c r="AG35" s="39" t="n">
        <x:v>0.0322743418</x:v>
      </x:c>
      <x:c r="AH35" s="39" t="n">
        <x:v>-0.0520064034</x:v>
      </x:c>
      <x:c r="AI35" s="39" t="n">
        <x:v>-0.0150446606</x:v>
      </x:c>
      <x:c r="AJ35" s="39" t="n">
        <x:v>-0.0878367902</x:v>
      </x:c>
      <x:c r="AK35" s="39" t="n">
        <x:v>-0.0040358921</x:v>
      </x:c>
      <x:c r="AL35" s="39" t="n">
        <x:v>0.1179823483</x:v>
      </x:c>
      <x:c r="AM35" s="39" t="n">
        <x:v>0.0552345039</x:v>
      </x:c>
      <x:c r="AN35" s="39" t="n">
        <x:v>0.0414897029</x:v>
      </x:c>
      <x:c r="AO35" s="39" t="n">
        <x:v>-0.2310690579</x:v>
      </x:c>
      <x:c r="AP35" s="39" t="n">
        <x:v>-0.0567174586</x:v>
      </x:c>
      <x:c r="AQ35" s="39" t="n">
        <x:v>0.0555767479</x:v>
      </x:c>
      <x:c r="AR35" s="39" t="n">
        <x:v>-0.0290536071</x:v>
      </x:c>
    </x:row>
    <x:row r="36" ht="19" customHeight="1">
      <x:c r="A36" s="30" t="str">
        <x:v>BA</x:v>
      </x:c>
      <x:c r="B36" s="39" t="n">
        <x:v>0.0264200004</x:v>
      </x:c>
      <x:c r="C36" s="39" t="n">
        <x:v>-0.0087144634</x:v>
      </x:c>
      <x:c r="D36" s="39" t="n">
        <x:v>-0.0647505666</x:v>
      </x:c>
      <x:c r="E36" s="39" t="n">
        <x:v>0.111824155</x:v>
      </x:c>
      <x:c r="F36" s="39" t="n">
        <x:v>-0.0007780998</x:v>
      </x:c>
      <x:c r="G36" s="39" t="n">
        <x:v>0.0002156828</x:v>
      </x:c>
      <x:c r="H36" s="39" t="n">
        <x:v>0.1244309732</x:v>
      </x:c>
      <x:c r="I36" s="39" t="n">
        <x:v>0.0250522727</x:v>
      </x:c>
      <x:c r="J36" s="39" t="n">
        <x:v>0.3458048451</x:v>
      </x:c>
      <x:c r="K36" s="39" t="n">
        <x:v>-0.010161138</x:v>
      </x:c>
      <x:c r="L36" s="39" t="n">
        <x:v>0.0850032436</x:v>
      </x:c>
      <x:c r="M36" s="39" t="n">
        <x:v>0.035645053</x:v>
      </x:c>
      <x:c r="N36" s="39" t="n">
        <x:v>0.0076018662</x:v>
      </x:c>
      <x:c r="O36" s="39" t="n">
        <x:v>0.0536114586</x:v>
      </x:c>
      <x:c r="P36" s="39" t="n">
        <x:v>0.3634782395</x:v>
      </x:c>
      <x:c r="Q36" s="39" t="n">
        <x:v>-0.2598949816</x:v>
      </x:c>
      <x:c r="R36" s="39" t="n">
        <x:v>-0.1019039268</x:v>
      </x:c>
      <x:c r="S36" s="39" t="n">
        <x:v>0.0893798878</x:v>
      </x:c>
      <x:c r="T36" s="39" t="n">
        <x:v>-0.1572294423</x:v>
      </x:c>
      <x:c r="U36" s="39" t="n">
        <x:v>0.115793321</x:v>
      </x:c>
      <x:c r="V36" s="39" t="n">
        <x:v>0.5272353791</x:v>
      </x:c>
      <x:c r="W36" s="39" t="n">
        <x:v>0.1469131002</x:v>
      </x:c>
      <x:c r="X36" s="39" t="n">
        <x:v>0.2292842543</x:v>
      </x:c>
      <x:c r="Y36" s="39" t="n">
        <x:v>0.0207499686</x:v>
      </x:c>
      <x:c r="Z36" s="39" t="n">
        <x:v>-0.0339022368</x:v>
      </x:c>
      <x:c r="AA36" s="39" t="n">
        <x:v>-0.0247468698</x:v>
      </x:c>
      <x:c r="AB36" s="39" t="n">
        <x:v>-0.0561247182</x:v>
      </x:c>
      <x:c r="AC36" s="39" t="n">
        <x:v>0.2149712075</x:v>
      </x:c>
      <x:c r="AD36" s="39" t="n">
        <x:v>0.267820569</x:v>
      </x:c>
      <x:c r="AE36" s="39" t="n">
        <x:v>0.0586237514</x:v>
      </x:c>
      <x:c r="AF36" s="39" t="n">
        <x:v>-0.0405747764</x:v>
      </x:c>
      <x:c r="AG36" s="39" t="n">
        <x:v>0.1381197011</x:v>
      </x:c>
      <x:c r="AH36" s="39" t="n">
        <x:v>-0.0508127914</x:v>
      </x:c>
      <x:c r="AI36" s="39" t="n">
        <x:v>0.140078805</x:v>
      </x:c>
      <x:c r="AJ36" s="39" t="n">
        <x:v>-0.135483772</x:v>
      </x:c>
      <x:c r="AK36" s="39" t="n">
        <x:v>0.0332816734</x:v>
      </x:c>
      <x:c r="AL36" s="39" t="n">
        <x:v>0.095878782</x:v>
      </x:c>
      <x:c r="AM36" s="39" t="n">
        <x:v>-0.0232964663</x:v>
      </x:c>
      <x:c r="AN36" s="39" t="n">
        <x:v>0.0293676723</x:v>
      </x:c>
      <x:c r="AO36" s="39" t="n">
        <x:v>-0.1323542529</x:v>
      </x:c>
      <x:c r="AP36" s="39" t="n">
        <x:v>0.0938021855</x:v>
      </x:c>
      <x:c r="AQ36" s="39" t="n">
        <x:v>-0.0234113978</x:v>
      </x:c>
      <x:c r="AR36" s="39" t="n">
        <x:v>-0.0208822504</x:v>
      </x:c>
    </x:row>
    <x:row r="37" ht="19" customHeight="1">
      <x:c r="A37" s="30" t="str">
        <x:v>HII</x:v>
      </x:c>
      <x:c r="B37" s="39" t="n">
        <x:v>-0.018386897</x:v>
      </x:c>
      <x:c r="C37" s="39" t="n">
        <x:v>-0.0073609069</x:v>
      </x:c>
      <x:c r="D37" s="39" t="n">
        <x:v>-0.02422494</x:v>
      </x:c>
      <x:c r="E37" s="39" t="n">
        <x:v>-0.0406873641</x:v>
      </x:c>
      <x:c r="F37" s="39" t="n">
        <x:v>-0.0654508834</x:v>
      </x:c>
      <x:c r="G37" s="39" t="n">
        <x:v>-0.0128574028</x:v>
      </x:c>
      <x:c r="H37" s="39" t="n">
        <x:v>0.4468593446</x:v>
      </x:c>
      <x:c r="I37" s="39" t="n">
        <x:v>0.21104937</x:v>
      </x:c>
      <x:c r="J37" s="39" t="n">
        <x:v>0.0410102352</x:v>
      </x:c>
      <x:c r="K37" s="39" t="n">
        <x:v>-0.2056050547</x:v>
      </x:c>
      <x:c r="L37" s="39" t="n">
        <x:v>0.0476306797</x:v>
      </x:c>
      <x:c r="M37" s="39" t="n">
        <x:v>0.0549451364</x:v>
      </x:c>
      <x:c r="N37" s="39" t="n">
        <x:v>-0.2594547838</x:v>
      </x:c>
      <x:c r="O37" s="39" t="n">
        <x:v>0.1728445682</x:v>
      </x:c>
      <x:c r="P37" s="39" t="n">
        <x:v>-0.1339810961</x:v>
      </x:c>
      <x:c r="Q37" s="39" t="n">
        <x:v>0.0395623533</x:v>
      </x:c>
      <x:c r="R37" s="39" t="n">
        <x:v>0.0970414773</x:v>
      </x:c>
      <x:c r="S37" s="39" t="n">
        <x:v>0.0712426945</x:v>
      </x:c>
      <x:c r="T37" s="39" t="n">
        <x:v>0.1817838535</x:v>
      </x:c>
      <x:c r="U37" s="39" t="n">
        <x:v>0.183910823</x:v>
      </x:c>
      <x:c r="V37" s="39" t="n">
        <x:v>-0.2355618654</x:v>
      </x:c>
      <x:c r="W37" s="39" t="n">
        <x:v>0.2721804455</x:v>
      </x:c>
      <x:c r="X37" s="39" t="n">
        <x:v>-0.0580664944</x:v>
      </x:c>
      <x:c r="Y37" s="39" t="n">
        <x:v>0.0986645171</x:v>
      </x:c>
      <x:c r="Z37" s="39" t="n">
        <x:v>0.3952034632</x:v>
      </x:c>
      <x:c r="AA37" s="39" t="n">
        <x:v>0.1665800754</x:v>
      </x:c>
      <x:c r="AB37" s="39" t="n">
        <x:v>-0.0048911333</x:v>
      </x:c>
      <x:c r="AC37" s="39" t="n">
        <x:v>0.0930193352</x:v>
      </x:c>
      <x:c r="AD37" s="39" t="n">
        <x:v>-0.0424916258</x:v>
      </x:c>
      <x:c r="AE37" s="39" t="n">
        <x:v>0.1576346296</x:v>
      </x:c>
      <x:c r="AF37" s="39" t="n">
        <x:v>-0.0271616072</x:v>
      </x:c>
      <x:c r="AG37" s="39" t="n">
        <x:v>0.0902771924</x:v>
      </x:c>
      <x:c r="AH37" s="39" t="n">
        <x:v>0.0980713494</x:v>
      </x:c>
      <x:c r="AI37" s="39" t="n">
        <x:v>0.1655623549</x:v>
      </x:c>
      <x:c r="AJ37" s="39" t="n">
        <x:v>-0.1818450844</x:v>
      </x:c>
      <x:c r="AK37" s="39" t="n">
        <x:v>-0.0229144122</x:v>
      </x:c>
      <x:c r="AL37" s="39" t="n">
        <x:v>0.1604680139</x:v>
      </x:c>
      <x:c r="AM37" s="39" t="n">
        <x:v>0.0481896392</x:v>
      </x:c>
      <x:c r="AN37" s="39" t="n">
        <x:v>0.0704017781</x:v>
      </x:c>
      <x:c r="AO37" s="39" t="n">
        <x:v>-0.1084536591</x:v>
      </x:c>
      <x:c r="AP37" s="39" t="n">
        <x:v>-0.1101553441</x:v>
      </x:c>
      <x:c r="AQ37" s="39" t="n">
        <x:v>-0.0204241672</x:v>
      </x:c>
      <x:c r="AR37" s="39" t="n">
        <x:v>-0.0508337641</x:v>
      </x:c>
    </x:row>
    <x:row r="38" ht="19" customHeight="1">
      <x:c r="A38" s="30" t="str">
        <x:v>AMD</x:v>
      </x:c>
      <x:c r="B38" s="39" t="n">
        <x:v>-0.085106577</x:v>
      </x:c>
      <x:c r="C38" s="39" t="n">
        <x:v>0.1193720911</x:v>
      </x:c>
      <x:c r="D38" s="39" t="n">
        <x:v>0.0055008921</x:v>
      </x:c>
      <x:c r="E38" s="39" t="n">
        <x:v>-0.1159407813</x:v>
      </x:c>
      <x:c r="F38" s="39" t="n">
        <x:v>0.223573058</x:v>
      </x:c>
      <x:c r="G38" s="39" t="n">
        <x:v>0.2237274183</x:v>
      </x:c>
      <x:c r="H38" s="39" t="n">
        <x:v>0.3526405582</x:v>
      </x:c>
      <x:c r="I38" s="39" t="n">
        <x:v>-0.343472803</x:v>
      </x:c>
      <x:c r="J38" s="39" t="n">
        <x:v>0.0903291924</x:v>
      </x:c>
      <x:c r="K38" s="39" t="n">
        <x:v>0.1145633038</x:v>
      </x:c>
      <x:c r="L38" s="39" t="n">
        <x:v>0.0960228208</x:v>
      </x:c>
      <x:c r="M38" s="39" t="n">
        <x:v>0.2258216309</x:v>
      </x:c>
      <x:c r="N38" s="39" t="n">
        <x:v>0.1044663367</x:v>
      </x:c>
      <x:c r="O38" s="39" t="n">
        <x:v>0.3698539039</x:v>
      </x:c>
      <x:c r="P38" s="39" t="n">
        <x:v>0.2159233015</x:v>
      </x:c>
      <x:c r="Q38" s="39" t="n">
        <x:v>0.1576915401</x:v>
      </x:c>
      <x:c r="R38" s="39" t="n">
        <x:v>-0.1895176782</x:v>
      </x:c>
      <x:c r="S38" s="39" t="n">
        <x:v>0.0805970753</x:v>
      </x:c>
      <x:c r="T38" s="39" t="n">
        <x:v>-0.0078814348</x:v>
      </x:c>
      <x:c r="U38" s="39" t="n">
        <x:v>-0.1314994215</x:v>
      </x:c>
      <x:c r="V38" s="39" t="n">
        <x:v>-0.1619787452</x:v>
      </x:c>
      <x:c r="W38" s="39" t="n">
        <x:v>-0.0817282475</x:v>
      </x:c>
      <x:c r="X38" s="39" t="n">
        <x:v>0.1698123223</x:v>
      </x:c>
      <x:c r="Y38" s="39" t="n">
        <x:v>-0.0529956841</x:v>
      </x:c>
      <x:c r="Z38" s="39" t="n">
        <x:v>-0.1766776735</x:v>
      </x:c>
      <x:c r="AA38" s="39" t="n">
        <x:v>-0.1059027055</x:v>
      </x:c>
      <x:c r="AB38" s="39" t="n">
        <x:v>0.068636655</x:v>
      </x:c>
      <x:c r="AC38" s="39" t="n">
        <x:v>-0.0134073857</x:v>
      </x:c>
      <x:c r="AD38" s="39" t="n">
        <x:v>-0.2749990966</x:v>
      </x:c>
      <x:c r="AE38" s="39" t="n">
        <x:v>0.0759473017</x:v>
      </x:c>
      <x:c r="AF38" s="39" t="n">
        <x:v>-0.0269994374</x:v>
      </x:c>
      <x:c r="AG38" s="39" t="n">
        <x:v>-0.1866449983</x:v>
      </x:c>
      <x:c r="AH38" s="39" t="n">
        <x:v>0.0289340535</x:v>
      </x:c>
      <x:c r="AI38" s="39" t="n">
        <x:v>0.0048887283</x:v>
      </x:c>
      <x:c r="AJ38" s="39" t="n">
        <x:v>-0.036041292</x:v>
      </x:c>
      <x:c r="AK38" s="39" t="n">
        <x:v>-0.0099838263</x:v>
      </x:c>
      <x:c r="AL38" s="39" t="n">
        <x:v>0.0835483604</x:v>
      </x:c>
      <x:c r="AM38" s="39" t="n">
        <x:v>0.0417317335</x:v>
      </x:c>
      <x:c r="AN38" s="39" t="n">
        <x:v>0.0990423372</x:v>
      </x:c>
      <x:c r="AO38" s="39" t="n">
        <x:v>0.0025583771</x:v>
      </x:c>
      <x:c r="AP38" s="39" t="n">
        <x:v>0.0176731263</x:v>
      </x:c>
      <x:c r="AQ38" s="39" t="n">
        <x:v>0.0445806981</x:v>
      </x:c>
      <x:c r="AR38" s="39" t="n">
        <x:v>-0.1013293006</x:v>
      </x:c>
    </x:row>
    <x:row r="39" ht="19" customHeight="1">
      <x:c r="A39" s="30" t="str">
        <x:v>LLY</x:v>
      </x:c>
      <x:c r="B39" s="39" t="n">
        <x:v>-0.0215040763</x:v>
      </x:c>
      <x:c r="C39" s="39" t="n">
        <x:v>-0.0788619916</x:v>
      </x:c>
      <x:c r="D39" s="39" t="n">
        <x:v>0.0096548808</x:v>
      </x:c>
      <x:c r="E39" s="39" t="n">
        <x:v>0.0266287558</x:v>
      </x:c>
      <x:c r="F39" s="39" t="n">
        <x:v>-0.0862054563</x:v>
      </x:c>
      <x:c r="G39" s="39" t="n">
        <x:v>0.0264502909</x:v>
      </x:c>
      <x:c r="H39" s="39" t="n">
        <x:v>0.0765105292</x:v>
      </x:c>
      <x:c r="I39" s="39" t="n">
        <x:v>-0.1317257565</x:v>
      </x:c>
      <x:c r="J39" s="39" t="n">
        <x:v>-0.0837535893</x:v>
      </x:c>
      <x:c r="K39" s="39" t="n">
        <x:v>0.0359484431</x:v>
      </x:c>
      <x:c r="L39" s="39" t="n">
        <x:v>-0.1194708521</x:v>
      </x:c>
      <x:c r="M39" s="39" t="n">
        <x:v>-0.0048186336</x:v>
      </x:c>
      <x:c r="N39" s="39" t="n">
        <x:v>0.0391324757</x:v>
      </x:c>
      <x:c r="O39" s="39" t="n">
        <x:v>-0.1827159646</x:v>
      </x:c>
      <x:c r="P39" s="39" t="n">
        <x:v>-0.1103417737</x:v>
      </x:c>
      <x:c r="Q39" s="39" t="n">
        <x:v>0.4372692818</x:v>
      </x:c>
      <x:c r="R39" s="39" t="n">
        <x:v>-0.029696432</x:v>
      </x:c>
      <x:c r="S39" s="39" t="n">
        <x:v>0.4333250177</x:v>
      </x:c>
      <x:c r="T39" s="39" t="n">
        <x:v>-0.1266543423</x:v>
      </x:c>
      <x:c r="U39" s="39" t="n">
        <x:v>0.1801097339</x:v>
      </x:c>
      <x:c r="V39" s="39" t="n">
        <x:v>0.1228191893</x:v>
      </x:c>
      <x:c r="W39" s="39" t="n">
        <x:v>0.3135085708</x:v>
      </x:c>
      <x:c r="X39" s="39" t="n">
        <x:v>0.1315536025</x:v>
      </x:c>
      <x:c r="Y39" s="39" t="n">
        <x:v>-0.0867717384</x:v>
      </x:c>
      <x:c r="Z39" s="39" t="n">
        <x:v>0.1515126356</x:v>
      </x:c>
      <x:c r="AA39" s="39" t="n">
        <x:v>-0.1390311175</x:v>
      </x:c>
      <x:c r="AB39" s="39" t="n">
        <x:v>0.1886865709</x:v>
      </x:c>
      <x:c r="AC39" s="39" t="n">
        <x:v>-0.0212422122</x:v>
      </x:c>
      <x:c r="AD39" s="39" t="n">
        <x:v>0.1335106866</x:v>
      </x:c>
      <x:c r="AE39" s="39" t="n">
        <x:v>-0.0540545586</x:v>
      </x:c>
      <x:c r="AF39" s="39" t="n">
        <x:v>0.2578565878</x:v>
      </x:c>
      <x:c r="AG39" s="39" t="n">
        <x:v>-0.1379766059</x:v>
      </x:c>
      <x:c r="AH39" s="39" t="n">
        <x:v>-0.0773833095</x:v>
      </x:c>
      <x:c r="AI39" s="39" t="n">
        <x:v>-0.0668385349</x:v>
      </x:c>
      <x:c r="AJ39" s="39" t="n">
        <x:v>0.0494092667</x:v>
      </x:c>
      <x:c r="AK39" s="39" t="n">
        <x:v>0.0538907829</x:v>
      </x:c>
      <x:c r="AL39" s="39" t="n">
        <x:v>0.0256586232</x:v>
      </x:c>
      <x:c r="AM39" s="39" t="n">
        <x:v>-0.1094738477</x:v>
      </x:c>
      <x:c r="AN39" s="39" t="n">
        <x:v>-0.1261738574</x:v>
      </x:c>
      <x:c r="AO39" s="39" t="n">
        <x:v>0.1591863002</x:v>
      </x:c>
      <x:c r="AP39" s="39" t="n">
        <x:v>0.1468882736</x:v>
      </x:c>
      <x:c r="AQ39" s="39" t="n">
        <x:v>0.0768406832</x:v>
      </x:c>
      <x:c r="AR39" s="39" t="n">
        <x:v>-0.2077013139</x:v>
      </x:c>
    </x:row>
    <x:row r="40" ht="19" customHeight="1">
      <x:c r="A40" s="30" t="str">
        <x:v>WELL</x:v>
      </x:c>
      <x:c r="B40" s="39" t="n">
        <x:v>-0.0224028213</x:v>
      </x:c>
      <x:c r="C40" s="39" t="n">
        <x:v>0.0059381502</x:v>
      </x:c>
      <x:c r="D40" s="39" t="n">
        <x:v>-0.010353244</x:v>
      </x:c>
      <x:c r="E40" s="39" t="n">
        <x:v>-0.0607306484</x:v>
      </x:c>
      <x:c r="F40" s="39" t="n">
        <x:v>0.0060425464</x:v>
      </x:c>
      <x:c r="G40" s="39" t="n">
        <x:v>0.0746445449</x:v>
      </x:c>
      <x:c r="H40" s="39" t="n">
        <x:v>-0.0455296905</x:v>
      </x:c>
      <x:c r="I40" s="39" t="n">
        <x:v>-0.089870916</x:v>
      </x:c>
      <x:c r="J40" s="39" t="n">
        <x:v>-0.0781518523</x:v>
      </x:c>
      <x:c r="K40" s="39" t="n">
        <x:v>0.007551944</x:v>
      </x:c>
      <x:c r="L40" s="39" t="n">
        <x:v>0.0291164885</x:v>
      </x:c>
      <x:c r="M40" s="39" t="n">
        <x:v>-0.1351739295</x:v>
      </x:c>
      <x:c r="N40" s="39" t="n">
        <x:v>0.3011854613</x:v>
      </x:c>
      <x:c r="O40" s="39" t="n">
        <x:v>-0.0297964326</x:v>
      </x:c>
      <x:c r="P40" s="39" t="n">
        <x:v>-0.001991618</x:v>
      </x:c>
      <x:c r="Q40" s="39" t="n">
        <x:v>0.1254060043</x:v>
      </x:c>
      <x:c r="R40" s="39" t="n">
        <x:v>0.1154514693</x:v>
      </x:c>
      <x:c r="S40" s="39" t="n">
        <x:v>-0.1536250895</x:v>
      </x:c>
      <x:c r="T40" s="39" t="n">
        <x:v>-0.0830985836</x:v>
      </x:c>
      <x:c r="U40" s="39" t="n">
        <x:v>-0.0810961699</x:v>
      </x:c>
      <x:c r="V40" s="39" t="n">
        <x:v>0.2284515603</x:v>
      </x:c>
      <x:c r="W40" s="39" t="n">
        <x:v>0.0406697587</x:v>
      </x:c>
      <x:c r="X40" s="39" t="n">
        <x:v>0.0991745602</x:v>
      </x:c>
      <x:c r="Y40" s="39" t="n">
        <x:v>-0.1534934283</x:v>
      </x:c>
      <x:c r="Z40" s="39" t="n">
        <x:v>0.3660335106</x:v>
      </x:c>
      <x:c r="AA40" s="39" t="n">
        <x:v>-0.0448950512</x:v>
      </x:c>
      <x:c r="AB40" s="39" t="n">
        <x:v>0.1102324783</x:v>
      </x:c>
      <x:c r="AC40" s="39" t="n">
        <x:v>-0.0863897904</x:v>
      </x:c>
      <x:c r="AD40" s="39" t="n">
        <x:v>-0.1500396017</x:v>
      </x:c>
      <x:c r="AE40" s="39" t="n">
        <x:v>0.1460502352</x:v>
      </x:c>
      <x:c r="AF40" s="39" t="n">
        <x:v>0.1016500592</x:v>
      </x:c>
      <x:c r="AG40" s="39" t="n">
        <x:v>0.1325576162</x:v>
      </x:c>
      <x:c r="AH40" s="39" t="n">
        <x:v>0.0771681797</x:v>
      </x:c>
      <x:c r="AI40" s="39" t="n">
        <x:v>-0.2409078648</x:v>
      </x:c>
      <x:c r="AJ40" s="39" t="n">
        <x:v>-0.1288864177</x:v>
      </x:c>
      <x:c r="AK40" s="39" t="n">
        <x:v>-0.0166917473</x:v>
      </x:c>
      <x:c r="AL40" s="39" t="n">
        <x:v>-0.1967474955</x:v>
      </x:c>
      <x:c r="AM40" s="39" t="n">
        <x:v>0.3495383557</x:v>
      </x:c>
      <x:c r="AN40" s="39" t="n">
        <x:v>0.1546747397</x:v>
      </x:c>
      <x:c r="AO40" s="39" t="n">
        <x:v>-0.4198663852</x:v>
      </x:c>
      <x:c r="AP40" s="39" t="n">
        <x:v>-0.1184970129</x:v>
      </x:c>
      <x:c r="AQ40" s="39" t="n">
        <x:v>-0.1478812265</x:v>
      </x:c>
      <x:c r="AR40" s="39" t="n">
        <x:v>-0.066286189</x:v>
      </x:c>
    </x:row>
    <x:row r="41" ht="19" customHeight="1">
      <x:c r="A41" s="30" t="str">
        <x:v>NOK</x:v>
      </x:c>
      <x:c r="B41" s="39" t="n">
        <x:v>-0.1935831011</x:v>
      </x:c>
      <x:c r="C41" s="39" t="n">
        <x:v>-0.1732030839</x:v>
      </x:c>
      <x:c r="D41" s="39" t="n">
        <x:v>0.0131908838</x:v>
      </x:c>
      <x:c r="E41" s="39" t="n">
        <x:v>-0.2407789194</x:v>
      </x:c>
      <x:c r="F41" s="39" t="n">
        <x:v>0.0881589507</x:v>
      </x:c>
      <x:c r="G41" s="39" t="n">
        <x:v>-0.1877591797</x:v>
      </x:c>
      <x:c r="H41" s="39" t="n">
        <x:v>0.0109014241</x:v>
      </x:c>
      <x:c r="I41" s="39" t="n">
        <x:v>0.1950264014</x:v>
      </x:c>
      <x:c r="J41" s="39" t="n">
        <x:v>-0.0445418159</x:v>
      </x:c>
      <x:c r="K41" s="39" t="n">
        <x:v>0.4637598318</x:v>
      </x:c>
      <x:c r="L41" s="39" t="n">
        <x:v>-0.3945959231</x:v>
      </x:c>
      <x:c r="M41" s="39" t="n">
        <x:v>-0.1964360097</x:v>
      </x:c>
      <x:c r="N41" s="39" t="n">
        <x:v>-0.0500118572</x:v>
      </x:c>
      <x:c r="O41" s="39" t="n">
        <x:v>0.0187642481</x:v>
      </x:c>
      <x:c r="P41" s="39" t="n">
        <x:v>0.3790083731</x:v>
      </x:c>
      <x:c r="Q41" s="39" t="n">
        <x:v>0.190883008</x:v>
      </x:c>
      <x:c r="R41" s="39" t="n">
        <x:v>0.0306844171</x:v>
      </x:c>
      <x:c r="S41" s="39" t="n">
        <x:v>-0.0107652198</x:v>
      </x:c>
      <x:c r="T41" s="39" t="n">
        <x:v>-0.0991447192</x:v>
      </x:c>
      <x:c r="U41" s="39" t="n">
        <x:v>0.0740706044</x:v>
      </x:c>
      <x:c r="V41" s="39" t="n">
        <x:v>-0.1740571487</x:v>
      </x:c>
      <x:c r="W41" s="39" t="n">
        <x:v>-0.0550529715</x:v>
      </x:c>
      <x:c r="X41" s="39" t="n">
        <x:v>-0.085129069</x:v>
      </x:c>
      <x:c r="Y41" s="39" t="n">
        <x:v>0.0817350975</x:v>
      </x:c>
      <x:c r="Z41" s="39" t="n">
        <x:v>-0.0225913994</x:v>
      </x:c>
      <x:c r="AA41" s="39" t="n">
        <x:v>0.0762535329</x:v>
      </x:c>
      <x:c r="AB41" s="39" t="n">
        <x:v>0.0763841572</x:v>
      </x:c>
      <x:c r="AC41" s="39" t="n">
        <x:v>0.216493224</x:v>
      </x:c>
      <x:c r="AD41" s="39" t="n">
        <x:v>0.0505535848</x:v>
      </x:c>
      <x:c r="AE41" s="39" t="n">
        <x:v>0.0712310134</x:v>
      </x:c>
      <x:c r="AF41" s="39" t="n">
        <x:v>-0.1031938849</x:v>
      </x:c>
      <x:c r="AG41" s="39" t="n">
        <x:v>0.0228219831</x:v>
      </x:c>
      <x:c r="AH41" s="39" t="n">
        <x:v>-0.0048739278</x:v>
      </x:c>
      <x:c r="AI41" s="39" t="n">
        <x:v>-0.0032029392</x:v>
      </x:c>
      <x:c r="AJ41" s="39" t="n">
        <x:v>-0.1936336723</x:v>
      </x:c>
      <x:c r="AK41" s="39" t="n">
        <x:v>-0.0146930502</x:v>
      </x:c>
      <x:c r="AL41" s="39" t="n">
        <x:v>-0.0899956519</x:v>
      </x:c>
      <x:c r="AM41" s="39" t="n">
        <x:v>0.0007615176</x:v>
      </x:c>
      <x:c r="AN41" s="39" t="n">
        <x:v>-0.0635851382</x:v>
      </x:c>
      <x:c r="AO41" s="39" t="n">
        <x:v>-0.082495091</x:v>
      </x:c>
      <x:c r="AP41" s="39" t="n">
        <x:v>0.0249449461</x:v>
      </x:c>
      <x:c r="AQ41" s="39" t="n">
        <x:v>-0.0005879567</x:v>
      </x:c>
      <x:c r="AR41" s="39" t="n">
        <x:v>-0.0118385596</x:v>
      </x:c>
    </x:row>
    <x:row r="42" ht="19" customHeight="1">
      <x:c r="A42" s="30" t="str">
        <x:v>MSFT</x:v>
      </x:c>
      <x:c r="B42" s="39" t="n">
        <x:v>0.0962436474</x:v>
      </x:c>
      <x:c r="C42" s="39" t="n">
        <x:v>0.0473190897</x:v>
      </x:c>
      <x:c r="D42" s="39" t="n">
        <x:v>-0.128306552</x:v>
      </x:c>
      <x:c r="E42" s="39" t="n">
        <x:v>-0.0202199443</x:v>
      </x:c>
      <x:c r="F42" s="39" t="n">
        <x:v>-0.0081504968</x:v>
      </x:c>
      <x:c r="G42" s="39" t="n">
        <x:v>0.0330228007</x:v>
      </x:c>
      <x:c r="H42" s="39" t="n">
        <x:v>0.1241384386</x:v>
      </x:c>
      <x:c r="I42" s="39" t="n">
        <x:v>0.1814872188</x:v>
      </x:c>
      <x:c r="J42" s="39" t="n">
        <x:v>-0.0075989138</x:v>
      </x:c>
      <x:c r="K42" s="39" t="n">
        <x:v>-0.1315981716</x:v>
      </x:c>
      <x:c r="L42" s="39" t="n">
        <x:v>-0.0159682359</x:v>
      </x:c>
      <x:c r="M42" s="39" t="n">
        <x:v>0.0242251288</x:v>
      </x:c>
      <x:c r="N42" s="39" t="n">
        <x:v>-0.010051452</x:v>
      </x:c>
      <x:c r="O42" s="39" t="n">
        <x:v>0.0788940545</x:v>
      </x:c>
      <x:c r="P42" s="39" t="n">
        <x:v>0.0586172313</x:v>
      </x:c>
      <x:c r="Q42" s="39" t="n">
        <x:v>-0.0019097353</x:v>
      </x:c>
      <x:c r="R42" s="39" t="n">
        <x:v>0.1718314895</x:v>
      </x:c>
      <x:c r="S42" s="39" t="n">
        <x:v>-0.0356540947</x:v>
      </x:c>
      <x:c r="T42" s="39" t="n">
        <x:v>0.0533644207</x:v>
      </x:c>
      <x:c r="U42" s="39" t="n">
        <x:v>0.0370943558</x:v>
      </x:c>
      <x:c r="V42" s="39" t="n">
        <x:v>-0.0200791804</x:v>
      </x:c>
      <x:c r="W42" s="39" t="n">
        <x:v>-0.1260223443</x:v>
      </x:c>
      <x:c r="X42" s="39" t="n">
        <x:v>0.0665399254</x:v>
      </x:c>
      <x:c r="Y42" s="39" t="n">
        <x:v>0.1853950892</x:v>
      </x:c>
      <x:c r="Z42" s="39" t="n">
        <x:v>-0.0285148705</x:v>
      </x:c>
      <x:c r="AA42" s="39" t="n">
        <x:v>0.0714951828</x:v>
      </x:c>
      <x:c r="AB42" s="39" t="n">
        <x:v>-0.0737963304</x:v>
      </x:c>
      <x:c r="AC42" s="39" t="n">
        <x:v>-0.3276628433</x:v>
      </x:c>
      <x:c r="AD42" s="39" t="n">
        <x:v>0.0583534882</x:v>
      </x:c>
      <x:c r="AE42" s="39" t="n">
        <x:v>-0.1753013195</x:v>
      </x:c>
      <x:c r="AF42" s="39" t="n">
        <x:v>-0.0740621316</x:v>
      </x:c>
      <x:c r="AG42" s="39" t="n">
        <x:v>-0.2093564407</x:v>
      </x:c>
      <x:c r="AH42" s="39" t="n">
        <x:v>-0.161113879</x:v>
      </x:c>
      <x:c r="AI42" s="39" t="n">
        <x:v>-0.080526498</x:v>
      </x:c>
      <x:c r="AJ42" s="39" t="n">
        <x:v>-0.1595919371</x:v>
      </x:c>
      <x:c r="AK42" s="39" t="n">
        <x:v>0.0877000774</x:v>
      </x:c>
      <x:c r="AL42" s="39" t="n">
        <x:v>-0.1309853068</x:v>
      </x:c>
      <x:c r="AM42" s="39" t="n">
        <x:v>0.2787688238</x:v>
      </x:c>
      <x:c r="AN42" s="39" t="n">
        <x:v>-0.2298567273</x:v>
      </x:c>
      <x:c r="AO42" s="39" t="n">
        <x:v>-0.1133059727</x:v>
      </x:c>
      <x:c r="AP42" s="39" t="n">
        <x:v>0.5922351579</x:v>
      </x:c>
      <x:c r="AQ42" s="39" t="n">
        <x:v>-0.0278293571</x:v>
      </x:c>
      <x:c r="AR42" s="39" t="n">
        <x:v>-0.1555259243</x:v>
      </x:c>
    </x:row>
    <x:row r="43" ht="19" customHeight="1">
      <x:c r="A43" s="30" t="str">
        <x:v>GOOGL</x:v>
      </x:c>
      <x:c r="B43" s="39" t="n">
        <x:v>-0.1035423828</x:v>
      </x:c>
      <x:c r="C43" s="39" t="n">
        <x:v>0.025032013</x:v>
      </x:c>
      <x:c r="D43" s="39" t="n">
        <x:v>0.1087561626</x:v>
      </x:c>
      <x:c r="E43" s="39" t="n">
        <x:v>0.0078495894</x:v>
      </x:c>
      <x:c r="F43" s="39" t="n">
        <x:v>-0.0749599935</x:v>
      </x:c>
      <x:c r="G43" s="39" t="n">
        <x:v>-0.0383338291</x:v>
      </x:c>
      <x:c r="H43" s="39" t="n">
        <x:v>-0.0099740513</x:v>
      </x:c>
      <x:c r="I43" s="39" t="n">
        <x:v>0.009282137</x:v>
      </x:c>
      <x:c r="J43" s="39" t="n">
        <x:v>-0.0127290952</x:v>
      </x:c>
      <x:c r="K43" s="39" t="n">
        <x:v>0.0093225734</x:v>
      </x:c>
      <x:c r="L43" s="39" t="n">
        <x:v>-0.0601396161</x:v>
      </x:c>
      <x:c r="M43" s="39" t="n">
        <x:v>-0.1489959021</x:v>
      </x:c>
      <x:c r="N43" s="39" t="n">
        <x:v>0.0124901199</x:v>
      </x:c>
      <x:c r="O43" s="39" t="n">
        <x:v>0.1367301802</x:v>
      </x:c>
      <x:c r="P43" s="39" t="n">
        <x:v>-0.0886371216</x:v>
      </x:c>
      <x:c r="Q43" s="39" t="n">
        <x:v>0.0988220001</x:v>
      </x:c>
      <x:c r="R43" s="39" t="n">
        <x:v>-0.0989843347</x:v>
      </x:c>
      <x:c r="S43" s="39" t="n">
        <x:v>-0.1884983468</x:v>
      </x:c>
      <x:c r="T43" s="39" t="n">
        <x:v>0.0808169316</x:v>
      </x:c>
      <x:c r="U43" s="39" t="n">
        <x:v>0.3028047292</x:v>
      </x:c>
      <x:c r="V43" s="39" t="n">
        <x:v>0.0836516566</x:v>
      </x:c>
      <x:c r="W43" s="39" t="n">
        <x:v>0.2448612904</x:v>
      </x:c>
      <x:c r="X43" s="39" t="n">
        <x:v>0.2295675364</x:v>
      </x:c>
      <x:c r="Y43" s="39" t="n">
        <x:v>-0.2350096565</x:v>
      </x:c>
      <x:c r="Z43" s="39" t="n">
        <x:v>-0.2989275049</x:v>
      </x:c>
      <x:c r="AA43" s="39" t="n">
        <x:v>0.4036316431</x:v>
      </x:c>
      <x:c r="AB43" s="39" t="n">
        <x:v>-0.2839646551</x:v>
      </x:c>
      <x:c r="AC43" s="39" t="n">
        <x:v>0.0085034927</x:v>
      </x:c>
      <x:c r="AD43" s="39" t="n">
        <x:v>0.0006744757</x:v>
      </x:c>
      <x:c r="AE43" s="39" t="n">
        <x:v>0.0031648666</x:v>
      </x:c>
      <x:c r="AF43" s="39" t="n">
        <x:v>0.1423069982</x:v>
      </x:c>
      <x:c r="AG43" s="39" t="n">
        <x:v>-0.263731354</x:v>
      </x:c>
      <x:c r="AH43" s="39" t="n">
        <x:v>0.2715143621</x:v>
      </x:c>
      <x:c r="AI43" s="39" t="n">
        <x:v>-0.1199871837</x:v>
      </x:c>
      <x:c r="AJ43" s="39" t="n">
        <x:v>-0.0223685786</x:v>
      </x:c>
      <x:c r="AK43" s="39" t="n">
        <x:v>0.012627947</x:v>
      </x:c>
      <x:c r="AL43" s="39" t="n">
        <x:v>-0.0445411462</x:v>
      </x:c>
      <x:c r="AM43" s="39" t="n">
        <x:v>0.1327895957</x:v>
      </x:c>
      <x:c r="AN43" s="39" t="n">
        <x:v>0.071125253</x:v>
      </x:c>
      <x:c r="AO43" s="39" t="n">
        <x:v>0.0957288325</x:v>
      </x:c>
      <x:c r="AP43" s="39" t="n">
        <x:v>0.0289692427</x:v>
      </x:c>
      <x:c r="AQ43" s="39" t="n">
        <x:v>-0.0928556242</x:v>
      </x:c>
      <x:c r="AR43" s="39" t="n">
        <x:v>0.1833967535</x:v>
      </x:c>
    </x:row>
    <x:row r="44" ht="19" customHeight="1">
      <x:c r="A44" s="30" t="str">
        <x:v>COST</x:v>
      </x:c>
      <x:c r="B44" s="39" t="n">
        <x:v>0.0216122617</x:v>
      </x:c>
      <x:c r="C44" s="39" t="n">
        <x:v>-0.0745432586</x:v>
      </x:c>
      <x:c r="D44" s="39" t="n">
        <x:v>-0.0038278364</x:v>
      </x:c>
      <x:c r="E44" s="39" t="n">
        <x:v>0.0234286351</x:v>
      </x:c>
      <x:c r="F44" s="39" t="n">
        <x:v>0.0617250415</x:v>
      </x:c>
      <x:c r="G44" s="39" t="n">
        <x:v>0.0428974329</x:v>
      </x:c>
      <x:c r="H44" s="39" t="n">
        <x:v>0.0093409502</x:v>
      </x:c>
      <x:c r="I44" s="39" t="n">
        <x:v>-0.0009689134</x:v>
      </x:c>
      <x:c r="J44" s="39" t="n">
        <x:v>-0.0506507763</x:v>
      </x:c>
      <x:c r="K44" s="39" t="n">
        <x:v>-0.0124857573</x:v>
      </x:c>
      <x:c r="L44" s="39" t="n">
        <x:v>0.060906254</x:v>
      </x:c>
      <x:c r="M44" s="39" t="n">
        <x:v>-0.0726236876</x:v>
      </x:c>
      <x:c r="N44" s="39" t="n">
        <x:v>0.0728583033</x:v>
      </x:c>
      <x:c r="O44" s="39" t="n">
        <x:v>-0.1431962459</x:v>
      </x:c>
      <x:c r="P44" s="39" t="n">
        <x:v>0.0861959416</x:v>
      </x:c>
      <x:c r="Q44" s="39" t="n">
        <x:v>0.0890235162</x:v>
      </x:c>
      <x:c r="R44" s="39" t="n">
        <x:v>0.0483041277</x:v>
      </x:c>
      <x:c r="S44" s="39" t="n">
        <x:v>0.0144798861</x:v>
      </x:c>
      <x:c r="T44" s="39" t="n">
        <x:v>-0.0555834549</x:v>
      </x:c>
      <x:c r="U44" s="39" t="n">
        <x:v>-0.1978454372</x:v>
      </x:c>
      <x:c r="V44" s="39" t="n">
        <x:v>-0.0841781014</x:v>
      </x:c>
      <x:c r="W44" s="39" t="n">
        <x:v>-0.1073519091</x:v>
      </x:c>
      <x:c r="X44" s="39" t="n">
        <x:v>0.1061207625</x:v>
      </x:c>
      <x:c r="Y44" s="39" t="n">
        <x:v>-0.2737781975</x:v>
      </x:c>
      <x:c r="Z44" s="39" t="n">
        <x:v>0.0876743974</x:v>
      </x:c>
      <x:c r="AA44" s="39" t="n">
        <x:v>0.2979012534</x:v>
      </x:c>
      <x:c r="AB44" s="39" t="n">
        <x:v>0.0247012059</x:v>
      </x:c>
      <x:c r="AC44" s="39" t="n">
        <x:v>-0.2377548045</x:v>
      </x:c>
      <x:c r="AD44" s="39" t="n">
        <x:v>0.2726259471</x:v>
      </x:c>
      <x:c r="AE44" s="39" t="n">
        <x:v>-0.2019031988</x:v>
      </x:c>
      <x:c r="AF44" s="39" t="n">
        <x:v>-0.172883579</x:v>
      </x:c>
      <x:c r="AG44" s="39" t="n">
        <x:v>0.0364390399</x:v>
      </x:c>
      <x:c r="AH44" s="39" t="n">
        <x:v>-0.1374613246</x:v>
      </x:c>
      <x:c r="AI44" s="39" t="n">
        <x:v>-0.0982558424</x:v>
      </x:c>
      <x:c r="AJ44" s="39" t="n">
        <x:v>-0.3558542115</x:v>
      </x:c>
      <x:c r="AK44" s="39" t="n">
        <x:v>-0.1272228301</x:v>
      </x:c>
      <x:c r="AL44" s="39" t="n">
        <x:v>0.4206833922</x:v>
      </x:c>
      <x:c r="AM44" s="39" t="n">
        <x:v>-0.0301149773</x:v>
      </x:c>
      <x:c r="AN44" s="39" t="n">
        <x:v>0.3064910577</x:v>
      </x:c>
      <x:c r="AO44" s="39" t="n">
        <x:v>0.1672956067</x:v>
      </x:c>
      <x:c r="AP44" s="39" t="n">
        <x:v>-0.0522253653</x:v>
      </x:c>
      <x:c r="AQ44" s="39" t="n">
        <x:v>0.10618719</x:v>
      </x:c>
      <x:c r="AR44" s="39" t="n">
        <x:v>0.0120910085</x:v>
      </x:c>
    </x:row>
    <x:row r="45" ht="19" customHeight="1">
      <x:c r="A45" s="30" t="str">
        <x:v>HD</x:v>
      </x:c>
      <x:c r="B45" s="39" t="n">
        <x:v>-0.0147922328</x:v>
      </x:c>
      <x:c r="C45" s="39" t="n">
        <x:v>-0.0463361682</x:v>
      </x:c>
      <x:c r="D45" s="39" t="n">
        <x:v>-0.0163061735</x:v>
      </x:c>
      <x:c r="E45" s="39" t="n">
        <x:v>0.1076351641</x:v>
      </x:c>
      <x:c r="F45" s="39" t="n">
        <x:v>-0.0686604381</x:v>
      </x:c>
      <x:c r="G45" s="39" t="n">
        <x:v>0.0755322924</x:v>
      </x:c>
      <x:c r="H45" s="39" t="n">
        <x:v>0.0014815727</x:v>
      </x:c>
      <x:c r="I45" s="39" t="n">
        <x:v>-0.0548500125</x:v>
      </x:c>
      <x:c r="J45" s="39" t="n">
        <x:v>0.0299237679</x:v>
      </x:c>
      <x:c r="K45" s="39" t="n">
        <x:v>-0.1096136554</x:v>
      </x:c>
      <x:c r="L45" s="39" t="n">
        <x:v>0.2246718555</x:v>
      </x:c>
      <x:c r="M45" s="39" t="n">
        <x:v>0.0981650091</x:v>
      </x:c>
      <x:c r="N45" s="39" t="n">
        <x:v>0.0415914449</x:v>
      </x:c>
      <x:c r="O45" s="39" t="n">
        <x:v>0.0897103205</x:v>
      </x:c>
      <x:c r="P45" s="39" t="n">
        <x:v>-0.0676752851</x:v>
      </x:c>
      <x:c r="Q45" s="39" t="n">
        <x:v>0.1512241484</x:v>
      </x:c>
      <x:c r="R45" s="39" t="n">
        <x:v>-0.05199287</x:v>
      </x:c>
      <x:c r="S45" s="39" t="n">
        <x:v>0.0574371624</x:v>
      </x:c>
      <x:c r="T45" s="39" t="n">
        <x:v>-0.0113838921</x:v>
      </x:c>
      <x:c r="U45" s="39" t="n">
        <x:v>-0.0805609811</x:v>
      </x:c>
      <x:c r="V45" s="39" t="n">
        <x:v>-0.1193014878</x:v>
      </x:c>
      <x:c r="W45" s="39" t="n">
        <x:v>-0.1218176805</x:v>
      </x:c>
      <x:c r="X45" s="39" t="n">
        <x:v>-0.1091348581</x:v>
      </x:c>
      <x:c r="Y45" s="39" t="n">
        <x:v>-0.0680271404</x:v>
      </x:c>
      <x:c r="Z45" s="39" t="n">
        <x:v>-0.1780449389</x:v>
      </x:c>
      <x:c r="AA45" s="39" t="n">
        <x:v>0.4015764319</x:v>
      </x:c>
      <x:c r="AB45" s="39" t="n">
        <x:v>0.4236255159</x:v>
      </x:c>
      <x:c r="AC45" s="39" t="n">
        <x:v>0.2257627473</x:v>
      </x:c>
      <x:c r="AD45" s="39" t="n">
        <x:v>0.2635765096</x:v>
      </x:c>
      <x:c r="AE45" s="39" t="n">
        <x:v>-0.1250769956</x:v>
      </x:c>
      <x:c r="AF45" s="39" t="n">
        <x:v>0.014327634</x:v>
      </x:c>
      <x:c r="AG45" s="39" t="n">
        <x:v>0.1182551594</x:v>
      </x:c>
      <x:c r="AH45" s="39" t="n">
        <x:v>0.1838029054</x:v>
      </x:c>
      <x:c r="AI45" s="39" t="n">
        <x:v>-0.0301026929</x:v>
      </x:c>
      <x:c r="AJ45" s="39" t="n">
        <x:v>-0.0007877554</x:v>
      </x:c>
      <x:c r="AK45" s="39" t="n">
        <x:v>-0.050998621</x:v>
      </x:c>
      <x:c r="AL45" s="39" t="n">
        <x:v>-0.2593044575</x:v>
      </x:c>
      <x:c r="AM45" s="39" t="n">
        <x:v>-0.2220380333</x:v>
      </x:c>
      <x:c r="AN45" s="39" t="n">
        <x:v>-0.0898082165</x:v>
      </x:c>
      <x:c r="AO45" s="39" t="n">
        <x:v>-0.3098018216</x:v>
      </x:c>
      <x:c r="AP45" s="39" t="n">
        <x:v>0.1167975467</x:v>
      </x:c>
      <x:c r="AQ45" s="39" t="n">
        <x:v>-0.0955317574</x:v>
      </x:c>
      <x:c r="AR45" s="39" t="n">
        <x:v>-0.0230339205</x:v>
      </x:c>
    </x:row>
    <x:row r="46" ht="19" customHeight="1">
      <x:c r="A46" s="30" t="str">
        <x:v>KO</x:v>
      </x:c>
      <x:c r="B46" s="39" t="n">
        <x:v>-0.0123205117</x:v>
      </x:c>
      <x:c r="C46" s="39" t="n">
        <x:v>-0.0443062498</x:v>
      </x:c>
      <x:c r="D46" s="39" t="n">
        <x:v>-0.0030568802</x:v>
      </x:c>
      <x:c r="E46" s="39" t="n">
        <x:v>-0.0375762917</x:v>
      </x:c>
      <x:c r="F46" s="39" t="n">
        <x:v>0.0134393577</x:v>
      </x:c>
      <x:c r="G46" s="39" t="n">
        <x:v>0.0164238393</x:v>
      </x:c>
      <x:c r="H46" s="39" t="n">
        <x:v>0.0523557775</x:v>
      </x:c>
      <x:c r="I46" s="39" t="n">
        <x:v>0.0433540047</x:v>
      </x:c>
      <x:c r="J46" s="39" t="n">
        <x:v>0.0278471554</x:v>
      </x:c>
      <x:c r="K46" s="39" t="n">
        <x:v>-0.0861841039</x:v>
      </x:c>
      <x:c r="L46" s="39" t="n">
        <x:v>-0.0243507127</x:v>
      </x:c>
      <x:c r="M46" s="39" t="n">
        <x:v>0.0108141506</x:v>
      </x:c>
      <x:c r="N46" s="39" t="n">
        <x:v>0.0747170883</x:v>
      </x:c>
      <x:c r="O46" s="39" t="n">
        <x:v>0.0060022726</x:v>
      </x:c>
      <x:c r="P46" s="39" t="n">
        <x:v>0.0095817007</x:v>
      </x:c>
      <x:c r="Q46" s="39" t="n">
        <x:v>0.0733698254</x:v>
      </x:c>
      <x:c r="R46" s="39" t="n">
        <x:v>0.0698279897</x:v>
      </x:c>
      <x:c r="S46" s="39" t="n">
        <x:v>-0.0320588391</x:v>
      </x:c>
      <x:c r="T46" s="39" t="n">
        <x:v>-0.007983257</x:v>
      </x:c>
      <x:c r="U46" s="39" t="n">
        <x:v>0.0084033325</x:v>
      </x:c>
      <x:c r="V46" s="39" t="n">
        <x:v>0.0727206493</x:v>
      </x:c>
      <x:c r="W46" s="39" t="n">
        <x:v>0.0205033302</x:v>
      </x:c>
      <x:c r="X46" s="39" t="n">
        <x:v>-0.01410019</x:v>
      </x:c>
      <x:c r="Y46" s="39" t="n">
        <x:v>0.0220070208</x:v>
      </x:c>
      <x:c r="Z46" s="39" t="n">
        <x:v>0.0027827024</x:v>
      </x:c>
      <x:c r="AA46" s="39" t="n">
        <x:v>0.0910117881</x:v>
      </x:c>
      <x:c r="AB46" s="39" t="n">
        <x:v>0.0534062165</x:v>
      </x:c>
      <x:c r="AC46" s="39" t="n">
        <x:v>-0.0252576658</x:v>
      </x:c>
      <x:c r="AD46" s="39" t="n">
        <x:v>0.0278026518</x:v>
      </x:c>
      <x:c r="AE46" s="39" t="n">
        <x:v>0.0733099227</x:v>
      </x:c>
      <x:c r="AF46" s="39" t="n">
        <x:v>-0.0895030411</x:v>
      </x:c>
      <x:c r="AG46" s="39" t="n">
        <x:v>0.0755073061</x:v>
      </x:c>
      <x:c r="AH46" s="39" t="n">
        <x:v>0.057571849</x:v>
      </x:c>
      <x:c r="AI46" s="39" t="n">
        <x:v>0.1179199662</x:v>
      </x:c>
      <x:c r="AJ46" s="39" t="n">
        <x:v>0.1243225444</x:v>
      </x:c>
      <x:c r="AK46" s="39" t="n">
        <x:v>0.2053479968</x:v>
      </x:c>
      <x:c r="AL46" s="39" t="n">
        <x:v>-0.3192445999</x:v>
      </x:c>
      <x:c r="AM46" s="39" t="n">
        <x:v>0.0939946155</x:v>
      </x:c>
      <x:c r="AN46" s="39" t="n">
        <x:v>0.2907927351</x:v>
      </x:c>
      <x:c r="AO46" s="39" t="n">
        <x:v>0.0613757058</x:v>
      </x:c>
      <x:c r="AP46" s="39" t="n">
        <x:v>0.066473865</x:v>
      </x:c>
      <x:c r="AQ46" s="39" t="n">
        <x:v>0.7973493623</x:v>
      </x:c>
      <x:c r="AR46" s="39" t="n">
        <x:v>0.1149255746</x:v>
      </x:c>
    </x:row>
    <x:row r="47" ht="19" customHeight="1">
      <x:c r="A47" s="30" t="str">
        <x:v>JNJ</x:v>
      </x:c>
      <x:c r="B47" s="39" t="n">
        <x:v>-0.0171633128</x:v>
      </x:c>
      <x:c r="C47" s="39" t="n">
        <x:v>0.0205964758</x:v>
      </x:c>
      <x:c r="D47" s="39" t="n">
        <x:v>0.026279149</x:v>
      </x:c>
      <x:c r="E47" s="39" t="n">
        <x:v>-0.0123170602</x:v>
      </x:c>
      <x:c r="F47" s="39" t="n">
        <x:v>0.0348718419</x:v>
      </x:c>
      <x:c r="G47" s="39" t="n">
        <x:v>0.0331635364</x:v>
      </x:c>
      <x:c r="H47" s="39" t="n">
        <x:v>-0.0291271174</x:v>
      </x:c>
      <x:c r="I47" s="39" t="n">
        <x:v>-0.0128240296</x:v>
      </x:c>
      <x:c r="J47" s="39" t="n">
        <x:v>0.0747802683</x:v>
      </x:c>
      <x:c r="K47" s="39" t="n">
        <x:v>-0.0904089959</x:v>
      </x:c>
      <x:c r="L47" s="39" t="n">
        <x:v>0.068080644</x:v>
      </x:c>
      <x:c r="M47" s="39" t="n">
        <x:v>-0.0451272193</x:v>
      </x:c>
      <x:c r="N47" s="39" t="n">
        <x:v>0.021265295</x:v>
      </x:c>
      <x:c r="O47" s="39" t="n">
        <x:v>0.0132993836</x:v>
      </x:c>
      <x:c r="P47" s="39" t="n">
        <x:v>0.1042668071</x:v>
      </x:c>
      <x:c r="Q47" s="39" t="n">
        <x:v>0.0128133106</x:v>
      </x:c>
      <x:c r="R47" s="39" t="n">
        <x:v>-0.0293469831</x:v>
      </x:c>
      <x:c r="S47" s="39" t="n">
        <x:v>0.1503251872</x:v>
      </x:c>
      <x:c r="T47" s="39" t="n">
        <x:v>0.1480364371</x:v>
      </x:c>
      <x:c r="U47" s="39" t="n">
        <x:v>-0.0955522432</x:v>
      </x:c>
      <x:c r="V47" s="39" t="n">
        <x:v>0.1433649081</x:v>
      </x:c>
      <x:c r="W47" s="39" t="n">
        <x:v>0.0278241789</x:v>
      </x:c>
      <x:c r="X47" s="39" t="n">
        <x:v>-0.0422272505</x:v>
      </x:c>
      <x:c r="Y47" s="39" t="n">
        <x:v>-0.0337099436</x:v>
      </x:c>
      <x:c r="Z47" s="39" t="n">
        <x:v>0.1137217902</x:v>
      </x:c>
      <x:c r="AA47" s="39" t="n">
        <x:v>0.0021989123</x:v>
      </x:c>
      <x:c r="AB47" s="39" t="n">
        <x:v>0.0281602352</x:v>
      </x:c>
      <x:c r="AC47" s="39" t="n">
        <x:v>-0.0963373872</x:v>
      </x:c>
      <x:c r="AD47" s="39" t="n">
        <x:v>-0.052982667</x:v>
      </x:c>
      <x:c r="AE47" s="39" t="n">
        <x:v>0.203952889</x:v>
      </x:c>
      <x:c r="AF47" s="39" t="n">
        <x:v>-0.3371901614</x:v>
      </x:c>
      <x:c r="AG47" s="39" t="n">
        <x:v>0.1613092318</x:v>
      </x:c>
      <x:c r="AH47" s="39" t="n">
        <x:v>0.3508984987</x:v>
      </x:c>
      <x:c r="AI47" s="39" t="n">
        <x:v>-0.1566246965</x:v>
      </x:c>
      <x:c r="AJ47" s="39" t="n">
        <x:v>-0.217910662</x:v>
      </x:c>
      <x:c r="AK47" s="39" t="n">
        <x:v>-0.1968593803</x:v>
      </x:c>
      <x:c r="AL47" s="39" t="n">
        <x:v>-0.3079787873</x:v>
      </x:c>
      <x:c r="AM47" s="39" t="n">
        <x:v>-0.0116087209</x:v>
      </x:c>
      <x:c r="AN47" s="39" t="n">
        <x:v>-0.2541362478</x:v>
      </x:c>
      <x:c r="AO47" s="39" t="n">
        <x:v>0.5249278388</x:v>
      </x:c>
      <x:c r="AP47" s="39" t="n">
        <x:v>0.0294254951</x:v>
      </x:c>
      <x:c r="AQ47" s="39" t="n">
        <x:v>-0.0742183511</x:v>
      </x:c>
      <x:c r="AR47" s="39" t="n">
        <x:v>-0.0415888672</x:v>
      </x:c>
    </x:row>
    <x:row r="48" ht="19" customHeight="1">
      <x:c r="A48" s="30" t="str">
        <x:v>BRK-B</x:v>
      </x:c>
      <x:c r="B48" s="39" t="n">
        <x:v>-0.0130476874</x:v>
      </x:c>
      <x:c r="C48" s="39" t="n">
        <x:v>-0.0676401203</x:v>
      </x:c>
      <x:c r="D48" s="39" t="n">
        <x:v>-0.0309284953</x:v>
      </x:c>
      <x:c r="E48" s="39" t="n">
        <x:v>-0.0011319694</x:v>
      </x:c>
      <x:c r="F48" s="39" t="n">
        <x:v>-0.035534541</x:v>
      </x:c>
      <x:c r="G48" s="39" t="n">
        <x:v>-0.0214998723</x:v>
      </x:c>
      <x:c r="H48" s="39" t="n">
        <x:v>0.0168445872</x:v>
      </x:c>
      <x:c r="I48" s="39" t="n">
        <x:v>0.0112756631</x:v>
      </x:c>
      <x:c r="J48" s="39" t="n">
        <x:v>0.0002407664</x:v>
      </x:c>
      <x:c r="K48" s="39" t="n">
        <x:v>0.0504815052</x:v>
      </x:c>
      <x:c r="L48" s="39" t="n">
        <x:v>0.0301179875</x:v>
      </x:c>
      <x:c r="M48" s="39" t="n">
        <x:v>-0.0404716713</x:v>
      </x:c>
      <x:c r="N48" s="39" t="n">
        <x:v>0.109394679</x:v>
      </x:c>
      <x:c r="O48" s="39" t="n">
        <x:v>-0.0927188818</x:v>
      </x:c>
      <x:c r="P48" s="39" t="n">
        <x:v>-0.0193789378</x:v>
      </x:c>
      <x:c r="Q48" s="39" t="n">
        <x:v>0.1555556231</x:v>
      </x:c>
      <x:c r="R48" s="39" t="n">
        <x:v>0.0296447128</x:v>
      </x:c>
      <x:c r="S48" s="39" t="n">
        <x:v>0.0298448654</x:v>
      </x:c>
      <x:c r="T48" s="39" t="n">
        <x:v>-0.0054034605</x:v>
      </x:c>
      <x:c r="U48" s="39" t="n">
        <x:v>0.0053999827</x:v>
      </x:c>
      <x:c r="V48" s="39" t="n">
        <x:v>-0.0251073252</x:v>
      </x:c>
      <x:c r="W48" s="39" t="n">
        <x:v>-0.0983730155</x:v>
      </x:c>
      <x:c r="X48" s="39" t="n">
        <x:v>-0.0388445228</x:v>
      </x:c>
      <x:c r="Y48" s="39" t="n">
        <x:v>0.0444330846</x:v>
      </x:c>
      <x:c r="Z48" s="39" t="n">
        <x:v>-0.0328114225</x:v>
      </x:c>
      <x:c r="AA48" s="39" t="n">
        <x:v>-0.0192809953</x:v>
      </x:c>
      <x:c r="AB48" s="39" t="n">
        <x:v>0.0528741889</x:v>
      </x:c>
      <x:c r="AC48" s="39" t="n">
        <x:v>-0.0429733161</x:v>
      </x:c>
      <x:c r="AD48" s="39" t="n">
        <x:v>-0.0047130049</x:v>
      </x:c>
      <x:c r="AE48" s="39" t="n">
        <x:v>0.2802265963</x:v>
      </x:c>
      <x:c r="AF48" s="39" t="n">
        <x:v>0.0794732907</x:v>
      </x:c>
      <x:c r="AG48" s="39" t="n">
        <x:v>0.2032330472</x:v>
      </x:c>
      <x:c r="AH48" s="39" t="n">
        <x:v>0.0713622462</x:v>
      </x:c>
      <x:c r="AI48" s="39" t="n">
        <x:v>0.3552356178</x:v>
      </x:c>
      <x:c r="AJ48" s="39" t="n">
        <x:v>0.2386444715</x:v>
      </x:c>
      <x:c r="AK48" s="39" t="n">
        <x:v>-0.2167220617</x:v>
      </x:c>
      <x:c r="AL48" s="39" t="n">
        <x:v>0.0846654351</x:v>
      </x:c>
      <x:c r="AM48" s="39" t="n">
        <x:v>0.1145169005</x:v>
      </x:c>
      <x:c r="AN48" s="39" t="n">
        <x:v>0.4010056662</x:v>
      </x:c>
      <x:c r="AO48" s="39" t="n">
        <x:v>0.1576876578</x:v>
      </x:c>
      <x:c r="AP48" s="39" t="n">
        <x:v>0.4818239126</x:v>
      </x:c>
      <x:c r="AQ48" s="39" t="n">
        <x:v>-0.3009207146</x:v>
      </x:c>
      <x:c r="AR48" s="39" t="n">
        <x:v>0.1737430279</x:v>
      </x:c>
    </x:row>
  </x:sheetData>
  <x:pageMargins left="0.7" right="0.7" top="0.75" bottom="0.75" header="0.3" footer="0.3"/>
</x:worksheet>
</file>

<file path=xl/worksheets/sheet9.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15"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15" hidden="0" customWidth="1"/>
    <x:col min="31" max="31" width="15" hidden="0" customWidth="1"/>
    <x:col min="32" max="32" width="15" hidden="0" customWidth="1"/>
    <x:col min="33" max="33" width="15" hidden="0" customWidth="1"/>
    <x:col min="34" max="34" width="15" hidden="0" customWidth="1"/>
    <x:col min="35" max="35" width="15" hidden="0" customWidth="1"/>
    <x:col min="36" max="36" width="15" hidden="0" customWidth="1"/>
    <x:col min="37" max="37" width="15" hidden="0" customWidth="1"/>
    <x:col min="38" max="38" width="15" hidden="0" customWidth="1"/>
    <x:col min="39" max="39" width="15" hidden="0" customWidth="1"/>
    <x:col min="40" max="40" width="15" hidden="0" customWidth="1"/>
    <x:col min="41" max="41" width="15" hidden="0" customWidth="1"/>
    <x:col min="42" max="42" width="15" hidden="0" customWidth="1"/>
    <x:col min="43" max="43" width="15" hidden="0" customWidth="1"/>
    <x:col min="44" max="44"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c r="W1" s="24"/>
      <x:c r="X1" s="24"/>
      <x:c r="Y1" s="24"/>
      <x:c r="Z1" s="24"/>
      <x:c r="AA1" s="24"/>
      <x:c r="AB1" s="24"/>
      <x:c r="AC1" s="24"/>
      <x:c r="AD1" s="24"/>
      <x:c r="AE1" s="24"/>
      <x:c r="AF1" s="24"/>
      <x:c r="AG1" s="24"/>
      <x:c r="AH1" s="24"/>
      <x:c r="AI1" s="24"/>
      <x:c r="AJ1" s="24"/>
      <x:c r="AK1" s="24"/>
      <x:c r="AL1" s="24"/>
      <x:c r="AM1" s="24"/>
      <x:c r="AN1" s="24"/>
      <x:c r="AO1" s="24"/>
      <x:c r="AP1" s="24"/>
      <x:c r="AQ1" s="24"/>
      <x:c r="AR1" s="24"/>
    </x:row>
    <x:row r="2" ht="19" customHeight="1">
      <x:c r="A2" s="35" t="str">
        <x:v>Principal component scores</x:v>
      </x:c>
      <x:c r="B2" s="24"/>
      <x:c r="C2" s="24"/>
      <x:c r="D2" s="24"/>
      <x:c r="E2" s="24"/>
      <x:c r="F2" s="24"/>
      <x:c r="G2" s="24"/>
      <x:c r="H2" s="24"/>
      <x:c r="I2" s="24"/>
      <x:c r="J2" s="24"/>
      <x:c r="K2" s="24"/>
      <x:c r="L2" s="24"/>
      <x:c r="M2" s="24"/>
      <x:c r="N2" s="24"/>
      <x:c r="O2" s="24"/>
      <x:c r="P2" s="24"/>
      <x:c r="Q2" s="24"/>
      <x:c r="R2" s="24"/>
      <x:c r="S2" s="24"/>
      <x:c r="T2" s="24"/>
      <x:c r="U2" s="24"/>
      <x:c r="V2" s="24"/>
      <x:c r="W2" s="24"/>
      <x:c r="X2" s="24"/>
      <x:c r="Y2" s="24"/>
      <x:c r="Z2" s="24"/>
      <x:c r="AA2" s="24"/>
      <x:c r="AB2" s="24"/>
      <x:c r="AC2" s="24"/>
      <x:c r="AD2" s="24"/>
      <x:c r="AE2" s="24"/>
      <x:c r="AF2" s="24"/>
      <x:c r="AG2" s="24"/>
      <x:c r="AH2" s="24"/>
      <x:c r="AI2" s="24"/>
      <x:c r="AJ2" s="24"/>
      <x:c r="AK2" s="24"/>
      <x:c r="AL2" s="24"/>
      <x:c r="AM2" s="24"/>
      <x:c r="AN2" s="24"/>
      <x:c r="AO2" s="24"/>
      <x:c r="AP2" s="24"/>
      <x:c r="AQ2" s="24"/>
      <x:c r="AR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c r="W3" s="24"/>
      <x:c r="X3" s="24"/>
      <x:c r="Y3" s="24"/>
      <x:c r="Z3" s="24"/>
      <x:c r="AA3" s="24"/>
      <x:c r="AB3" s="24"/>
      <x:c r="AC3" s="24"/>
      <x:c r="AD3" s="24"/>
      <x:c r="AE3" s="24"/>
      <x:c r="AF3" s="24"/>
      <x:c r="AG3" s="24"/>
      <x:c r="AH3" s="24"/>
      <x:c r="AI3" s="24"/>
      <x:c r="AJ3" s="24"/>
      <x:c r="AK3" s="24"/>
      <x:c r="AL3" s="24"/>
      <x:c r="AM3" s="24"/>
      <x:c r="AN3" s="24"/>
      <x:c r="AO3" s="24"/>
      <x:c r="AP3" s="24"/>
      <x:c r="AQ3" s="24"/>
      <x:c r="AR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c r="W4" s="24"/>
      <x:c r="X4" s="24"/>
      <x:c r="Y4" s="24"/>
      <x:c r="Z4" s="24"/>
      <x:c r="AA4" s="24"/>
      <x:c r="AB4" s="24"/>
      <x:c r="AC4" s="24"/>
      <x:c r="AD4" s="24"/>
      <x:c r="AE4" s="24"/>
      <x:c r="AF4" s="24"/>
      <x:c r="AG4" s="24"/>
      <x:c r="AH4" s="24"/>
      <x:c r="AI4" s="24"/>
      <x:c r="AJ4" s="24"/>
      <x:c r="AK4" s="24"/>
      <x:c r="AL4" s="24"/>
      <x:c r="AM4" s="24"/>
      <x:c r="AN4" s="24"/>
      <x:c r="AO4" s="24"/>
      <x:c r="AP4" s="24"/>
      <x:c r="AQ4" s="24"/>
      <x:c r="AR4" s="24"/>
    </x:row>
    <x:row r="5" ht="42" customHeight="1">
      <x:c r="A5" s="36" t="str">
        <x:v>date</x:v>
      </x:c>
      <x:c r="B5" s="36" t="str">
        <x:v>PC1</x:v>
      </x:c>
      <x:c r="C5" s="36" t="str">
        <x:v>PC2</x:v>
      </x:c>
      <x:c r="D5" s="36" t="str">
        <x:v>PC3</x:v>
      </x:c>
      <x:c r="E5" s="36" t="str">
        <x:v>PC4</x:v>
      </x:c>
      <x:c r="F5" s="36" t="str">
        <x:v>PC5</x:v>
      </x:c>
      <x:c r="G5" s="36" t="str">
        <x:v>PC6</x:v>
      </x:c>
      <x:c r="H5" s="36" t="str">
        <x:v>PC7</x:v>
      </x:c>
      <x:c r="I5" s="36" t="str">
        <x:v>PC8</x:v>
      </x:c>
      <x:c r="J5" s="36" t="str">
        <x:v>PC9</x:v>
      </x:c>
      <x:c r="K5" s="36" t="str">
        <x:v>PC10</x:v>
      </x:c>
      <x:c r="L5" s="36" t="str">
        <x:v>PC11</x:v>
      </x:c>
      <x:c r="M5" s="36" t="str">
        <x:v>PC12</x:v>
      </x:c>
      <x:c r="N5" s="36" t="str">
        <x:v>PC13</x:v>
      </x:c>
      <x:c r="O5" s="36" t="str">
        <x:v>PC14</x:v>
      </x:c>
      <x:c r="P5" s="36" t="str">
        <x:v>PC15</x:v>
      </x:c>
      <x:c r="Q5" s="36" t="str">
        <x:v>PC16</x:v>
      </x:c>
      <x:c r="R5" s="36" t="str">
        <x:v>PC17</x:v>
      </x:c>
      <x:c r="S5" s="36" t="str">
        <x:v>PC18</x:v>
      </x:c>
      <x:c r="T5" s="36" t="str">
        <x:v>PC19</x:v>
      </x:c>
      <x:c r="U5" s="36" t="str">
        <x:v>PC20</x:v>
      </x:c>
      <x:c r="V5" s="36" t="str">
        <x:v>PC21</x:v>
      </x:c>
      <x:c r="W5" s="36" t="str">
        <x:v>PC22</x:v>
      </x:c>
      <x:c r="X5" s="36" t="str">
        <x:v>PC23</x:v>
      </x:c>
      <x:c r="Y5" s="36" t="str">
        <x:v>PC24</x:v>
      </x:c>
      <x:c r="Z5" s="36" t="str">
        <x:v>PC25</x:v>
      </x:c>
      <x:c r="AA5" s="36" t="str">
        <x:v>PC26</x:v>
      </x:c>
      <x:c r="AB5" s="36" t="str">
        <x:v>PC27</x:v>
      </x:c>
      <x:c r="AC5" s="36" t="str">
        <x:v>PC28</x:v>
      </x:c>
      <x:c r="AD5" s="36" t="str">
        <x:v>PC29</x:v>
      </x:c>
      <x:c r="AE5" s="36" t="str">
        <x:v>PC30</x:v>
      </x:c>
      <x:c r="AF5" s="36" t="str">
        <x:v>PC31</x:v>
      </x:c>
      <x:c r="AG5" s="36" t="str">
        <x:v>PC32</x:v>
      </x:c>
      <x:c r="AH5" s="36" t="str">
        <x:v>PC33</x:v>
      </x:c>
      <x:c r="AI5" s="36" t="str">
        <x:v>PC34</x:v>
      </x:c>
      <x:c r="AJ5" s="36" t="str">
        <x:v>PC35</x:v>
      </x:c>
      <x:c r="AK5" s="36" t="str">
        <x:v>PC36</x:v>
      </x:c>
      <x:c r="AL5" s="36" t="str">
        <x:v>PC37</x:v>
      </x:c>
      <x:c r="AM5" s="36" t="str">
        <x:v>PC38</x:v>
      </x:c>
      <x:c r="AN5" s="36" t="str">
        <x:v>PC39</x:v>
      </x:c>
      <x:c r="AO5" s="36" t="str">
        <x:v>PC40</x:v>
      </x:c>
      <x:c r="AP5" s="36" t="str">
        <x:v>PC41</x:v>
      </x:c>
      <x:c r="AQ5" s="36" t="str">
        <x:v>PC42</x:v>
      </x:c>
      <x:c r="AR5" s="36" t="str">
        <x:v>PC43</x:v>
      </x:c>
    </x:row>
    <x:row r="6" ht="19" customHeight="1">
      <x:c r="A6" s="40" t="d">
        <x:v>2021-04-26T00:00:00.000Z</x:v>
      </x:c>
      <x:c r="B6" s="39" t="n">
        <x:v>-0.1181538345</x:v>
      </x:c>
      <x:c r="C6" s="39" t="n">
        <x:v>-0.0437439589</x:v>
      </x:c>
      <x:c r="D6" s="39" t="n">
        <x:v>-0.0841697526</x:v>
      </x:c>
      <x:c r="E6" s="39" t="n">
        <x:v>0.0553094574</x:v>
      </x:c>
      <x:c r="F6" s="39" t="n">
        <x:v>0.1743259135</x:v>
      </x:c>
      <x:c r="G6" s="39" t="n">
        <x:v>-0.1080055598</x:v>
      </x:c>
      <x:c r="H6" s="39" t="n">
        <x:v>-0.0694651663</x:v>
      </x:c>
      <x:c r="I6" s="39" t="n">
        <x:v>0.0302894211</x:v>
      </x:c>
      <x:c r="J6" s="39" t="n">
        <x:v>0.0470696336</x:v>
      </x:c>
      <x:c r="K6" s="39" t="n">
        <x:v>-0.0494932888</x:v>
      </x:c>
      <x:c r="L6" s="39" t="n">
        <x:v>-0.0404024665</x:v>
      </x:c>
      <x:c r="M6" s="39" t="n">
        <x:v>-0.0300455096</x:v>
      </x:c>
      <x:c r="N6" s="39" t="n">
        <x:v>-0.0393139838</x:v>
      </x:c>
      <x:c r="O6" s="39" t="n">
        <x:v>-0.0103072237</x:v>
      </x:c>
      <x:c r="P6" s="39" t="n">
        <x:v>0.0245102105</x:v>
      </x:c>
      <x:c r="Q6" s="39" t="n">
        <x:v>0.0529873801</x:v>
      </x:c>
      <x:c r="R6" s="39" t="n">
        <x:v>-0.0551501628</x:v>
      </x:c>
      <x:c r="S6" s="39" t="n">
        <x:v>-0.0496362721</x:v>
      </x:c>
      <x:c r="T6" s="39" t="n">
        <x:v>-0.0254964</x:v>
      </x:c>
      <x:c r="U6" s="39" t="n">
        <x:v>0.0419239722</x:v>
      </x:c>
      <x:c r="V6" s="39" t="n">
        <x:v>-0.1282090639</x:v>
      </x:c>
      <x:c r="W6" s="39" t="n">
        <x:v>0.0221139756</x:v>
      </x:c>
      <x:c r="X6" s="39" t="n">
        <x:v>-0.0949974423</x:v>
      </x:c>
      <x:c r="Y6" s="39" t="n">
        <x:v>-0.0278439443</x:v>
      </x:c>
      <x:c r="Z6" s="39" t="n">
        <x:v>-0.0172647996</x:v>
      </x:c>
      <x:c r="AA6" s="39" t="n">
        <x:v>0.0396654278</x:v>
      </x:c>
      <x:c r="AB6" s="39" t="n">
        <x:v>-0.0398517477</x:v>
      </x:c>
      <x:c r="AC6" s="39" t="n">
        <x:v>-0.0210098393</x:v>
      </x:c>
      <x:c r="AD6" s="39" t="n">
        <x:v>-0.03415345</x:v>
      </x:c>
      <x:c r="AE6" s="39" t="n">
        <x:v>-0.0230276603</x:v>
      </x:c>
      <x:c r="AF6" s="39" t="n">
        <x:v>0.0101193527</x:v>
      </x:c>
      <x:c r="AG6" s="39" t="n">
        <x:v>0.0006870231</x:v>
      </x:c>
      <x:c r="AH6" s="39" t="n">
        <x:v>-0.0090239958</x:v>
      </x:c>
      <x:c r="AI6" s="39" t="n">
        <x:v>0.0146288915</x:v>
      </x:c>
      <x:c r="AJ6" s="39" t="n">
        <x:v>0.0113583962</x:v>
      </x:c>
      <x:c r="AK6" s="39" t="n">
        <x:v>0.0096710353</x:v>
      </x:c>
      <x:c r="AL6" s="39" t="n">
        <x:v>-0.0209172964</x:v>
      </x:c>
      <x:c r="AM6" s="39" t="n">
        <x:v>0.0028834105</x:v>
      </x:c>
      <x:c r="AN6" s="39" t="n">
        <x:v>0.0083013923</x:v>
      </x:c>
      <x:c r="AO6" s="39" t="n">
        <x:v>-0.0069737612</x:v>
      </x:c>
      <x:c r="AP6" s="39" t="n">
        <x:v>0.0134856533</x:v>
      </x:c>
      <x:c r="AQ6" s="39" t="n">
        <x:v>-0.0080562063</x:v>
      </x:c>
      <x:c r="AR6" s="39" t="n">
        <x:v>-0.0028107569</x:v>
      </x:c>
    </x:row>
    <x:row r="7" ht="19" customHeight="1">
      <x:c r="A7" s="40" t="d">
        <x:v>2021-05-24T00:00:00.000Z</x:v>
      </x:c>
      <x:c r="B7" s="39" t="n">
        <x:v>0.0958035807</x:v>
      </x:c>
      <x:c r="C7" s="39" t="n">
        <x:v>0.0129164045</x:v>
      </x:c>
      <x:c r="D7" s="39" t="n">
        <x:v>0.1574528741</x:v>
      </x:c>
      <x:c r="E7" s="39" t="n">
        <x:v>-0.0206045862</x:v>
      </x:c>
      <x:c r="F7" s="39" t="n">
        <x:v>-0.0297317927</x:v>
      </x:c>
      <x:c r="G7" s="39" t="n">
        <x:v>-0.0803702444</x:v>
      </x:c>
      <x:c r="H7" s="39" t="n">
        <x:v>0.1413812311</x:v>
      </x:c>
      <x:c r="I7" s="39" t="n">
        <x:v>0.0067837201</x:v>
      </x:c>
      <x:c r="J7" s="39" t="n">
        <x:v>0.0039483106</x:v>
      </x:c>
      <x:c r="K7" s="39" t="n">
        <x:v>0.0112073669</x:v>
      </x:c>
      <x:c r="L7" s="39" t="n">
        <x:v>-0.0578410504</x:v>
      </x:c>
      <x:c r="M7" s="39" t="n">
        <x:v>-0.1364655898</x:v>
      </x:c>
      <x:c r="N7" s="39" t="n">
        <x:v>0.0747815997</x:v>
      </x:c>
      <x:c r="O7" s="39" t="n">
        <x:v>0.0233317133</x:v>
      </x:c>
      <x:c r="P7" s="39" t="n">
        <x:v>0.0080394026</x:v>
      </x:c>
      <x:c r="Q7" s="39" t="n">
        <x:v>-0.004037139</x:v>
      </x:c>
      <x:c r="R7" s="39" t="n">
        <x:v>0.0381544409</x:v>
      </x:c>
      <x:c r="S7" s="39" t="n">
        <x:v>0.0630408738</x:v>
      </x:c>
      <x:c r="T7" s="39" t="n">
        <x:v>0.0058955054</x:v>
      </x:c>
      <x:c r="U7" s="39" t="n">
        <x:v>0.0006343865</x:v>
      </x:c>
      <x:c r="V7" s="39" t="n">
        <x:v>-0.0012076212</x:v>
      </x:c>
      <x:c r="W7" s="39" t="n">
        <x:v>-0.0421173968</x:v>
      </x:c>
      <x:c r="X7" s="39" t="n">
        <x:v>0.0542979189</x:v>
      </x:c>
      <x:c r="Y7" s="39" t="n">
        <x:v>-0.0045822553</x:v>
      </x:c>
      <x:c r="Z7" s="39" t="n">
        <x:v>-0.0661818928</x:v>
      </x:c>
      <x:c r="AA7" s="39" t="n">
        <x:v>-0.0370639059</x:v>
      </x:c>
      <x:c r="AB7" s="39" t="n">
        <x:v>0.0035233515</x:v>
      </x:c>
      <x:c r="AC7" s="39" t="n">
        <x:v>0.0126389124</x:v>
      </x:c>
      <x:c r="AD7" s="39" t="n">
        <x:v>0.0716141149</x:v>
      </x:c>
      <x:c r="AE7" s="39" t="n">
        <x:v>-0.0059162496</x:v>
      </x:c>
      <x:c r="AF7" s="39" t="n">
        <x:v>-0.0239081646</x:v>
      </x:c>
      <x:c r="AG7" s="39" t="n">
        <x:v>0.0116816673</x:v>
      </x:c>
      <x:c r="AH7" s="39" t="n">
        <x:v>-0.0079173372</x:v>
      </x:c>
      <x:c r="AI7" s="39" t="n">
        <x:v>-0.0076311165</x:v>
      </x:c>
      <x:c r="AJ7" s="39" t="n">
        <x:v>0.0204476518</x:v>
      </x:c>
      <x:c r="AK7" s="39" t="n">
        <x:v>-0.0043852287</x:v>
      </x:c>
      <x:c r="AL7" s="39" t="n">
        <x:v>-0.0089187341</x:v>
      </x:c>
      <x:c r="AM7" s="39" t="n">
        <x:v>-0.0221381462</x:v>
      </x:c>
      <x:c r="AN7" s="39" t="n">
        <x:v>-0.0118287366</x:v>
      </x:c>
      <x:c r="AO7" s="39" t="n">
        <x:v>0.0014842528</x:v>
      </x:c>
      <x:c r="AP7" s="39" t="n">
        <x:v>-0.007357902</x:v>
      </x:c>
      <x:c r="AQ7" s="39" t="n">
        <x:v>-0.0124851881</x:v>
      </x:c>
      <x:c r="AR7" s="39" t="n">
        <x:v>-0.0017352531</x:v>
      </x:c>
    </x:row>
    <x:row r="8" ht="19" customHeight="1">
      <x:c r="A8" s="40" t="d">
        <x:v>2021-06-21T00:00:00.000Z</x:v>
      </x:c>
      <x:c r="B8" s="39" t="n">
        <x:v>0.0800230691</x:v>
      </x:c>
      <x:c r="C8" s="39" t="n">
        <x:v>0.0168331062</x:v>
      </x:c>
      <x:c r="D8" s="39" t="n">
        <x:v>-0.0926548812</x:v>
      </x:c>
      <x:c r="E8" s="39" t="n">
        <x:v>0.1487579961</x:v>
      </x:c>
      <x:c r="F8" s="39" t="n">
        <x:v>0.1437696787</x:v>
      </x:c>
      <x:c r="G8" s="39" t="n">
        <x:v>0.0015045207</x:v>
      </x:c>
      <x:c r="H8" s="39" t="n">
        <x:v>0.0485058721</x:v>
      </x:c>
      <x:c r="I8" s="39" t="n">
        <x:v>0.0250388546</x:v>
      </x:c>
      <x:c r="J8" s="39" t="n">
        <x:v>-0.0327386712</x:v>
      </x:c>
      <x:c r="K8" s="39" t="n">
        <x:v>0.0563722623</x:v>
      </x:c>
      <x:c r="L8" s="39" t="n">
        <x:v>-0.0447782994</x:v>
      </x:c>
      <x:c r="M8" s="39" t="n">
        <x:v>0.0639546696</x:v>
      </x:c>
      <x:c r="N8" s="39" t="n">
        <x:v>0.0745206586</x:v>
      </x:c>
      <x:c r="O8" s="39" t="n">
        <x:v>0.0152509142</x:v>
      </x:c>
      <x:c r="P8" s="39" t="n">
        <x:v>-0.0465970063</x:v>
      </x:c>
      <x:c r="Q8" s="39" t="n">
        <x:v>0.0487350951</x:v>
      </x:c>
      <x:c r="R8" s="39" t="n">
        <x:v>0.0148514247</x:v>
      </x:c>
      <x:c r="S8" s="39" t="n">
        <x:v>-0.0544045269</x:v>
      </x:c>
      <x:c r="T8" s="39" t="n">
        <x:v>-0.0005043039</x:v>
      </x:c>
      <x:c r="U8" s="39" t="n">
        <x:v>-0.0025378565</x:v>
      </x:c>
      <x:c r="V8" s="39" t="n">
        <x:v>0.0740958662</x:v>
      </x:c>
      <x:c r="W8" s="39" t="n">
        <x:v>0.0516541219</x:v>
      </x:c>
      <x:c r="X8" s="39" t="n">
        <x:v>-0.0278879646</x:v>
      </x:c>
      <x:c r="Y8" s="39" t="n">
        <x:v>-0.0365064093</x:v>
      </x:c>
      <x:c r="Z8" s="39" t="n">
        <x:v>0.0854646111</x:v>
      </x:c>
      <x:c r="AA8" s="39" t="n">
        <x:v>0.0216600428</x:v>
      </x:c>
      <x:c r="AB8" s="39" t="n">
        <x:v>-0.0112378013</x:v>
      </x:c>
      <x:c r="AC8" s="39" t="n">
        <x:v>0.0695058908</x:v>
      </x:c>
      <x:c r="AD8" s="39" t="n">
        <x:v>0.0287509837</x:v>
      </x:c>
      <x:c r="AE8" s="39" t="n">
        <x:v>-0.0237272084</x:v>
      </x:c>
      <x:c r="AF8" s="39" t="n">
        <x:v>0.0115424312</x:v>
      </x:c>
      <x:c r="AG8" s="39" t="n">
        <x:v>-0.0223905004</x:v>
      </x:c>
      <x:c r="AH8" s="39" t="n">
        <x:v>-0.0292701636</x:v>
      </x:c>
      <x:c r="AI8" s="39" t="n">
        <x:v>0.0372432708</x:v>
      </x:c>
      <x:c r="AJ8" s="39" t="n">
        <x:v>-0.0210265287</x:v>
      </x:c>
      <x:c r="AK8" s="39" t="n">
        <x:v>-0.028337613</x:v>
      </x:c>
      <x:c r="AL8" s="39" t="n">
        <x:v>-0.0034747584</x:v>
      </x:c>
      <x:c r="AM8" s="39" t="n">
        <x:v>-0.0071571557</x:v>
      </x:c>
      <x:c r="AN8" s="39" t="n">
        <x:v>-0.0239679778</x:v>
      </x:c>
      <x:c r="AO8" s="39" t="n">
        <x:v>-0.0092970046</x:v>
      </x:c>
      <x:c r="AP8" s="39" t="n">
        <x:v>0.0060079299</x:v>
      </x:c>
      <x:c r="AQ8" s="39" t="n">
        <x:v>0.0103430226</x:v>
      </x:c>
      <x:c r="AR8" s="39" t="n">
        <x:v>-0.0074856819</x:v>
      </x:c>
    </x:row>
    <x:row r="9" ht="19" customHeight="1">
      <x:c r="A9" s="40" t="d">
        <x:v>2021-07-19T00:00:00.000Z</x:v>
      </x:c>
      <x:c r="B9" s="39" t="n">
        <x:v>0.0891476024</x:v>
      </x:c>
      <x:c r="C9" s="39" t="n">
        <x:v>0.0044783814</x:v>
      </x:c>
      <x:c r="D9" s="39" t="n">
        <x:v>0.06434744</x:v>
      </x:c>
      <x:c r="E9" s="39" t="n">
        <x:v>0.2661930582</x:v>
      </x:c>
      <x:c r="F9" s="39" t="n">
        <x:v>0.1939783247</x:v>
      </x:c>
      <x:c r="G9" s="39" t="n">
        <x:v>-0.183093163</x:v>
      </x:c>
      <x:c r="H9" s="39" t="n">
        <x:v>0.0781863088</x:v>
      </x:c>
      <x:c r="I9" s="39" t="n">
        <x:v>0.0773928635</x:v>
      </x:c>
      <x:c r="J9" s="39" t="n">
        <x:v>-0.1012449664</x:v>
      </x:c>
      <x:c r="K9" s="39" t="n">
        <x:v>-0.1282830369</x:v>
      </x:c>
      <x:c r="L9" s="39" t="n">
        <x:v>-0.1110815518</x:v>
      </x:c>
      <x:c r="M9" s="39" t="n">
        <x:v>-0.0140497121</x:v>
      </x:c>
      <x:c r="N9" s="39" t="n">
        <x:v>0.0946105375</x:v>
      </x:c>
      <x:c r="O9" s="39" t="n">
        <x:v>0.0560261201</x:v>
      </x:c>
      <x:c r="P9" s="39" t="n">
        <x:v>0.0654531426</x:v>
      </x:c>
      <x:c r="Q9" s="39" t="n">
        <x:v>0.0926641841</x:v>
      </x:c>
      <x:c r="R9" s="39" t="n">
        <x:v>-0.0458400709</x:v>
      </x:c>
      <x:c r="S9" s="39" t="n">
        <x:v>-0.0487800638</x:v>
      </x:c>
      <x:c r="T9" s="39" t="n">
        <x:v>-0.0143484369</x:v>
      </x:c>
      <x:c r="U9" s="39" t="n">
        <x:v>-0.027078641</x:v>
      </x:c>
      <x:c r="V9" s="39" t="n">
        <x:v>-0.0556037798</x:v>
      </x:c>
      <x:c r="W9" s="39" t="n">
        <x:v>-0.0187739512</x:v>
      </x:c>
      <x:c r="X9" s="39" t="n">
        <x:v>-0.0841154219</x:v>
      </x:c>
      <x:c r="Y9" s="39" t="n">
        <x:v>-0.0795556855</x:v>
      </x:c>
      <x:c r="Z9" s="39" t="n">
        <x:v>-0.0204498676</x:v>
      </x:c>
      <x:c r="AA9" s="39" t="n">
        <x:v>0.0327843757</x:v>
      </x:c>
      <x:c r="AB9" s="39" t="n">
        <x:v>0.0267730779</x:v>
      </x:c>
      <x:c r="AC9" s="39" t="n">
        <x:v>-0.0154993309</x:v>
      </x:c>
      <x:c r="AD9" s="39" t="n">
        <x:v>-0.0128364695</x:v>
      </x:c>
      <x:c r="AE9" s="39" t="n">
        <x:v>0.0108461662</x:v>
      </x:c>
      <x:c r="AF9" s="39" t="n">
        <x:v>0.0139920898</x:v>
      </x:c>
      <x:c r="AG9" s="39" t="n">
        <x:v>-0.0117059366</x:v>
      </x:c>
      <x:c r="AH9" s="39" t="n">
        <x:v>0.0055016762</x:v>
      </x:c>
      <x:c r="AI9" s="39" t="n">
        <x:v>0.0099418314</x:v>
      </x:c>
      <x:c r="AJ9" s="39" t="n">
        <x:v>-0.0049215186</x:v>
      </x:c>
      <x:c r="AK9" s="39" t="n">
        <x:v>-0.0133348165</x:v>
      </x:c>
      <x:c r="AL9" s="39" t="n">
        <x:v>-0.0518269732</x:v>
      </x:c>
      <x:c r="AM9" s="39" t="n">
        <x:v>0.0273789221</x:v>
      </x:c>
      <x:c r="AN9" s="39" t="n">
        <x:v>-0.0080227259</x:v>
      </x:c>
      <x:c r="AO9" s="39" t="n">
        <x:v>-0.0065347713</x:v>
      </x:c>
      <x:c r="AP9" s="39" t="n">
        <x:v>-0.0078021867</x:v>
      </x:c>
      <x:c r="AQ9" s="39" t="n">
        <x:v>-0.001093483</x:v>
      </x:c>
      <x:c r="AR9" s="39" t="n">
        <x:v>0.0133418592</x:v>
      </x:c>
    </x:row>
    <x:row r="10" ht="19" customHeight="1">
      <x:c r="A10" s="40" t="d">
        <x:v>2021-08-16T00:00:00.000Z</x:v>
      </x:c>
      <x:c r="B10" s="39" t="n">
        <x:v>0.2395137446</x:v>
      </x:c>
      <x:c r="C10" s="39" t="n">
        <x:v>0.0226732373</x:v>
      </x:c>
      <x:c r="D10" s="39" t="n">
        <x:v>0.2648822041</x:v>
      </x:c>
      <x:c r="E10" s="39" t="n">
        <x:v>0.1057362651</x:v>
      </x:c>
      <x:c r="F10" s="39" t="n">
        <x:v>0.030517738</x:v>
      </x:c>
      <x:c r="G10" s="39" t="n">
        <x:v>0.0333845021</x:v>
      </x:c>
      <x:c r="H10" s="39" t="n">
        <x:v>0.1022904858</x:v>
      </x:c>
      <x:c r="I10" s="39" t="n">
        <x:v>0.0038715938</x:v>
      </x:c>
      <x:c r="J10" s="39" t="n">
        <x:v>0.0370249377</x:v>
      </x:c>
      <x:c r="K10" s="39" t="n">
        <x:v>0.021350373</x:v>
      </x:c>
      <x:c r="L10" s="39" t="n">
        <x:v>0.0073699044</x:v>
      </x:c>
      <x:c r="M10" s="39" t="n">
        <x:v>-0.0307189392</x:v>
      </x:c>
      <x:c r="N10" s="39" t="n">
        <x:v>0.0800285154</x:v>
      </x:c>
      <x:c r="O10" s="39" t="n">
        <x:v>0.007212129</x:v>
      </x:c>
      <x:c r="P10" s="39" t="n">
        <x:v>0.1405327001</x:v>
      </x:c>
      <x:c r="Q10" s="39" t="n">
        <x:v>0.0947177405</x:v>
      </x:c>
      <x:c r="R10" s="39" t="n">
        <x:v>-0.012731928</x:v>
      </x:c>
      <x:c r="S10" s="39" t="n">
        <x:v>0.019797211</x:v>
      </x:c>
      <x:c r="T10" s="39" t="n">
        <x:v>0.0497990869</x:v>
      </x:c>
      <x:c r="U10" s="39" t="n">
        <x:v>0.0238637721</x:v>
      </x:c>
      <x:c r="V10" s="39" t="n">
        <x:v>-0.0994843694</x:v>
      </x:c>
      <x:c r="W10" s="39" t="n">
        <x:v>0.0251763133</x:v>
      </x:c>
      <x:c r="X10" s="39" t="n">
        <x:v>-0.0104247016</x:v>
      </x:c>
      <x:c r="Y10" s="39" t="n">
        <x:v>0.0009070059</x:v>
      </x:c>
      <x:c r="Z10" s="39" t="n">
        <x:v>-0.0528419558</x:v>
      </x:c>
      <x:c r="AA10" s="39" t="n">
        <x:v>0.0348020991</x:v>
      </x:c>
      <x:c r="AB10" s="39" t="n">
        <x:v>0.0197974403</x:v>
      </x:c>
      <x:c r="AC10" s="39" t="n">
        <x:v>0.0236836263</x:v>
      </x:c>
      <x:c r="AD10" s="39" t="n">
        <x:v>0.0157182056</x:v>
      </x:c>
      <x:c r="AE10" s="39" t="n">
        <x:v>-0.0168899288</x:v>
      </x:c>
      <x:c r="AF10" s="39" t="n">
        <x:v>-0.0025176426</x:v>
      </x:c>
      <x:c r="AG10" s="39" t="n">
        <x:v>-0.0476744928</x:v>
      </x:c>
      <x:c r="AH10" s="39" t="n">
        <x:v>0.0201089852</x:v>
      </x:c>
      <x:c r="AI10" s="39" t="n">
        <x:v>-0.0123265937</x:v>
      </x:c>
      <x:c r="AJ10" s="39" t="n">
        <x:v>-0.0424061252</x:v>
      </x:c>
      <x:c r="AK10" s="39" t="n">
        <x:v>0.0027320276</x:v>
      </x:c>
      <x:c r="AL10" s="39" t="n">
        <x:v>0.034155732</x:v>
      </x:c>
      <x:c r="AM10" s="39" t="n">
        <x:v>0.0559516765</x:v>
      </x:c>
      <x:c r="AN10" s="39" t="n">
        <x:v>0.0218357797</x:v>
      </x:c>
      <x:c r="AO10" s="39" t="n">
        <x:v>0.011472792</x:v>
      </x:c>
      <x:c r="AP10" s="39" t="n">
        <x:v>0.0011089101</x:v>
      </x:c>
      <x:c r="AQ10" s="39" t="n">
        <x:v>-0.0079557663</x:v>
      </x:c>
      <x:c r="AR10" s="39" t="n">
        <x:v>-0.0138897497</x:v>
      </x:c>
    </x:row>
    <x:row r="11" ht="19" customHeight="1">
      <x:c r="A11" s="40" t="d">
        <x:v>2021-09-13T00:00:00.000Z</x:v>
      </x:c>
      <x:c r="B11" s="39" t="n">
        <x:v>0.2347977073</x:v>
      </x:c>
      <x:c r="C11" s="39" t="n">
        <x:v>0.0190768895</x:v>
      </x:c>
      <x:c r="D11" s="39" t="n">
        <x:v>0.3330364977</x:v>
      </x:c>
      <x:c r="E11" s="39" t="n">
        <x:v>0.0072032137</x:v>
      </x:c>
      <x:c r="F11" s="39" t="n">
        <x:v>0.1274185522</x:v>
      </x:c>
      <x:c r="G11" s="39" t="n">
        <x:v>-0.0464485982</x:v>
      </x:c>
      <x:c r="H11" s="39" t="n">
        <x:v>-0.0395021224</x:v>
      </x:c>
      <x:c r="I11" s="39" t="n">
        <x:v>-0.0249156484</x:v>
      </x:c>
      <x:c r="J11" s="39" t="n">
        <x:v>0.0582828645</x:v>
      </x:c>
      <x:c r="K11" s="39" t="n">
        <x:v>0.1272047121</x:v>
      </x:c>
      <x:c r="L11" s="39" t="n">
        <x:v>0.0217807137</x:v>
      </x:c>
      <x:c r="M11" s="39" t="n">
        <x:v>0.1298681062</x:v>
      </x:c>
      <x:c r="N11" s="39" t="n">
        <x:v>-0.1026574532</x:v>
      </x:c>
      <x:c r="O11" s="39" t="n">
        <x:v>-0.0012039973</x:v>
      </x:c>
      <x:c r="P11" s="39" t="n">
        <x:v>-0.0699630127</x:v>
      </x:c>
      <x:c r="Q11" s="39" t="n">
        <x:v>-0.1111982314</x:v>
      </x:c>
      <x:c r="R11" s="39" t="n">
        <x:v>0.0920676923</x:v>
      </x:c>
      <x:c r="S11" s="39" t="n">
        <x:v>-0.0637468264</x:v>
      </x:c>
      <x:c r="T11" s="39" t="n">
        <x:v>0.0122327615</x:v>
      </x:c>
      <x:c r="U11" s="39" t="n">
        <x:v>-0.0466319719</x:v>
      </x:c>
      <x:c r="V11" s="39" t="n">
        <x:v>0.0578401185</x:v>
      </x:c>
      <x:c r="W11" s="39" t="n">
        <x:v>-0.0605243178</x:v>
      </x:c>
      <x:c r="X11" s="39" t="n">
        <x:v>-0.0022946719</x:v>
      </x:c>
      <x:c r="Y11" s="39" t="n">
        <x:v>0.0332568742</x:v>
      </x:c>
      <x:c r="Z11" s="39" t="n">
        <x:v>0.0307706554</x:v>
      </x:c>
      <x:c r="AA11" s="39" t="n">
        <x:v>0.0569151518</x:v>
      </x:c>
      <x:c r="AB11" s="39" t="n">
        <x:v>0.0020814664</x:v>
      </x:c>
      <x:c r="AC11" s="39" t="n">
        <x:v>0.0263627315</x:v>
      </x:c>
      <x:c r="AD11" s="39" t="n">
        <x:v>-0.0087560671</x:v>
      </x:c>
      <x:c r="AE11" s="39" t="n">
        <x:v>-0.0803356385</x:v>
      </x:c>
      <x:c r="AF11" s="39" t="n">
        <x:v>0.0614665854</x:v>
      </x:c>
      <x:c r="AG11" s="39" t="n">
        <x:v>-0.0003918589</x:v>
      </x:c>
      <x:c r="AH11" s="39" t="n">
        <x:v>0.0177512758</x:v>
      </x:c>
      <x:c r="AI11" s="39" t="n">
        <x:v>0.0099430835</x:v>
      </x:c>
      <x:c r="AJ11" s="39" t="n">
        <x:v>0.0485758987</x:v>
      </x:c>
      <x:c r="AK11" s="39" t="n">
        <x:v>-0.0379030465</x:v>
      </x:c>
      <x:c r="AL11" s="39" t="n">
        <x:v>-0.0011643136</x:v>
      </x:c>
      <x:c r="AM11" s="39" t="n">
        <x:v>0.0318552359</x:v>
      </x:c>
      <x:c r="AN11" s="39" t="n">
        <x:v>-0.0005862535</x:v>
      </x:c>
      <x:c r="AO11" s="39" t="n">
        <x:v>-0.0142131744</x:v>
      </x:c>
      <x:c r="AP11" s="39" t="n">
        <x:v>0.0114498711</x:v>
      </x:c>
      <x:c r="AQ11" s="39" t="n">
        <x:v>0.0023226443</x:v>
      </x:c>
      <x:c r="AR11" s="39" t="n">
        <x:v>-0.0025796196</x:v>
      </x:c>
    </x:row>
    <x:row r="12" ht="19" customHeight="1">
      <x:c r="A12" s="40" t="d">
        <x:v>2021-10-11T00:00:00.000Z</x:v>
      </x:c>
      <x:c r="B12" s="39" t="n">
        <x:v>0.2160315893</x:v>
      </x:c>
      <x:c r="C12" s="39" t="n">
        <x:v>-0.2093748766</x:v>
      </x:c>
      <x:c r="D12" s="39" t="n">
        <x:v>-0.0289515172</x:v>
      </x:c>
      <x:c r="E12" s="39" t="n">
        <x:v>-0.089484193</x:v>
      </x:c>
      <x:c r="F12" s="39" t="n">
        <x:v>-0.0234713026</x:v>
      </x:c>
      <x:c r="G12" s="39" t="n">
        <x:v>-0.0130284723</x:v>
      </x:c>
      <x:c r="H12" s="39" t="n">
        <x:v>0.0920292041</x:v>
      </x:c>
      <x:c r="I12" s="39" t="n">
        <x:v>-0.0772954819</x:v>
      </x:c>
      <x:c r="J12" s="39" t="n">
        <x:v>-0.0102632035</x:v>
      </x:c>
      <x:c r="K12" s="39" t="n">
        <x:v>0.0143718461</x:v>
      </x:c>
      <x:c r="L12" s="39" t="n">
        <x:v>0.0125642165</x:v>
      </x:c>
      <x:c r="M12" s="39" t="n">
        <x:v>-0.069574419</x:v>
      </x:c>
      <x:c r="N12" s="39" t="n">
        <x:v>-0.0237327289</x:v>
      </x:c>
      <x:c r="O12" s="39" t="n">
        <x:v>0.0335674942</x:v>
      </x:c>
      <x:c r="P12" s="39" t="n">
        <x:v>-0.0482084094</x:v>
      </x:c>
      <x:c r="Q12" s="39" t="n">
        <x:v>-0.0065486075</x:v>
      </x:c>
      <x:c r="R12" s="39" t="n">
        <x:v>0.0331239581</x:v>
      </x:c>
      <x:c r="S12" s="39" t="n">
        <x:v>0.0402047761</x:v>
      </x:c>
      <x:c r="T12" s="39" t="n">
        <x:v>0.0097594364</x:v>
      </x:c>
      <x:c r="U12" s="39" t="n">
        <x:v>0.0379939177</x:v>
      </x:c>
      <x:c r="V12" s="39" t="n">
        <x:v>0.0156741402</x:v>
      </x:c>
      <x:c r="W12" s="39" t="n">
        <x:v>0.0117397361</x:v>
      </x:c>
      <x:c r="X12" s="39" t="n">
        <x:v>0.0345250643</x:v>
      </x:c>
      <x:c r="Y12" s="39" t="n">
        <x:v>-0.003537349</x:v>
      </x:c>
      <x:c r="Z12" s="39" t="n">
        <x:v>-0.0997188322</x:v>
      </x:c>
      <x:c r="AA12" s="39" t="n">
        <x:v>-0.0424584325</x:v>
      </x:c>
      <x:c r="AB12" s="39" t="n">
        <x:v>0.0060741063</x:v>
      </x:c>
      <x:c r="AC12" s="39" t="n">
        <x:v>0.0173962815</x:v>
      </x:c>
      <x:c r="AD12" s="39" t="n">
        <x:v>-0.0024685183</x:v>
      </x:c>
      <x:c r="AE12" s="39" t="n">
        <x:v>0.0370942289</x:v>
      </x:c>
      <x:c r="AF12" s="39" t="n">
        <x:v>-0.03837489</x:v>
      </x:c>
      <x:c r="AG12" s="39" t="n">
        <x:v>-0.0526962932</x:v>
      </x:c>
      <x:c r="AH12" s="39" t="n">
        <x:v>0.0010933464</x:v>
      </x:c>
      <x:c r="AI12" s="39" t="n">
        <x:v>0.0021566921</x:v>
      </x:c>
      <x:c r="AJ12" s="39" t="n">
        <x:v>-0.0043849191</x:v>
      </x:c>
      <x:c r="AK12" s="39" t="n">
        <x:v>-0.0413421671</x:v>
      </x:c>
      <x:c r="AL12" s="39" t="n">
        <x:v>-0.0001048523</x:v>
      </x:c>
      <x:c r="AM12" s="39" t="n">
        <x:v>-0.0181325077</x:v>
      </x:c>
      <x:c r="AN12" s="39" t="n">
        <x:v>-0.0332280735</x:v>
      </x:c>
      <x:c r="AO12" s="39" t="n">
        <x:v>-0.0204993372</x:v>
      </x:c>
      <x:c r="AP12" s="39" t="n">
        <x:v>-0.0042289036</x:v>
      </x:c>
      <x:c r="AQ12" s="39" t="n">
        <x:v>0.0048952306</x:v>
      </x:c>
      <x:c r="AR12" s="39" t="n">
        <x:v>0.0005067683</x:v>
      </x:c>
    </x:row>
    <x:row r="13" ht="19" customHeight="1">
      <x:c r="A13" s="40" t="d">
        <x:v>2021-11-08T00:00:00.000Z</x:v>
      </x:c>
      <x:c r="B13" s="39" t="n">
        <x:v>-0.1812080538</x:v>
      </x:c>
      <x:c r="C13" s="39" t="n">
        <x:v>-0.288274285</x:v>
      </x:c>
      <x:c r="D13" s="39" t="n">
        <x:v>-0.0856090888</x:v>
      </x:c>
      <x:c r="E13" s="39" t="n">
        <x:v>-0.1607617098</x:v>
      </x:c>
      <x:c r="F13" s="39" t="n">
        <x:v>0.0406883571</x:v>
      </x:c>
      <x:c r="G13" s="39" t="n">
        <x:v>0.065214269</x:v>
      </x:c>
      <x:c r="H13" s="39" t="n">
        <x:v>0.0360372003</x:v>
      </x:c>
      <x:c r="I13" s="39" t="n">
        <x:v>-0.0970335762</x:v>
      </x:c>
      <x:c r="J13" s="39" t="n">
        <x:v>0.0249539172</x:v>
      </x:c>
      <x:c r="K13" s="39" t="n">
        <x:v>-0.0803570239</x:v>
      </x:c>
      <x:c r="L13" s="39" t="n">
        <x:v>0.0696069929</x:v>
      </x:c>
      <x:c r="M13" s="39" t="n">
        <x:v>0.1243010858</x:v>
      </x:c>
      <x:c r="N13" s="39" t="n">
        <x:v>0.023659905</x:v>
      </x:c>
      <x:c r="O13" s="39" t="n">
        <x:v>0.0844906283</x:v>
      </x:c>
      <x:c r="P13" s="39" t="n">
        <x:v>-0.011408947</x:v>
      </x:c>
      <x:c r="Q13" s="39" t="n">
        <x:v>-0.0009073373</x:v>
      </x:c>
      <x:c r="R13" s="39" t="n">
        <x:v>0.021115021</x:v>
      </x:c>
      <x:c r="S13" s="39" t="n">
        <x:v>-0.0107855178</x:v>
      </x:c>
      <x:c r="T13" s="39" t="n">
        <x:v>0.0861246672</x:v>
      </x:c>
      <x:c r="U13" s="39" t="n">
        <x:v>-0.0144119091</x:v>
      </x:c>
      <x:c r="V13" s="39" t="n">
        <x:v>0.046735968</x:v>
      </x:c>
      <x:c r="W13" s="39" t="n">
        <x:v>-0.0145665553</x:v>
      </x:c>
      <x:c r="X13" s="39" t="n">
        <x:v>0.0358257975</x:v>
      </x:c>
      <x:c r="Y13" s="39" t="n">
        <x:v>-0.1142223937</x:v>
      </x:c>
      <x:c r="Z13" s="39" t="n">
        <x:v>-0.0981991079</x:v>
      </x:c>
      <x:c r="AA13" s="39" t="n">
        <x:v>-0.0744151429</x:v>
      </x:c>
      <x:c r="AB13" s="39" t="n">
        <x:v>-0.0309154221</x:v>
      </x:c>
      <x:c r="AC13" s="39" t="n">
        <x:v>-0.1040250289</x:v>
      </x:c>
      <x:c r="AD13" s="39" t="n">
        <x:v>0.0957961474</x:v>
      </x:c>
      <x:c r="AE13" s="39" t="n">
        <x:v>-0.0564555606</x:v>
      </x:c>
      <x:c r="AF13" s="39" t="n">
        <x:v>-0.0017849465</x:v>
      </x:c>
      <x:c r="AG13" s="39" t="n">
        <x:v>-0.0276880709</x:v>
      </x:c>
      <x:c r="AH13" s="39" t="n">
        <x:v>0.0140221718</x:v>
      </x:c>
      <x:c r="AI13" s="39" t="n">
        <x:v>0.0028522455</x:v>
      </x:c>
      <x:c r="AJ13" s="39" t="n">
        <x:v>0.0166113918</x:v>
      </x:c>
      <x:c r="AK13" s="39" t="n">
        <x:v>0.0228673453</x:v>
      </x:c>
      <x:c r="AL13" s="39" t="n">
        <x:v>0.0086820995</x:v>
      </x:c>
      <x:c r="AM13" s="39" t="n">
        <x:v>0.0314263089</x:v>
      </x:c>
      <x:c r="AN13" s="39" t="n">
        <x:v>0.0147101257</x:v>
      </x:c>
      <x:c r="AO13" s="39" t="n">
        <x:v>-0.0020164461</x:v>
      </x:c>
      <x:c r="AP13" s="39" t="n">
        <x:v>-0.0089070518</x:v>
      </x:c>
      <x:c r="AQ13" s="39" t="n">
        <x:v>-0.0077386083</x:v>
      </x:c>
      <x:c r="AR13" s="39" t="n">
        <x:v>0.0137632189</x:v>
      </x:c>
    </x:row>
    <x:row r="14" ht="19" customHeight="1">
      <x:c r="A14" s="40" t="d">
        <x:v>2021-12-06T00:00:00.000Z</x:v>
      </x:c>
      <x:c r="B14" s="39" t="n">
        <x:v>-0.1585610216</x:v>
      </x:c>
      <x:c r="C14" s="39" t="n">
        <x:v>0.012159603</x:v>
      </x:c>
      <x:c r="D14" s="39" t="n">
        <x:v>-0.3159226139</x:v>
      </x:c>
      <x:c r="E14" s="39" t="n">
        <x:v>0.2164893297</x:v>
      </x:c>
      <x:c r="F14" s="39" t="n">
        <x:v>-0.1891337379</x:v>
      </x:c>
      <x:c r="G14" s="39" t="n">
        <x:v>-0.3225911298</x:v>
      </x:c>
      <x:c r="H14" s="39" t="n">
        <x:v>-0.0245601332</x:v>
      </x:c>
      <x:c r="I14" s="39" t="n">
        <x:v>-0.0784732226</x:v>
      </x:c>
      <x:c r="J14" s="39" t="n">
        <x:v>0.0393433737</x:v>
      </x:c>
      <x:c r="K14" s="39" t="n">
        <x:v>-0.0092579084</x:v>
      </x:c>
      <x:c r="L14" s="39" t="n">
        <x:v>0.0010249478</x:v>
      </x:c>
      <x:c r="M14" s="39" t="n">
        <x:v>-0.1197149292</x:v>
      </x:c>
      <x:c r="N14" s="39" t="n">
        <x:v>-0.0322817791</x:v>
      </x:c>
      <x:c r="O14" s="39" t="n">
        <x:v>0.0649760392</x:v>
      </x:c>
      <x:c r="P14" s="39" t="n">
        <x:v>-0.0414361718</x:v>
      </x:c>
      <x:c r="Q14" s="39" t="n">
        <x:v>-0.0523530737</x:v>
      </x:c>
      <x:c r="R14" s="39" t="n">
        <x:v>0.0216615588</x:v>
      </x:c>
      <x:c r="S14" s="39" t="n">
        <x:v>-0.0021014283</x:v>
      </x:c>
      <x:c r="T14" s="39" t="n">
        <x:v>0.0797631144</x:v>
      </x:c>
      <x:c r="U14" s="39" t="n">
        <x:v>-0.0556025638</x:v>
      </x:c>
      <x:c r="V14" s="39" t="n">
        <x:v>-0.0466305672</x:v>
      </x:c>
      <x:c r="W14" s="39" t="n">
        <x:v>-0.123451594</x:v>
      </x:c>
      <x:c r="X14" s="39" t="n">
        <x:v>-0.0070736449</x:v>
      </x:c>
      <x:c r="Y14" s="39" t="n">
        <x:v>-0.0089445429</x:v>
      </x:c>
      <x:c r="Z14" s="39" t="n">
        <x:v>-0.0229824158</x:v>
      </x:c>
      <x:c r="AA14" s="39" t="n">
        <x:v>0.0773072551</x:v>
      </x:c>
      <x:c r="AB14" s="39" t="n">
        <x:v>0.0456017379</x:v>
      </x:c>
      <x:c r="AC14" s="39" t="n">
        <x:v>-0.0152602621</x:v>
      </x:c>
      <x:c r="AD14" s="39" t="n">
        <x:v>0.0101156774</x:v>
      </x:c>
      <x:c r="AE14" s="39" t="n">
        <x:v>0.0076777415</x:v>
      </x:c>
      <x:c r="AF14" s="39" t="n">
        <x:v>0.0122063592</x:v>
      </x:c>
      <x:c r="AG14" s="39" t="n">
        <x:v>0.0228711375</x:v>
      </x:c>
      <x:c r="AH14" s="39" t="n">
        <x:v>0.0404938302</x:v>
      </x:c>
      <x:c r="AI14" s="39" t="n">
        <x:v>-0.0495103505</x:v>
      </x:c>
      <x:c r="AJ14" s="39" t="n">
        <x:v>-0.0053720749</x:v>
      </x:c>
      <x:c r="AK14" s="39" t="n">
        <x:v>-0.0078760882</x:v>
      </x:c>
      <x:c r="AL14" s="39" t="n">
        <x:v>0.0189826695</x:v>
      </x:c>
      <x:c r="AM14" s="39" t="n">
        <x:v>-0.0194056869</x:v>
      </x:c>
      <x:c r="AN14" s="39" t="n">
        <x:v>0.0285292892</x:v>
      </x:c>
      <x:c r="AO14" s="39" t="n">
        <x:v>-0.0049011368</x:v>
      </x:c>
      <x:c r="AP14" s="39" t="n">
        <x:v>-0.0177160421</x:v>
      </x:c>
      <x:c r="AQ14" s="39" t="n">
        <x:v>0.008306529</x:v>
      </x:c>
      <x:c r="AR14" s="39" t="n">
        <x:v>-0.015595163</x:v>
      </x:c>
    </x:row>
    <x:row r="15" ht="19" customHeight="1">
      <x:c r="A15" s="40" t="d">
        <x:v>2022-01-03T00:00:00.000Z</x:v>
      </x:c>
      <x:c r="B15" s="39" t="n">
        <x:v>-0.2878709106</x:v>
      </x:c>
      <x:c r="C15" s="39" t="n">
        <x:v>-0.1242264127</x:v>
      </x:c>
      <x:c r="D15" s="39" t="n">
        <x:v>-0.1602041484</x:v>
      </x:c>
      <x:c r="E15" s="39" t="n">
        <x:v>-0.0162416617</x:v>
      </x:c>
      <x:c r="F15" s="39" t="n">
        <x:v>-0.2077983246</x:v>
      </x:c>
      <x:c r="G15" s="39" t="n">
        <x:v>-0.0061269212</x:v>
      </x:c>
      <x:c r="H15" s="39" t="n">
        <x:v>-0.0335582717</x:v>
      </x:c>
      <x:c r="I15" s="39" t="n">
        <x:v>-0.0820961118</x:v>
      </x:c>
      <x:c r="J15" s="39" t="n">
        <x:v>-0.0203399821</x:v>
      </x:c>
      <x:c r="K15" s="39" t="n">
        <x:v>-0.0237788587</x:v>
      </x:c>
      <x:c r="L15" s="39" t="n">
        <x:v>-0.0329665385</x:v>
      </x:c>
      <x:c r="M15" s="39" t="n">
        <x:v>0.0334272174</x:v>
      </x:c>
      <x:c r="N15" s="39" t="n">
        <x:v>0.0441204555</x:v>
      </x:c>
      <x:c r="O15" s="39" t="n">
        <x:v>0.0980603719</x:v>
      </x:c>
      <x:c r="P15" s="39" t="n">
        <x:v>0.0495731844</x:v>
      </x:c>
      <x:c r="Q15" s="39" t="n">
        <x:v>-0.0305821192</x:v>
      </x:c>
      <x:c r="R15" s="39" t="n">
        <x:v>-0.0330535224</x:v>
      </x:c>
      <x:c r="S15" s="39" t="n">
        <x:v>0.1051694516</x:v>
      </x:c>
      <x:c r="T15" s="39" t="n">
        <x:v>-0.0105098905</x:v>
      </x:c>
      <x:c r="U15" s="39" t="n">
        <x:v>-0.0152236377</x:v>
      </x:c>
      <x:c r="V15" s="39" t="n">
        <x:v>-0.0059962301</x:v>
      </x:c>
      <x:c r="W15" s="39" t="n">
        <x:v>-0.0354251762</x:v>
      </x:c>
      <x:c r="X15" s="39" t="n">
        <x:v>0.0752947866</x:v>
      </x:c>
      <x:c r="Y15" s="39" t="n">
        <x:v>0.0488456852</x:v>
      </x:c>
      <x:c r="Z15" s="39" t="n">
        <x:v>0.036260195</x:v>
      </x:c>
      <x:c r="AA15" s="39" t="n">
        <x:v>-0.0764195906</x:v>
      </x:c>
      <x:c r="AB15" s="39" t="n">
        <x:v>-0.0570278171</x:v>
      </x:c>
      <x:c r="AC15" s="39" t="n">
        <x:v>-0.001362945</x:v>
      </x:c>
      <x:c r="AD15" s="39" t="n">
        <x:v>-0.025777797</x:v>
      </x:c>
      <x:c r="AE15" s="39" t="n">
        <x:v>-0.0132079855</x:v>
      </x:c>
      <x:c r="AF15" s="39" t="n">
        <x:v>0.0078154298</x:v>
      </x:c>
      <x:c r="AG15" s="39" t="n">
        <x:v>0.065469668</x:v>
      </x:c>
      <x:c r="AH15" s="39" t="n">
        <x:v>0.0218400674</x:v>
      </x:c>
      <x:c r="AI15" s="39" t="n">
        <x:v>0.0290512514</x:v>
      </x:c>
      <x:c r="AJ15" s="39" t="n">
        <x:v>0.0105382049</x:v>
      </x:c>
      <x:c r="AK15" s="39" t="n">
        <x:v>0.0155720837</x:v>
      </x:c>
      <x:c r="AL15" s="39" t="n">
        <x:v>0.0236102098</x:v>
      </x:c>
      <x:c r="AM15" s="39" t="n">
        <x:v>-0.0021243957</x:v>
      </x:c>
      <x:c r="AN15" s="39" t="n">
        <x:v>0.0106171027</x:v>
      </x:c>
      <x:c r="AO15" s="39" t="n">
        <x:v>0.0096860315</x:v>
      </x:c>
      <x:c r="AP15" s="39" t="n">
        <x:v>0.0124320806</x:v>
      </x:c>
      <x:c r="AQ15" s="39" t="n">
        <x:v>0.0123716966</x:v>
      </x:c>
      <x:c r="AR15" s="39" t="n">
        <x:v>0.0130602016</x:v>
      </x:c>
    </x:row>
    <x:row r="16" ht="19" customHeight="1">
      <x:c r="A16" s="40" t="d">
        <x:v>2022-01-31T00:00:00.000Z</x:v>
      </x:c>
      <x:c r="B16" s="39" t="n">
        <x:v>0.2231028121</x:v>
      </x:c>
      <x:c r="C16" s="39" t="n">
        <x:v>-0.0165862893</x:v>
      </x:c>
      <x:c r="D16" s="39" t="n">
        <x:v>-0.2017581967</x:v>
      </x:c>
      <x:c r="E16" s="39" t="n">
        <x:v>-0.034142803</x:v>
      </x:c>
      <x:c r="F16" s="39" t="n">
        <x:v>-0.1543648575</x:v>
      </x:c>
      <x:c r="G16" s="39" t="n">
        <x:v>-0.0657546709</x:v>
      </x:c>
      <x:c r="H16" s="39" t="n">
        <x:v>-0.0268094951</x:v>
      </x:c>
      <x:c r="I16" s="39" t="n">
        <x:v>-0.0918710993</x:v>
      </x:c>
      <x:c r="J16" s="39" t="n">
        <x:v>0.0700594125</x:v>
      </x:c>
      <x:c r="K16" s="39" t="n">
        <x:v>-0.0924744224</x:v>
      </x:c>
      <x:c r="L16" s="39" t="n">
        <x:v>-0.0122826394</x:v>
      </x:c>
      <x:c r="M16" s="39" t="n">
        <x:v>-0.0484043234</x:v>
      </x:c>
      <x:c r="N16" s="39" t="n">
        <x:v>-0.1069237791</x:v>
      </x:c>
      <x:c r="O16" s="39" t="n">
        <x:v>0.0265728156</x:v>
      </x:c>
      <x:c r="P16" s="39" t="n">
        <x:v>0.0505699451</x:v>
      </x:c>
      <x:c r="Q16" s="39" t="n">
        <x:v>-0.0062172641</x:v>
      </x:c>
      <x:c r="R16" s="39" t="n">
        <x:v>-0.1347692989</x:v>
      </x:c>
      <x:c r="S16" s="39" t="n">
        <x:v>-0.1038294404</x:v>
      </x:c>
      <x:c r="T16" s="39" t="n">
        <x:v>-0.1047799642</x:v>
      </x:c>
      <x:c r="U16" s="39" t="n">
        <x:v>-0.024734763</x:v>
      </x:c>
      <x:c r="V16" s="39" t="n">
        <x:v>0.0046353472</x:v>
      </x:c>
      <x:c r="W16" s="39" t="n">
        <x:v>0.0099640366</x:v>
      </x:c>
      <x:c r="X16" s="39" t="n">
        <x:v>-0.0596846534</x:v>
      </x:c>
      <x:c r="Y16" s="39" t="n">
        <x:v>-0.0383491326</x:v>
      </x:c>
      <x:c r="Z16" s="39" t="n">
        <x:v>-0.0439064913</x:v>
      </x:c>
      <x:c r="AA16" s="39" t="n">
        <x:v>0.0568232989</x:v>
      </x:c>
      <x:c r="AB16" s="39" t="n">
        <x:v>-0.0389455452</x:v>
      </x:c>
      <x:c r="AC16" s="39" t="n">
        <x:v>-0.018304271</x:v>
      </x:c>
      <x:c r="AD16" s="39" t="n">
        <x:v>-0.052413339</x:v>
      </x:c>
      <x:c r="AE16" s="39" t="n">
        <x:v>-0.0036189008</x:v>
      </x:c>
      <x:c r="AF16" s="39" t="n">
        <x:v>-0.018680851</x:v>
      </x:c>
      <x:c r="AG16" s="39" t="n">
        <x:v>-0.0424977161</x:v>
      </x:c>
      <x:c r="AH16" s="39" t="n">
        <x:v>-0.0170196044</x:v>
      </x:c>
      <x:c r="AI16" s="39" t="n">
        <x:v>-0.0065140263</x:v>
      </x:c>
      <x:c r="AJ16" s="39" t="n">
        <x:v>0.0484353872</x:v>
      </x:c>
      <x:c r="AK16" s="39" t="n">
        <x:v>-0.018669625</x:v>
      </x:c>
      <x:c r="AL16" s="39" t="n">
        <x:v>0.0188129509</x:v>
      </x:c>
      <x:c r="AM16" s="39" t="n">
        <x:v>0.0062240122</x:v>
      </x:c>
      <x:c r="AN16" s="39" t="n">
        <x:v>-0.0016548434</x:v>
      </x:c>
      <x:c r="AO16" s="39" t="n">
        <x:v>0.0306449114</x:v>
      </x:c>
      <x:c r="AP16" s="39" t="n">
        <x:v>-0.0113099174</x:v>
      </x:c>
      <x:c r="AQ16" s="39" t="n">
        <x:v>0.0001724518</x:v>
      </x:c>
      <x:c r="AR16" s="39" t="n">
        <x:v>0.0244268962</x:v>
      </x:c>
    </x:row>
    <x:row r="17" ht="19" customHeight="1">
      <x:c r="A17" s="40" t="d">
        <x:v>2022-02-28T00:00:00.000Z</x:v>
      </x:c>
      <x:c r="B17" s="39" t="n">
        <x:v>0.341841728</x:v>
      </x:c>
      <x:c r="C17" s="39" t="n">
        <x:v>0.0498346418</x:v>
      </x:c>
      <x:c r="D17" s="39" t="n">
        <x:v>0.211995436</x:v>
      </x:c>
      <x:c r="E17" s="39" t="n">
        <x:v>-0.0874688103</x:v>
      </x:c>
      <x:c r="F17" s="39" t="n">
        <x:v>-0.2011015003</x:v>
      </x:c>
      <x:c r="G17" s="39" t="n">
        <x:v>0.0330153135</x:v>
      </x:c>
      <x:c r="H17" s="39" t="n">
        <x:v>0.0433671701</x:v>
      </x:c>
      <x:c r="I17" s="39" t="n">
        <x:v>-0.0245090834</x:v>
      </x:c>
      <x:c r="J17" s="39" t="n">
        <x:v>-0.1501860896</x:v>
      </x:c>
      <x:c r="K17" s="39" t="n">
        <x:v>-0.1138586487</x:v>
      </x:c>
      <x:c r="L17" s="39" t="n">
        <x:v>-0.1021637605</x:v>
      </x:c>
      <x:c r="M17" s="39" t="n">
        <x:v>-0.0971464071</x:v>
      </x:c>
      <x:c r="N17" s="39" t="n">
        <x:v>-0.0684252251</x:v>
      </x:c>
      <x:c r="O17" s="39" t="n">
        <x:v>-0.0453541944</x:v>
      </x:c>
      <x:c r="P17" s="39" t="n">
        <x:v>-0.0425667716</x:v>
      </x:c>
      <x:c r="Q17" s="39" t="n">
        <x:v>-0.0553618935</x:v>
      </x:c>
      <x:c r="R17" s="39" t="n">
        <x:v>-0.0217463684</x:v>
      </x:c>
      <x:c r="S17" s="39" t="n">
        <x:v>0.0269113727</x:v>
      </x:c>
      <x:c r="T17" s="39" t="n">
        <x:v>0.0488068835</x:v>
      </x:c>
      <x:c r="U17" s="39" t="n">
        <x:v>-0.0318332607</x:v>
      </x:c>
      <x:c r="V17" s="39" t="n">
        <x:v>-0.0329330012</x:v>
      </x:c>
      <x:c r="W17" s="39" t="n">
        <x:v>0.0062647828</x:v>
      </x:c>
      <x:c r="X17" s="39" t="n">
        <x:v>0.0081940706</x:v>
      </x:c>
      <x:c r="Y17" s="39" t="n">
        <x:v>-0.0126927269</x:v>
      </x:c>
      <x:c r="Z17" s="39" t="n">
        <x:v>-0.023908824</x:v>
      </x:c>
      <x:c r="AA17" s="39" t="n">
        <x:v>-0.0285734464</x:v>
      </x:c>
      <x:c r="AB17" s="39" t="n">
        <x:v>0.0434401959</x:v>
      </x:c>
      <x:c r="AC17" s="39" t="n">
        <x:v>-0.0102993797</x:v>
      </x:c>
      <x:c r="AD17" s="39" t="n">
        <x:v>-0.0896089112</x:v>
      </x:c>
      <x:c r="AE17" s="39" t="n">
        <x:v>0.0410977106</x:v>
      </x:c>
      <x:c r="AF17" s="39" t="n">
        <x:v>0.0958040236</x:v>
      </x:c>
      <x:c r="AG17" s="39" t="n">
        <x:v>-0.0114673732</x:v>
      </x:c>
      <x:c r="AH17" s="39" t="n">
        <x:v>-0.0682866261</x:v>
      </x:c>
      <x:c r="AI17" s="39" t="n">
        <x:v>0.0276742981</x:v>
      </x:c>
      <x:c r="AJ17" s="39" t="n">
        <x:v>-0.0372064434</x:v>
      </x:c>
      <x:c r="AK17" s="39" t="n">
        <x:v>-0.0210266276</x:v>
      </x:c>
      <x:c r="AL17" s="39" t="n">
        <x:v>0.0130744699</x:v>
      </x:c>
      <x:c r="AM17" s="39" t="n">
        <x:v>0.0298996227</x:v>
      </x:c>
      <x:c r="AN17" s="39" t="n">
        <x:v>0.028531383</x:v>
      </x:c>
      <x:c r="AO17" s="39" t="n">
        <x:v>0.0080970176</x:v>
      </x:c>
      <x:c r="AP17" s="39" t="n">
        <x:v>0.0135995836</x:v>
      </x:c>
      <x:c r="AQ17" s="39" t="n">
        <x:v>-0.0022908509</x:v>
      </x:c>
      <x:c r="AR17" s="39" t="n">
        <x:v>-0.0092073648</x:v>
      </x:c>
    </x:row>
    <x:row r="18" ht="19" customHeight="1">
      <x:c r="A18" s="40" t="d">
        <x:v>2022-03-28T00:00:00.000Z</x:v>
      </x:c>
      <x:c r="B18" s="39" t="n">
        <x:v>0.034156404</x:v>
      </x:c>
      <x:c r="C18" s="39" t="n">
        <x:v>0.034134923</x:v>
      </x:c>
      <x:c r="D18" s="39" t="n">
        <x:v>-0.0890260875</x:v>
      </x:c>
      <x:c r="E18" s="39" t="n">
        <x:v>0.0311692075</x:v>
      </x:c>
      <x:c r="F18" s="39" t="n">
        <x:v>0.2348125058</x:v>
      </x:c>
      <x:c r="G18" s="39" t="n">
        <x:v>-0.1496861775</x:v>
      </x:c>
      <x:c r="H18" s="39" t="n">
        <x:v>-0.071832907</x:v>
      </x:c>
      <x:c r="I18" s="39" t="n">
        <x:v>0.0460654638</x:v>
      </x:c>
      <x:c r="J18" s="39" t="n">
        <x:v>-0.0001356561</x:v>
      </x:c>
      <x:c r="K18" s="39" t="n">
        <x:v>0.0306405506</x:v>
      </x:c>
      <x:c r="L18" s="39" t="n">
        <x:v>-0.0653537525</x:v>
      </x:c>
      <x:c r="M18" s="39" t="n">
        <x:v>-0.0280381832</x:v>
      </x:c>
      <x:c r="N18" s="39" t="n">
        <x:v>-0.0039423038</x:v>
      </x:c>
      <x:c r="O18" s="39" t="n">
        <x:v>-0.0648077228</x:v>
      </x:c>
      <x:c r="P18" s="39" t="n">
        <x:v>-0.0346054597</x:v>
      </x:c>
      <x:c r="Q18" s="39" t="n">
        <x:v>0.0799967596</x:v>
      </x:c>
      <x:c r="R18" s="39" t="n">
        <x:v>-0.070824175</x:v>
      </x:c>
      <x:c r="S18" s="39" t="n">
        <x:v>-0.0896363899</x:v>
      </x:c>
      <x:c r="T18" s="39" t="n">
        <x:v>-0.0508866847</x:v>
      </x:c>
      <x:c r="U18" s="39" t="n">
        <x:v>0.053547509</x:v>
      </x:c>
      <x:c r="V18" s="39" t="n">
        <x:v>0.0581020684</x:v>
      </x:c>
      <x:c r="W18" s="39" t="n">
        <x:v>-0.0321553759</x:v>
      </x:c>
      <x:c r="X18" s="39" t="n">
        <x:v>0.0367844199</x:v>
      </x:c>
      <x:c r="Y18" s="39" t="n">
        <x:v>0.045361351</x:v>
      </x:c>
      <x:c r="Z18" s="39" t="n">
        <x:v>0.0566462736</x:v>
      </x:c>
      <x:c r="AA18" s="39" t="n">
        <x:v>0.006762786</x:v>
      </x:c>
      <x:c r="AB18" s="39" t="n">
        <x:v>-0.0108623301</x:v>
      </x:c>
      <x:c r="AC18" s="39" t="n">
        <x:v>-0.0463036345</x:v>
      </x:c>
      <x:c r="AD18" s="39" t="n">
        <x:v>0.0657860208</x:v>
      </x:c>
      <x:c r="AE18" s="39" t="n">
        <x:v>0.0688796429</x:v>
      </x:c>
      <x:c r="AF18" s="39" t="n">
        <x:v>0.0507795642</x:v>
      </x:c>
      <x:c r="AG18" s="39" t="n">
        <x:v>-0.0093109962</x:v>
      </x:c>
      <x:c r="AH18" s="39" t="n">
        <x:v>-0.0087120164</x:v>
      </x:c>
      <x:c r="AI18" s="39" t="n">
        <x:v>-0.0078416181</x:v>
      </x:c>
      <x:c r="AJ18" s="39" t="n">
        <x:v>-0.0137156917</x:v>
      </x:c>
      <x:c r="AK18" s="39" t="n">
        <x:v>0.0020803388</x:v>
      </x:c>
      <x:c r="AL18" s="39" t="n">
        <x:v>-0.0118596615</x:v>
      </x:c>
      <x:c r="AM18" s="39" t="n">
        <x:v>-0.00817149</x:v>
      </x:c>
      <x:c r="AN18" s="39" t="n">
        <x:v>0.0108638632</x:v>
      </x:c>
      <x:c r="AO18" s="39" t="n">
        <x:v>0.0543639393</x:v>
      </x:c>
      <x:c r="AP18" s="39" t="n">
        <x:v>-0.0076116001</x:v>
      </x:c>
      <x:c r="AQ18" s="39" t="n">
        <x:v>-0.0096317841</x:v>
      </x:c>
      <x:c r="AR18" s="39" t="n">
        <x:v>-0.0031592915</x:v>
      </x:c>
    </x:row>
    <x:row r="19" ht="19" customHeight="1">
      <x:c r="A19" s="40" t="d">
        <x:v>2022-04-25T00:00:00.000Z</x:v>
      </x:c>
      <x:c r="B19" s="39" t="n">
        <x:v>-0.1992458553</x:v>
      </x:c>
      <x:c r="C19" s="39" t="n">
        <x:v>0.0612023016</x:v>
      </x:c>
      <x:c r="D19" s="39" t="n">
        <x:v>-0.0017912856</x:v>
      </x:c>
      <x:c r="E19" s="39" t="n">
        <x:v>0.0558604935</x:v>
      </x:c>
      <x:c r="F19" s="39" t="n">
        <x:v>-0.3251215708</x:v>
      </x:c>
      <x:c r="G19" s="39" t="n">
        <x:v>0.0091102391</x:v>
      </x:c>
      <x:c r="H19" s="39" t="n">
        <x:v>-0.0495191821</x:v>
      </x:c>
      <x:c r="I19" s="39" t="n">
        <x:v>-0.1891998674</x:v>
      </x:c>
      <x:c r="J19" s="39" t="n">
        <x:v>-0.0543794254</x:v>
      </x:c>
      <x:c r="K19" s="39" t="n">
        <x:v>-0.1490224363</x:v>
      </x:c>
      <x:c r="L19" s="39" t="n">
        <x:v>-0.023140088</x:v>
      </x:c>
      <x:c r="M19" s="39" t="n">
        <x:v>-0.1542296785</x:v>
      </x:c>
      <x:c r="N19" s="39" t="n">
        <x:v>-0.0311863729</x:v>
      </x:c>
      <x:c r="O19" s="39" t="n">
        <x:v>0.192535595</x:v>
      </x:c>
      <x:c r="P19" s="39" t="n">
        <x:v>-0.0133675253</x:v>
      </x:c>
      <x:c r="Q19" s="39" t="n">
        <x:v>0.1174111207</x:v>
      </x:c>
      <x:c r="R19" s="39" t="n">
        <x:v>-0.0613518078</x:v>
      </x:c>
      <x:c r="S19" s="39" t="n">
        <x:v>-0.0064826976</x:v>
      </x:c>
      <x:c r="T19" s="39" t="n">
        <x:v>0.0073012036</x:v>
      </x:c>
      <x:c r="U19" s="39" t="n">
        <x:v>0.0520983847</x:v>
      </x:c>
      <x:c r="V19" s="39" t="n">
        <x:v>-0.0345812362</x:v>
      </x:c>
      <x:c r="W19" s="39" t="n">
        <x:v>-0.0614071088</x:v>
      </x:c>
      <x:c r="X19" s="39" t="n">
        <x:v>-0.0911730562</x:v>
      </x:c>
      <x:c r="Y19" s="39" t="n">
        <x:v>0.12173573</x:v>
      </x:c>
      <x:c r="Z19" s="39" t="n">
        <x:v>0.0416703046</x:v>
      </x:c>
      <x:c r="AA19" s="39" t="n">
        <x:v>0.0227283912</x:v>
      </x:c>
      <x:c r="AB19" s="39" t="n">
        <x:v>-0.0080413116</x:v>
      </x:c>
      <x:c r="AC19" s="39" t="n">
        <x:v>0.0282041659</x:v>
      </x:c>
      <x:c r="AD19" s="39" t="n">
        <x:v>0.0338089425</x:v>
      </x:c>
      <x:c r="AE19" s="39" t="n">
        <x:v>-0.0319693774</x:v>
      </x:c>
      <x:c r="AF19" s="39" t="n">
        <x:v>-0.0987476704</x:v>
      </x:c>
      <x:c r="AG19" s="39" t="n">
        <x:v>0.0240084025</x:v>
      </x:c>
      <x:c r="AH19" s="39" t="n">
        <x:v>-0.0466013655</x:v>
      </x:c>
      <x:c r="AI19" s="39" t="n">
        <x:v>-0.0161681547</x:v>
      </x:c>
      <x:c r="AJ19" s="39" t="n">
        <x:v>-0.0310741874</x:v>
      </x:c>
      <x:c r="AK19" s="39" t="n">
        <x:v>0.020745928</x:v>
      </x:c>
      <x:c r="AL19" s="39" t="n">
        <x:v>0.0009450272</x:v>
      </x:c>
      <x:c r="AM19" s="39" t="n">
        <x:v>0.0165132372</x:v>
      </x:c>
      <x:c r="AN19" s="39" t="n">
        <x:v>0.004153123</x:v>
      </x:c>
      <x:c r="AO19" s="39" t="n">
        <x:v>-0.0118079838</x:v>
      </x:c>
      <x:c r="AP19" s="39" t="n">
        <x:v>0.0028022338</x:v>
      </x:c>
      <x:c r="AQ19" s="39" t="n">
        <x:v>0.0054264306</x:v>
      </x:c>
      <x:c r="AR19" s="39" t="n">
        <x:v>-0.0007782617</x:v>
      </x:c>
    </x:row>
    <x:row r="20" ht="19" customHeight="1">
      <x:c r="A20" s="40" t="d">
        <x:v>2022-05-23T00:00:00.000Z</x:v>
      </x:c>
      <x:c r="B20" s="39" t="n">
        <x:v>-0.287269201</x:v>
      </x:c>
      <x:c r="C20" s="39" t="n">
        <x:v>0.0397931835</x:v>
      </x:c>
      <x:c r="D20" s="39" t="n">
        <x:v>-0.0941799455</x:v>
      </x:c>
      <x:c r="E20" s="39" t="n">
        <x:v>0.0049799645</x:v>
      </x:c>
      <x:c r="F20" s="39" t="n">
        <x:v>0.0117189794</x:v>
      </x:c>
      <x:c r="G20" s="39" t="n">
        <x:v>-0.2040260288</x:v>
      </x:c>
      <x:c r="H20" s="39" t="n">
        <x:v>0.0026104595</x:v>
      </x:c>
      <x:c r="I20" s="39" t="n">
        <x:v>-0.1279997353</x:v>
      </x:c>
      <x:c r="J20" s="39" t="n">
        <x:v>-0.0733270595</x:v>
      </x:c>
      <x:c r="K20" s="39" t="n">
        <x:v>0.0426488451</x:v>
      </x:c>
      <x:c r="L20" s="39" t="n">
        <x:v>0.1538980742</x:v>
      </x:c>
      <x:c r="M20" s="39" t="n">
        <x:v>0.2273543935</x:v>
      </x:c>
      <x:c r="N20" s="39" t="n">
        <x:v>0.0709982532</x:v>
      </x:c>
      <x:c r="O20" s="39" t="n">
        <x:v>0.0574126022</x:v>
      </x:c>
      <x:c r="P20" s="39" t="n">
        <x:v>-0.0256195891</x:v>
      </x:c>
      <x:c r="Q20" s="39" t="n">
        <x:v>0.039938032</x:v>
      </x:c>
      <x:c r="R20" s="39" t="n">
        <x:v>-0.0668951518</x:v>
      </x:c>
      <x:c r="S20" s="39" t="n">
        <x:v>0.0293918633</x:v>
      </x:c>
      <x:c r="T20" s="39" t="n">
        <x:v>-0.0055702066</x:v>
      </x:c>
      <x:c r="U20" s="39" t="n">
        <x:v>-0.0601318336</x:v>
      </x:c>
      <x:c r="V20" s="39" t="n">
        <x:v>-0.0366016523</x:v>
      </x:c>
      <x:c r="W20" s="39" t="n">
        <x:v>0.023583235</x:v>
      </x:c>
      <x:c r="X20" s="39" t="n">
        <x:v>0.0401242885</x:v>
      </x:c>
      <x:c r="Y20" s="39" t="n">
        <x:v>0.109344243</x:v>
      </x:c>
      <x:c r="Z20" s="39" t="n">
        <x:v>0.0662568931</x:v>
      </x:c>
      <x:c r="AA20" s="39" t="n">
        <x:v>-0.0028441727</x:v>
      </x:c>
      <x:c r="AB20" s="39" t="n">
        <x:v>-0.0055088606</x:v>
      </x:c>
      <x:c r="AC20" s="39" t="n">
        <x:v>-0.0155695791</x:v>
      </x:c>
      <x:c r="AD20" s="39" t="n">
        <x:v>-0.0216885266</x:v>
      </x:c>
      <x:c r="AE20" s="39" t="n">
        <x:v>-0.0679051545</x:v>
      </x:c>
      <x:c r="AF20" s="39" t="n">
        <x:v>0.0403659095</x:v>
      </x:c>
      <x:c r="AG20" s="39" t="n">
        <x:v>-0.0380516434</x:v>
      </x:c>
      <x:c r="AH20" s="39" t="n">
        <x:v>0.0183287856</x:v>
      </x:c>
      <x:c r="AI20" s="39" t="n">
        <x:v>0.0182714184</x:v>
      </x:c>
      <x:c r="AJ20" s="39" t="n">
        <x:v>-0.0122813402</x:v>
      </x:c>
      <x:c r="AK20" s="39" t="n">
        <x:v>0.0148809776</x:v>
      </x:c>
      <x:c r="AL20" s="39" t="n">
        <x:v>-0.0538560464</x:v>
      </x:c>
      <x:c r="AM20" s="39" t="n">
        <x:v>0.0130943307</x:v>
      </x:c>
      <x:c r="AN20" s="39" t="n">
        <x:v>-0.0174534854</x:v>
      </x:c>
      <x:c r="AO20" s="39" t="n">
        <x:v>-0.0046709634</x:v>
      </x:c>
      <x:c r="AP20" s="39" t="n">
        <x:v>-0.0107062852</x:v>
      </x:c>
      <x:c r="AQ20" s="39" t="n">
        <x:v>0.0184667921</x:v>
      </x:c>
      <x:c r="AR20" s="39" t="n">
        <x:v>0.0014039628</x:v>
      </x:c>
    </x:row>
    <x:row r="21" ht="19" customHeight="1">
      <x:c r="A21" s="40" t="d">
        <x:v>2022-06-20T00:00:00.000Z</x:v>
      </x:c>
      <x:c r="B21" s="39" t="n">
        <x:v>0.1317035352</x:v>
      </x:c>
      <x:c r="C21" s="39" t="n">
        <x:v>-0.0119307485</x:v>
      </x:c>
      <x:c r="D21" s="39" t="n">
        <x:v>0.0222330237</x:v>
      </x:c>
      <x:c r="E21" s="39" t="n">
        <x:v>-0.0222779979</x:v>
      </x:c>
      <x:c r="F21" s="39" t="n">
        <x:v>0.0761847188</x:v>
      </x:c>
      <x:c r="G21" s="39" t="n">
        <x:v>-0.1069644695</x:v>
      </x:c>
      <x:c r="H21" s="39" t="n">
        <x:v>-0.0626461115</x:v>
      </x:c>
      <x:c r="I21" s="39" t="n">
        <x:v>0.1331878536</x:v>
      </x:c>
      <x:c r="J21" s="39" t="n">
        <x:v>0.1048339359</x:v>
      </x:c>
      <x:c r="K21" s="39" t="n">
        <x:v>0.0077589726</x:v>
      </x:c>
      <x:c r="L21" s="39" t="n">
        <x:v>-0.0063866719</x:v>
      </x:c>
      <x:c r="M21" s="39" t="n">
        <x:v>0.0491049811</x:v>
      </x:c>
      <x:c r="N21" s="39" t="n">
        <x:v>-0.0665453024</x:v>
      </x:c>
      <x:c r="O21" s="39" t="n">
        <x:v>0.0878105556</x:v>
      </x:c>
      <x:c r="P21" s="39" t="n">
        <x:v>0.055005902</x:v>
      </x:c>
      <x:c r="Q21" s="39" t="n">
        <x:v>0.0042507566</x:v>
      </x:c>
      <x:c r="R21" s="39" t="n">
        <x:v>0.0312150507</x:v>
      </x:c>
      <x:c r="S21" s="39" t="n">
        <x:v>0.0090956215</x:v>
      </x:c>
      <x:c r="T21" s="39" t="n">
        <x:v>0.0214064099</x:v>
      </x:c>
      <x:c r="U21" s="39" t="n">
        <x:v>-0.0185641312</x:v>
      </x:c>
      <x:c r="V21" s="39" t="n">
        <x:v>0.0380725519</x:v>
      </x:c>
      <x:c r="W21" s="39" t="n">
        <x:v>0.1006892377</x:v>
      </x:c>
      <x:c r="X21" s="39" t="n">
        <x:v>0.0106809814</x:v>
      </x:c>
      <x:c r="Y21" s="39" t="n">
        <x:v>-0.032118856</x:v>
      </x:c>
      <x:c r="Z21" s="39" t="n">
        <x:v>-0.0027267362</x:v>
      </x:c>
      <x:c r="AA21" s="39" t="n">
        <x:v>0.0298647076</x:v>
      </x:c>
      <x:c r="AB21" s="39" t="n">
        <x:v>-0.0202843372</x:v>
      </x:c>
      <x:c r="AC21" s="39" t="n">
        <x:v>-0.0097942547</x:v>
      </x:c>
      <x:c r="AD21" s="39" t="n">
        <x:v>0.0565367993</x:v>
      </x:c>
      <x:c r="AE21" s="39" t="n">
        <x:v>-0.039586024</x:v>
      </x:c>
      <x:c r="AF21" s="39" t="n">
        <x:v>0.0303943539</x:v>
      </x:c>
      <x:c r="AG21" s="39" t="n">
        <x:v>-0.001129178</x:v>
      </x:c>
      <x:c r="AH21" s="39" t="n">
        <x:v>-0.0067619441</x:v>
      </x:c>
      <x:c r="AI21" s="39" t="n">
        <x:v>-0.0881900574</x:v>
      </x:c>
      <x:c r="AJ21" s="39" t="n">
        <x:v>0.0130231195</x:v>
      </x:c>
      <x:c r="AK21" s="39" t="n">
        <x:v>-0.0154654184</x:v>
      </x:c>
      <x:c r="AL21" s="39" t="n">
        <x:v>0.0178717484</x:v>
      </x:c>
      <x:c r="AM21" s="39" t="n">
        <x:v>-0.0131847519</x:v>
      </x:c>
      <x:c r="AN21" s="39" t="n">
        <x:v>0.0015079551</x:v>
      </x:c>
      <x:c r="AO21" s="39" t="n">
        <x:v>0.001713743</x:v>
      </x:c>
      <x:c r="AP21" s="39" t="n">
        <x:v>-0.000079288</x:v>
      </x:c>
      <x:c r="AQ21" s="39" t="n">
        <x:v>0.0162265362</x:v>
      </x:c>
      <x:c r="AR21" s="39" t="n">
        <x:v>-0.0100499723</x:v>
      </x:c>
    </x:row>
    <x:row r="22" ht="19" customHeight="1">
      <x:c r="A22" s="40" t="d">
        <x:v>2022-07-18T00:00:00.000Z</x:v>
      </x:c>
      <x:c r="B22" s="39" t="n">
        <x:v>-0.1270033585</x:v>
      </x:c>
      <x:c r="C22" s="39" t="n">
        <x:v>-0.0767498615</x:v>
      </x:c>
      <x:c r="D22" s="39" t="n">
        <x:v>-0.3733719413</x:v>
      </x:c>
      <x:c r="E22" s="39" t="n">
        <x:v>0.1519072602</x:v>
      </x:c>
      <x:c r="F22" s="39" t="n">
        <x:v>0.0657412733</x:v>
      </x:c>
      <x:c r="G22" s="39" t="n">
        <x:v>-0.1312237934</x:v>
      </x:c>
      <x:c r="H22" s="39" t="n">
        <x:v>-0.1436239421</x:v>
      </x:c>
      <x:c r="I22" s="39" t="n">
        <x:v>-0.0979514918</x:v>
      </x:c>
      <x:c r="J22" s="39" t="n">
        <x:v>0.0681831547</x:v>
      </x:c>
      <x:c r="K22" s="39" t="n">
        <x:v>0.0405228061</x:v>
      </x:c>
      <x:c r="L22" s="39" t="n">
        <x:v>0.0523819028</x:v>
      </x:c>
      <x:c r="M22" s="39" t="n">
        <x:v>0.0453796346</x:v>
      </x:c>
      <x:c r="N22" s="39" t="n">
        <x:v>-0.0139442553</x:v>
      </x:c>
      <x:c r="O22" s="39" t="n">
        <x:v>-0.0565567434</x:v>
      </x:c>
      <x:c r="P22" s="39" t="n">
        <x:v>0.0931191131</x:v>
      </x:c>
      <x:c r="Q22" s="39" t="n">
        <x:v>-0.0892344907</x:v>
      </x:c>
      <x:c r="R22" s="39" t="n">
        <x:v>0.1380384928</x:v>
      </x:c>
      <x:c r="S22" s="39" t="n">
        <x:v>0.0222517299</x:v>
      </x:c>
      <x:c r="T22" s="39" t="n">
        <x:v>0.0494971792</x:v>
      </x:c>
      <x:c r="U22" s="39" t="n">
        <x:v>0.024132953</x:v>
      </x:c>
      <x:c r="V22" s="39" t="n">
        <x:v>-0.0851102599</x:v>
      </x:c>
      <x:c r="W22" s="39" t="n">
        <x:v>0.0100609221</x:v>
      </x:c>
      <x:c r="X22" s="39" t="n">
        <x:v>-0.0018143141</x:v>
      </x:c>
      <x:c r="Y22" s="39" t="n">
        <x:v>-0.0042490896</x:v>
      </x:c>
      <x:c r="Z22" s="39" t="n">
        <x:v>0.0108809963</x:v>
      </x:c>
      <x:c r="AA22" s="39" t="n">
        <x:v>-0.0209123227</x:v>
      </x:c>
      <x:c r="AB22" s="39" t="n">
        <x:v>0.0525215156</x:v>
      </x:c>
      <x:c r="AC22" s="39" t="n">
        <x:v>0.063536612</x:v>
      </x:c>
      <x:c r="AD22" s="39" t="n">
        <x:v>0.0411310048</x:v>
      </x:c>
      <x:c r="AE22" s="39" t="n">
        <x:v>-0.0059270346</x:v>
      </x:c>
      <x:c r="AF22" s="39" t="n">
        <x:v>0.0317505674</x:v>
      </x:c>
      <x:c r="AG22" s="39" t="n">
        <x:v>-0.037701859</x:v>
      </x:c>
      <x:c r="AH22" s="39" t="n">
        <x:v>-0.0628613421</x:v>
      </x:c>
      <x:c r="AI22" s="39" t="n">
        <x:v>-0.0051495606</x:v>
      </x:c>
      <x:c r="AJ22" s="39" t="n">
        <x:v>-0.0063153844</x:v>
      </x:c>
      <x:c r="AK22" s="39" t="n">
        <x:v>0.0038604261</x:v>
      </x:c>
      <x:c r="AL22" s="39" t="n">
        <x:v>0.0142126805</x:v>
      </x:c>
      <x:c r="AM22" s="39" t="n">
        <x:v>-0.0349142938</x:v>
      </x:c>
      <x:c r="AN22" s="39" t="n">
        <x:v>0.0429305487</x:v>
      </x:c>
      <x:c r="AO22" s="39" t="n">
        <x:v>0.0061360251</x:v>
      </x:c>
      <x:c r="AP22" s="39" t="n">
        <x:v>-0.0187126766</x:v>
      </x:c>
      <x:c r="AQ22" s="39" t="n">
        <x:v>-0.011248329</x:v>
      </x:c>
      <x:c r="AR22" s="39" t="n">
        <x:v>0.0116647882</x:v>
      </x:c>
    </x:row>
    <x:row r="23" ht="19" customHeight="1">
      <x:c r="A23" s="40" t="d">
        <x:v>2022-08-15T00:00:00.000Z</x:v>
      </x:c>
      <x:c r="B23" s="39" t="n">
        <x:v>0.1425527563</x:v>
      </x:c>
      <x:c r="C23" s="39" t="n">
        <x:v>-0.1297721092</x:v>
      </x:c>
      <x:c r="D23" s="39" t="n">
        <x:v>-0.1326020014</x:v>
      </x:c>
      <x:c r="E23" s="39" t="n">
        <x:v>0.074378339</x:v>
      </x:c>
      <x:c r="F23" s="39" t="n">
        <x:v>0.1209374064</x:v>
      </x:c>
      <x:c r="G23" s="39" t="n">
        <x:v>0.0567413842</x:v>
      </x:c>
      <x:c r="H23" s="39" t="n">
        <x:v>0.1982883858</x:v>
      </x:c>
      <x:c r="I23" s="39" t="n">
        <x:v>-0.1073669359</x:v>
      </x:c>
      <x:c r="J23" s="39" t="n">
        <x:v>-0.0458177926</x:v>
      </x:c>
      <x:c r="K23" s="39" t="n">
        <x:v>-0.0764254481</x:v>
      </x:c>
      <x:c r="L23" s="39" t="n">
        <x:v>-0.1169020026</x:v>
      </x:c>
      <x:c r="M23" s="39" t="n">
        <x:v>0.0105528629</x:v>
      </x:c>
      <x:c r="N23" s="39" t="n">
        <x:v>0.0483017354</x:v>
      </x:c>
      <x:c r="O23" s="39" t="n">
        <x:v>-0.0822889321</x:v>
      </x:c>
      <x:c r="P23" s="39" t="n">
        <x:v>-0.0651843656</x:v>
      </x:c>
      <x:c r="Q23" s="39" t="n">
        <x:v>-0.0815943341</x:v>
      </x:c>
      <x:c r="R23" s="39" t="n">
        <x:v>-0.0571267311</x:v>
      </x:c>
      <x:c r="S23" s="39" t="n">
        <x:v>-0.0524496753</x:v>
      </x:c>
      <x:c r="T23" s="39" t="n">
        <x:v>0.1760007282</x:v>
      </x:c>
      <x:c r="U23" s="39" t="n">
        <x:v>0.0661124487</x:v>
      </x:c>
      <x:c r="V23" s="39" t="n">
        <x:v>-0.0126305752</x:v>
      </x:c>
      <x:c r="W23" s="39" t="n">
        <x:v>0.0157362498</x:v>
      </x:c>
      <x:c r="X23" s="39" t="n">
        <x:v>0.0322934659</x:v>
      </x:c>
      <x:c r="Y23" s="39" t="n">
        <x:v>0.0751970419</x:v>
      </x:c>
      <x:c r="Z23" s="39" t="n">
        <x:v>-0.059734671</x:v>
      </x:c>
      <x:c r="AA23" s="39" t="n">
        <x:v>0.0692468281</x:v>
      </x:c>
      <x:c r="AB23" s="39" t="n">
        <x:v>-0.0633324663</x:v>
      </x:c>
      <x:c r="AC23" s="39" t="n">
        <x:v>0.0384783364</x:v>
      </x:c>
      <x:c r="AD23" s="39" t="n">
        <x:v>0.0419620627</x:v>
      </x:c>
      <x:c r="AE23" s="39" t="n">
        <x:v>0.0282642031</x:v>
      </x:c>
      <x:c r="AF23" s="39" t="n">
        <x:v>0.0124902454</x:v>
      </x:c>
      <x:c r="AG23" s="39" t="n">
        <x:v>0.0510742332</x:v>
      </x:c>
      <x:c r="AH23" s="39" t="n">
        <x:v>0.0102294167</x:v>
      </x:c>
      <x:c r="AI23" s="39" t="n">
        <x:v>0.0407901841</x:v>
      </x:c>
      <x:c r="AJ23" s="39" t="n">
        <x:v>-0.029376935</x:v>
      </x:c>
      <x:c r="AK23" s="39" t="n">
        <x:v>-0.0223599734</x:v>
      </x:c>
      <x:c r="AL23" s="39" t="n">
        <x:v>0.0147800031</x:v>
      </x:c>
      <x:c r="AM23" s="39" t="n">
        <x:v>0.0051736524</x:v>
      </x:c>
      <x:c r="AN23" s="39" t="n">
        <x:v>-0.0069225432</x:v>
      </x:c>
      <x:c r="AO23" s="39" t="n">
        <x:v>0.0014732022</x:v>
      </x:c>
      <x:c r="AP23" s="39" t="n">
        <x:v>-0.001356145</x:v>
      </x:c>
      <x:c r="AQ23" s="39" t="n">
        <x:v>0.0198514408</x:v>
      </x:c>
      <x:c r="AR23" s="39" t="n">
        <x:v>0.0017965608</x:v>
      </x:c>
    </x:row>
    <x:row r="24" ht="19" customHeight="1">
      <x:c r="A24" s="40" t="d">
        <x:v>2022-09-12T00:00:00.000Z</x:v>
      </x:c>
      <x:c r="B24" s="39" t="n">
        <x:v>0.009016036</x:v>
      </x:c>
      <x:c r="C24" s="39" t="n">
        <x:v>-0.0696369447</x:v>
      </x:c>
      <x:c r="D24" s="39" t="n">
        <x:v>0.1418348555</x:v>
      </x:c>
      <x:c r="E24" s="39" t="n">
        <x:v>0.0128855534</x:v>
      </x:c>
      <x:c r="F24" s="39" t="n">
        <x:v>-0.0051364681</x:v>
      </x:c>
      <x:c r="G24" s="39" t="n">
        <x:v>-0.0628423817</x:v>
      </x:c>
      <x:c r="H24" s="39" t="n">
        <x:v>0.0829181583</x:v>
      </x:c>
      <x:c r="I24" s="39" t="n">
        <x:v>0.0231652456</x:v>
      </x:c>
      <x:c r="J24" s="39" t="n">
        <x:v>-0.0237451542</x:v>
      </x:c>
      <x:c r="K24" s="39" t="n">
        <x:v>0.1742109985</x:v>
      </x:c>
      <x:c r="L24" s="39" t="n">
        <x:v>0.038609399</x:v>
      </x:c>
      <x:c r="M24" s="39" t="n">
        <x:v>0.1253079209</x:v>
      </x:c>
      <x:c r="N24" s="39" t="n">
        <x:v>-0.0757459431</x:v>
      </x:c>
      <x:c r="O24" s="39" t="n">
        <x:v>-0.0571610327</x:v>
      </x:c>
      <x:c r="P24" s="39" t="n">
        <x:v>-0.0603997725</x:v>
      </x:c>
      <x:c r="Q24" s="39" t="n">
        <x:v>-0.0530643792</x:v>
      </x:c>
      <x:c r="R24" s="39" t="n">
        <x:v>0.0097903749</x:v>
      </x:c>
      <x:c r="S24" s="39" t="n">
        <x:v>-0.0046169895</x:v>
      </x:c>
      <x:c r="T24" s="39" t="n">
        <x:v>-0.000606711</x:v>
      </x:c>
      <x:c r="U24" s="39" t="n">
        <x:v>-0.0590440378</x:v>
      </x:c>
      <x:c r="V24" s="39" t="n">
        <x:v>0.0401720433</x:v>
      </x:c>
      <x:c r="W24" s="39" t="n">
        <x:v>0.0337626263</x:v>
      </x:c>
      <x:c r="X24" s="39" t="n">
        <x:v>-0.0350660682</x:v>
      </x:c>
      <x:c r="Y24" s="39" t="n">
        <x:v>0.0293500763</x:v>
      </x:c>
      <x:c r="Z24" s="39" t="n">
        <x:v>-0.047520787</x:v>
      </x:c>
      <x:c r="AA24" s="39" t="n">
        <x:v>-0.0494869466</x:v>
      </x:c>
      <x:c r="AB24" s="39" t="n">
        <x:v>-0.0037968697</x:v>
      </x:c>
      <x:c r="AC24" s="39" t="n">
        <x:v>-0.0090566202</x:v>
      </x:c>
      <x:c r="AD24" s="39" t="n">
        <x:v>-0.0556872331</x:v>
      </x:c>
      <x:c r="AE24" s="39" t="n">
        <x:v>-0.0179975757</x:v>
      </x:c>
      <x:c r="AF24" s="39" t="n">
        <x:v>-0.0226803776</x:v>
      </x:c>
      <x:c r="AG24" s="39" t="n">
        <x:v>-0.0124982736</x:v>
      </x:c>
      <x:c r="AH24" s="39" t="n">
        <x:v>0.0003482331</x:v>
      </x:c>
      <x:c r="AI24" s="39" t="n">
        <x:v>-0.0334044353</x:v>
      </x:c>
      <x:c r="AJ24" s="39" t="n">
        <x:v>-0.0178911453</x:v>
      </x:c>
      <x:c r="AK24" s="39" t="n">
        <x:v>0.0124880377</x:v>
      </x:c>
      <x:c r="AL24" s="39" t="n">
        <x:v>-0.0074764626</x:v>
      </x:c>
      <x:c r="AM24" s="39" t="n">
        <x:v>0.0418257504</x:v>
      </x:c>
      <x:c r="AN24" s="39" t="n">
        <x:v>-0.0154446572</x:v>
      </x:c>
      <x:c r="AO24" s="39" t="n">
        <x:v>0.0167568672</x:v>
      </x:c>
      <x:c r="AP24" s="39" t="n">
        <x:v>-0.0416151318</x:v>
      </x:c>
      <x:c r="AQ24" s="39" t="n">
        <x:v>0.006377295</x:v>
      </x:c>
      <x:c r="AR24" s="39" t="n">
        <x:v>-0.011770474</x:v>
      </x:c>
    </x:row>
    <x:row r="25" ht="19" customHeight="1">
      <x:c r="A25" s="40" t="d">
        <x:v>2022-10-10T00:00:00.000Z</x:v>
      </x:c>
      <x:c r="B25" s="39" t="n">
        <x:v>0.075385145</x:v>
      </x:c>
      <x:c r="C25" s="39" t="n">
        <x:v>-0.0456929084</x:v>
      </x:c>
      <x:c r="D25" s="39" t="n">
        <x:v>0.0767515675</x:v>
      </x:c>
      <x:c r="E25" s="39" t="n">
        <x:v>0.2740575922</x:v>
      </x:c>
      <x:c r="F25" s="39" t="n">
        <x:v>-0.1148446189</x:v>
      </x:c>
      <x:c r="G25" s="39" t="n">
        <x:v>-0.0079018792</x:v>
      </x:c>
      <x:c r="H25" s="39" t="n">
        <x:v>0.1445554882</x:v>
      </x:c>
      <x:c r="I25" s="39" t="n">
        <x:v>0.0877185152</x:v>
      </x:c>
      <x:c r="J25" s="39" t="n">
        <x:v>0.0080011155</x:v>
      </x:c>
      <x:c r="K25" s="39" t="n">
        <x:v>0.0770299576</x:v>
      </x:c>
      <x:c r="L25" s="39" t="n">
        <x:v>0.0610956092</x:v>
      </x:c>
      <x:c r="M25" s="39" t="n">
        <x:v>-0.0480917248</x:v>
      </x:c>
      <x:c r="N25" s="39" t="n">
        <x:v>-0.0003028708</x:v>
      </x:c>
      <x:c r="O25" s="39" t="n">
        <x:v>-0.0599763853</x:v>
      </x:c>
      <x:c r="P25" s="39" t="n">
        <x:v>0.0639702224</x:v>
      </x:c>
      <x:c r="Q25" s="39" t="n">
        <x:v>0.0124451724</x:v>
      </x:c>
      <x:c r="R25" s="39" t="n">
        <x:v>-0.0153014339</x:v>
      </x:c>
      <x:c r="S25" s="39" t="n">
        <x:v>-0.0037948903</x:v>
      </x:c>
      <x:c r="T25" s="39" t="n">
        <x:v>-0.002892565</x:v>
      </x:c>
      <x:c r="U25" s="39" t="n">
        <x:v>0.0825577977</x:v>
      </x:c>
      <x:c r="V25" s="39" t="n">
        <x:v>-0.0091202167</x:v>
      </x:c>
      <x:c r="W25" s="39" t="n">
        <x:v>-0.0547564302</x:v>
      </x:c>
      <x:c r="X25" s="39" t="n">
        <x:v>0.0867371069</x:v>
      </x:c>
      <x:c r="Y25" s="39" t="n">
        <x:v>0.0345846466</x:v>
      </x:c>
      <x:c r="Z25" s="39" t="n">
        <x:v>-0.0377805799</x:v>
      </x:c>
      <x:c r="AA25" s="39" t="n">
        <x:v>0.0536695929</x:v>
      </x:c>
      <x:c r="AB25" s="39" t="n">
        <x:v>0.1023843216</x:v>
      </x:c>
      <x:c r="AC25" s="39" t="n">
        <x:v>0.0178849051</x:v>
      </x:c>
      <x:c r="AD25" s="39" t="n">
        <x:v>0.0328567423</x:v>
      </x:c>
      <x:c r="AE25" s="39" t="n">
        <x:v>-0.030255374</x:v>
      </x:c>
      <x:c r="AF25" s="39" t="n">
        <x:v>0.0285384059</x:v>
      </x:c>
      <x:c r="AG25" s="39" t="n">
        <x:v>0.0535705778</x:v>
      </x:c>
      <x:c r="AH25" s="39" t="n">
        <x:v>0.0099280929</x:v>
      </x:c>
      <x:c r="AI25" s="39" t="n">
        <x:v>-0.0241857606</x:v>
      </x:c>
      <x:c r="AJ25" s="39" t="n">
        <x:v>-0.0038300103</x:v>
      </x:c>
      <x:c r="AK25" s="39" t="n">
        <x:v>0.0034689369</x:v>
      </x:c>
      <x:c r="AL25" s="39" t="n">
        <x:v>-0.0372293212</x:v>
      </x:c>
      <x:c r="AM25" s="39" t="n">
        <x:v>0.0005873873</x:v>
      </x:c>
      <x:c r="AN25" s="39" t="n">
        <x:v>-0.0257710976</x:v>
      </x:c>
      <x:c r="AO25" s="39" t="n">
        <x:v>0.0113871244</x:v>
      </x:c>
      <x:c r="AP25" s="39" t="n">
        <x:v>0.0156436154</x:v>
      </x:c>
      <x:c r="AQ25" s="39" t="n">
        <x:v>-0.032355795</x:v>
      </x:c>
      <x:c r="AR25" s="39" t="n">
        <x:v>0.004703211</x:v>
      </x:c>
    </x:row>
    <x:row r="26" ht="19" customHeight="1">
      <x:c r="A26" s="40" t="d">
        <x:v>2022-11-07T00:00:00.000Z</x:v>
      </x:c>
      <x:c r="B26" s="39" t="n">
        <x:v>0.1531760453</x:v>
      </x:c>
      <x:c r="C26" s="39" t="n">
        <x:v>-0.0843824922</x:v>
      </x:c>
      <x:c r="D26" s="39" t="n">
        <x:v>-0.4313757322</x:v>
      </x:c>
      <x:c r="E26" s="39" t="n">
        <x:v>0.1512568751</x:v>
      </x:c>
      <x:c r="F26" s="39" t="n">
        <x:v>0.119546418</x:v>
      </x:c>
      <x:c r="G26" s="39" t="n">
        <x:v>-0.0964242817</x:v>
      </x:c>
      <x:c r="H26" s="39" t="n">
        <x:v>-0.0336122418</x:v>
      </x:c>
      <x:c r="I26" s="39" t="n">
        <x:v>-0.0536960808</x:v>
      </x:c>
      <x:c r="J26" s="39" t="n">
        <x:v>0.1339123852</x:v>
      </x:c>
      <x:c r="K26" s="39" t="n">
        <x:v>0.1319893043</x:v>
      </x:c>
      <x:c r="L26" s="39" t="n">
        <x:v>0.1199570491</x:v>
      </x:c>
      <x:c r="M26" s="39" t="n">
        <x:v>0.0124863542</x:v>
      </x:c>
      <x:c r="N26" s="39" t="n">
        <x:v>0.164532001</x:v>
      </x:c>
      <x:c r="O26" s="39" t="n">
        <x:v>-0.0655107341</x:v>
      </x:c>
      <x:c r="P26" s="39" t="n">
        <x:v>-0.1035415874</x:v>
      </x:c>
      <x:c r="Q26" s="39" t="n">
        <x:v>-0.0646807431</x:v>
      </x:c>
      <x:c r="R26" s="39" t="n">
        <x:v>-0.0162854064</x:v>
      </x:c>
      <x:c r="S26" s="39" t="n">
        <x:v>-0.033845807</x:v>
      </x:c>
      <x:c r="T26" s="39" t="n">
        <x:v>-0.1456246465</x:v>
      </x:c>
      <x:c r="U26" s="39" t="n">
        <x:v>0.0689915629</x:v>
      </x:c>
      <x:c r="V26" s="39" t="n">
        <x:v>-0.0359763316</x:v>
      </x:c>
      <x:c r="W26" s="39" t="n">
        <x:v>-0.0103608106</x:v>
      </x:c>
      <x:c r="X26" s="39" t="n">
        <x:v>0.0224803556</x:v>
      </x:c>
      <x:c r="Y26" s="39" t="n">
        <x:v>-0.0920477001</x:v>
      </x:c>
      <x:c r="Z26" s="39" t="n">
        <x:v>0.0110538775</x:v>
      </x:c>
      <x:c r="AA26" s="39" t="n">
        <x:v>-0.0223138958</x:v>
      </x:c>
      <x:c r="AB26" s="39" t="n">
        <x:v>-0.0524925984</x:v>
      </x:c>
      <x:c r="AC26" s="39" t="n">
        <x:v>0.0498192376</x:v>
      </x:c>
      <x:c r="AD26" s="39" t="n">
        <x:v>-0.0045818003</x:v>
      </x:c>
      <x:c r="AE26" s="39" t="n">
        <x:v>0.0088596993</x:v>
      </x:c>
      <x:c r="AF26" s="39" t="n">
        <x:v>-0.0350327276</x:v>
      </x:c>
      <x:c r="AG26" s="39" t="n">
        <x:v>-0.0236640756</x:v>
      </x:c>
      <x:c r="AH26" s="39" t="n">
        <x:v>0.0309537536</x:v>
      </x:c>
      <x:c r="AI26" s="39" t="n">
        <x:v>0.0001043402</x:v>
      </x:c>
      <x:c r="AJ26" s="39" t="n">
        <x:v>-0.0064966854</x:v>
      </x:c>
      <x:c r="AK26" s="39" t="n">
        <x:v>0.0381855069</x:v>
      </x:c>
      <x:c r="AL26" s="39" t="n">
        <x:v>0.0141335622</x:v>
      </x:c>
      <x:c r="AM26" s="39" t="n">
        <x:v>0.0248421279</x:v>
      </x:c>
      <x:c r="AN26" s="39" t="n">
        <x:v>-0.0041474528</x:v>
      </x:c>
      <x:c r="AO26" s="39" t="n">
        <x:v>0.0134551712</x:v>
      </x:c>
      <x:c r="AP26" s="39" t="n">
        <x:v>-0.0011314195</x:v>
      </x:c>
      <x:c r="AQ26" s="39" t="n">
        <x:v>-0.0030072782</x:v>
      </x:c>
      <x:c r="AR26" s="39" t="n">
        <x:v>-0.0149623043</x:v>
      </x:c>
    </x:row>
    <x:row r="27" ht="19" customHeight="1">
      <x:c r="A27" s="40" t="d">
        <x:v>2022-12-05T00:00:00.000Z</x:v>
      </x:c>
      <x:c r="B27" s="39" t="n">
        <x:v>0.1001286919</x:v>
      </x:c>
      <x:c r="C27" s="39" t="n">
        <x:v>0.0518878784</x:v>
      </x:c>
      <x:c r="D27" s="39" t="n">
        <x:v>-0.1159852808</x:v>
      </x:c>
      <x:c r="E27" s="39" t="n">
        <x:v>-0.0874503498</x:v>
      </x:c>
      <x:c r="F27" s="39" t="n">
        <x:v>0.0802348742</x:v>
      </x:c>
      <x:c r="G27" s="39" t="n">
        <x:v>-0.1386197717</x:v>
      </x:c>
      <x:c r="H27" s="39" t="n">
        <x:v>-0.1459144825</x:v>
      </x:c>
      <x:c r="I27" s="39" t="n">
        <x:v>0.0944205316</x:v>
      </x:c>
      <x:c r="J27" s="39" t="n">
        <x:v>-0.0563125437</x:v>
      </x:c>
      <x:c r="K27" s="39" t="n">
        <x:v>-0.0772434931</x:v>
      </x:c>
      <x:c r="L27" s="39" t="n">
        <x:v>-0.0425173603</x:v>
      </x:c>
      <x:c r="M27" s="39" t="n">
        <x:v>0.0150162401</x:v>
      </x:c>
      <x:c r="N27" s="39" t="n">
        <x:v>-0.0159634277</x:v>
      </x:c>
      <x:c r="O27" s="39" t="n">
        <x:v>0.0425344015</x:v>
      </x:c>
      <x:c r="P27" s="39" t="n">
        <x:v>0.0309366829</x:v>
      </x:c>
      <x:c r="Q27" s="39" t="n">
        <x:v>-0.0133394554</x:v>
      </x:c>
      <x:c r="R27" s="39" t="n">
        <x:v>0.0237466217</x:v>
      </x:c>
      <x:c r="S27" s="39" t="n">
        <x:v>0.0867864183</x:v>
      </x:c>
      <x:c r="T27" s="39" t="n">
        <x:v>0.0306616795</x:v>
      </x:c>
      <x:c r="U27" s="39" t="n">
        <x:v>-0.0401312133</x:v>
      </x:c>
      <x:c r="V27" s="39" t="n">
        <x:v>-0.046606772</x:v>
      </x:c>
      <x:c r="W27" s="39" t="n">
        <x:v>0.0024234023</x:v>
      </x:c>
      <x:c r="X27" s="39" t="n">
        <x:v>-0.0393097252</x:v>
      </x:c>
      <x:c r="Y27" s="39" t="n">
        <x:v>0.0403574933</x:v>
      </x:c>
      <x:c r="Z27" s="39" t="n">
        <x:v>-0.0760525321</x:v>
      </x:c>
      <x:c r="AA27" s="39" t="n">
        <x:v>0.0078404274</x:v>
      </x:c>
      <x:c r="AB27" s="39" t="n">
        <x:v>0.0237391287</x:v>
      </x:c>
      <x:c r="AC27" s="39" t="n">
        <x:v>0.1053651293</x:v>
      </x:c>
      <x:c r="AD27" s="39" t="n">
        <x:v>-0.0159691677</x:v>
      </x:c>
      <x:c r="AE27" s="39" t="n">
        <x:v>0.0386972762</x:v>
      </x:c>
      <x:c r="AF27" s="39" t="n">
        <x:v>0.0283032403</x:v>
      </x:c>
      <x:c r="AG27" s="39" t="n">
        <x:v>-0.0571587974</x:v>
      </x:c>
      <x:c r="AH27" s="39" t="n">
        <x:v>0.0218678667</x:v>
      </x:c>
      <x:c r="AI27" s="39" t="n">
        <x:v>0.0139655459</x:v>
      </x:c>
      <x:c r="AJ27" s="39" t="n">
        <x:v>0.0108568017</x:v>
      </x:c>
      <x:c r="AK27" s="39" t="n">
        <x:v>0.0461991683</x:v>
      </x:c>
      <x:c r="AL27" s="39" t="n">
        <x:v>0.0106382188</x:v>
      </x:c>
      <x:c r="AM27" s="39" t="n">
        <x:v>-0.0172703181</x:v>
      </x:c>
      <x:c r="AN27" s="39" t="n">
        <x:v>-0.0345038737</x:v>
      </x:c>
      <x:c r="AO27" s="39" t="n">
        <x:v>-0.0289291992</x:v>
      </x:c>
      <x:c r="AP27" s="39" t="n">
        <x:v>0.0050596038</x:v>
      </x:c>
      <x:c r="AQ27" s="39" t="n">
        <x:v>-0.0116395963</x:v>
      </x:c>
      <x:c r="AR27" s="39" t="n">
        <x:v>0.0110466511</x:v>
      </x:c>
    </x:row>
    <x:row r="28" ht="19" customHeight="1">
      <x:c r="A28" s="40" t="d">
        <x:v>2023-01-02T00:00:00.000Z</x:v>
      </x:c>
      <x:c r="B28" s="39" t="n">
        <x:v>-0.2127764203</x:v>
      </x:c>
      <x:c r="C28" s="39" t="n">
        <x:v>0.1455217894</x:v>
      </x:c>
      <x:c r="D28" s="39" t="n">
        <x:v>-0.166756443</x:v>
      </x:c>
      <x:c r="E28" s="39" t="n">
        <x:v>-0.0317254339</x:v>
      </x:c>
      <x:c r="F28" s="39" t="n">
        <x:v>-0.0659326086</x:v>
      </x:c>
      <x:c r="G28" s="39" t="n">
        <x:v>-0.0865955081</x:v>
      </x:c>
      <x:c r="H28" s="39" t="n">
        <x:v>0.0083610456</x:v>
      </x:c>
      <x:c r="I28" s="39" t="n">
        <x:v>0.026158791</x:v>
      </x:c>
      <x:c r="J28" s="39" t="n">
        <x:v>0.151676393</x:v>
      </x:c>
      <x:c r="K28" s="39" t="n">
        <x:v>0.0356949398</x:v>
      </x:c>
      <x:c r="L28" s="39" t="n">
        <x:v>0.0193512075</x:v>
      </x:c>
      <x:c r="M28" s="39" t="n">
        <x:v>0.0397642444</x:v>
      </x:c>
      <x:c r="N28" s="39" t="n">
        <x:v>0.0463570278</x:v>
      </x:c>
      <x:c r="O28" s="39" t="n">
        <x:v>-0.1016348825</x:v>
      </x:c>
      <x:c r="P28" s="39" t="n">
        <x:v>-0.0326406049</x:v>
      </x:c>
      <x:c r="Q28" s="39" t="n">
        <x:v>-0.0492643571</x:v>
      </x:c>
      <x:c r="R28" s="39" t="n">
        <x:v>-0.0399156249</x:v>
      </x:c>
      <x:c r="S28" s="39" t="n">
        <x:v>0.0868738109</x:v>
      </x:c>
      <x:c r="T28" s="39" t="n">
        <x:v>-0.1894977735</x:v>
      </x:c>
      <x:c r="U28" s="39" t="n">
        <x:v>-0.0488285372</x:v>
      </x:c>
      <x:c r="V28" s="39" t="n">
        <x:v>0.0952995593</x:v>
      </x:c>
      <x:c r="W28" s="39" t="n">
        <x:v>0.0113783327</x:v>
      </x:c>
      <x:c r="X28" s="39" t="n">
        <x:v>0.0119235577</x:v>
      </x:c>
      <x:c r="Y28" s="39" t="n">
        <x:v>0.0611779722</x:v>
      </x:c>
      <x:c r="Z28" s="39" t="n">
        <x:v>-0.0628300194</x:v>
      </x:c>
      <x:c r="AA28" s="39" t="n">
        <x:v>-0.0044800282</x:v>
      </x:c>
      <x:c r="AB28" s="39" t="n">
        <x:v>0.0556500868</x:v>
      </x:c>
      <x:c r="AC28" s="39" t="n">
        <x:v>-0.0152171552</x:v>
      </x:c>
      <x:c r="AD28" s="39" t="n">
        <x:v>-0.0396546327</x:v>
      </x:c>
      <x:c r="AE28" s="39" t="n">
        <x:v>-0.026102842</x:v>
      </x:c>
      <x:c r="AF28" s="39" t="n">
        <x:v>-0.0457402487</x:v>
      </x:c>
      <x:c r="AG28" s="39" t="n">
        <x:v>0.0024032128</x:v>
      </x:c>
      <x:c r="AH28" s="39" t="n">
        <x:v>-0.0164769156</x:v>
      </x:c>
      <x:c r="AI28" s="39" t="n">
        <x:v>0.0269805568</x:v>
      </x:c>
      <x:c r="AJ28" s="39" t="n">
        <x:v>-0.0358652907</x:v>
      </x:c>
      <x:c r="AK28" s="39" t="n">
        <x:v>-0.0604392215</x:v>
      </x:c>
      <x:c r="AL28" s="39" t="n">
        <x:v>0.0290819686</x:v>
      </x:c>
      <x:c r="AM28" s="39" t="n">
        <x:v>-0.0089410596</x:v>
      </x:c>
      <x:c r="AN28" s="39" t="n">
        <x:v>0.000845551</x:v>
      </x:c>
      <x:c r="AO28" s="39" t="n">
        <x:v>-0.0042799536</x:v>
      </x:c>
      <x:c r="AP28" s="39" t="n">
        <x:v>-0.029585301</x:v>
      </x:c>
      <x:c r="AQ28" s="39" t="n">
        <x:v>-0.0041354629</x:v>
      </x:c>
      <x:c r="AR28" s="39" t="n">
        <x:v>0.0107045623</x:v>
      </x:c>
    </x:row>
    <x:row r="29" ht="19" customHeight="1">
      <x:c r="A29" s="40" t="d">
        <x:v>2023-01-30T00:00:00.000Z</x:v>
      </x:c>
      <x:c r="B29" s="39" t="n">
        <x:v>0.2975686449</x:v>
      </x:c>
      <x:c r="C29" s="39" t="n">
        <x:v>0.0048756777</x:v>
      </x:c>
      <x:c r="D29" s="39" t="n">
        <x:v>0.189507822</x:v>
      </x:c>
      <x:c r="E29" s="39" t="n">
        <x:v>0.0253626734</x:v>
      </x:c>
      <x:c r="F29" s="39" t="n">
        <x:v>0.0199192857</x:v>
      </x:c>
      <x:c r="G29" s="39" t="n">
        <x:v>0.0799847018</x:v>
      </x:c>
      <x:c r="H29" s="39" t="n">
        <x:v>-0.0081593047</x:v>
      </x:c>
      <x:c r="I29" s="39" t="n">
        <x:v>-0.0538304372</x:v>
      </x:c>
      <x:c r="J29" s="39" t="n">
        <x:v>-0.083328279</x:v>
      </x:c>
      <x:c r="K29" s="39" t="n">
        <x:v>-0.0973971273</x:v>
      </x:c>
      <x:c r="L29" s="39" t="n">
        <x:v>-0.027503022</x:v>
      </x:c>
      <x:c r="M29" s="39" t="n">
        <x:v>0.0212645273</x:v>
      </x:c>
      <x:c r="N29" s="39" t="n">
        <x:v>0.0748166945</x:v>
      </x:c>
      <x:c r="O29" s="39" t="n">
        <x:v>0.0056119871</x:v>
      </x:c>
      <x:c r="P29" s="39" t="n">
        <x:v>0.0735991058</x:v>
      </x:c>
      <x:c r="Q29" s="39" t="n">
        <x:v>0.0025398966</x:v>
      </x:c>
      <x:c r="R29" s="39" t="n">
        <x:v>0.0409896097</x:v>
      </x:c>
      <x:c r="S29" s="39" t="n">
        <x:v>-0.1229466352</x:v>
      </x:c>
      <x:c r="T29" s="39" t="n">
        <x:v>0.0658851049</x:v>
      </x:c>
      <x:c r="U29" s="39" t="n">
        <x:v>0.034134501</x:v>
      </x:c>
      <x:c r="V29" s="39" t="n">
        <x:v>-0.0219012279</x:v>
      </x:c>
      <x:c r="W29" s="39" t="n">
        <x:v>0.0017788998</x:v>
      </x:c>
      <x:c r="X29" s="39" t="n">
        <x:v>0.0078889602</x:v>
      </x:c>
      <x:c r="Y29" s="39" t="n">
        <x:v>0.0122080311</x:v>
      </x:c>
      <x:c r="Z29" s="39" t="n">
        <x:v>-0.021137997</x:v>
      </x:c>
      <x:c r="AA29" s="39" t="n">
        <x:v>0.0108492385</x:v>
      </x:c>
      <x:c r="AB29" s="39" t="n">
        <x:v>-0.0298292341</x:v>
      </x:c>
      <x:c r="AC29" s="39" t="n">
        <x:v>-0.024822764</x:v>
      </x:c>
      <x:c r="AD29" s="39" t="n">
        <x:v>-0.0575449586</x:v>
      </x:c>
      <x:c r="AE29" s="39" t="n">
        <x:v>-0.0295057382</x:v>
      </x:c>
      <x:c r="AF29" s="39" t="n">
        <x:v>0.0077270518</x:v>
      </x:c>
      <x:c r="AG29" s="39" t="n">
        <x:v>-0.0508822743</x:v>
      </x:c>
      <x:c r="AH29" s="39" t="n">
        <x:v>0.0228104814</x:v>
      </x:c>
      <x:c r="AI29" s="39" t="n">
        <x:v>0.0073081406</x:v>
      </x:c>
      <x:c r="AJ29" s="39" t="n">
        <x:v>0.0094607688</x:v>
      </x:c>
      <x:c r="AK29" s="39" t="n">
        <x:v>-0.0128024183</x:v>
      </x:c>
      <x:c r="AL29" s="39" t="n">
        <x:v>0.002186894</x:v>
      </x:c>
      <x:c r="AM29" s="39" t="n">
        <x:v>-0.0431820764</x:v>
      </x:c>
      <x:c r="AN29" s="39" t="n">
        <x:v>0.0379753704</x:v>
      </x:c>
      <x:c r="AO29" s="39" t="n">
        <x:v>-0.0151064083</x:v>
      </x:c>
      <x:c r="AP29" s="39" t="n">
        <x:v>-0.0121088453</x:v>
      </x:c>
      <x:c r="AQ29" s="39" t="n">
        <x:v>0.0157046889</x:v>
      </x:c>
      <x:c r="AR29" s="39" t="n">
        <x:v>-0.000885963</x:v>
      </x:c>
    </x:row>
    <x:row r="30" ht="19" customHeight="1">
      <x:c r="A30" s="40" t="d">
        <x:v>2023-02-27T00:00:00.000Z</x:v>
      </x:c>
      <x:c r="B30" s="39" t="n">
        <x:v>0.0787135869</x:v>
      </x:c>
      <x:c r="C30" s="39" t="n">
        <x:v>-0.2003824403</x:v>
      </x:c>
      <x:c r="D30" s="39" t="n">
        <x:v>-0.0940686197</x:v>
      </x:c>
      <x:c r="E30" s="39" t="n">
        <x:v>-0.0966156036</x:v>
      </x:c>
      <x:c r="F30" s="39" t="n">
        <x:v>0.0954497909</x:v>
      </x:c>
      <x:c r="G30" s="39" t="n">
        <x:v>-0.0513403363</x:v>
      </x:c>
      <x:c r="H30" s="39" t="n">
        <x:v>0.0933710104</x:v>
      </x:c>
      <x:c r="I30" s="39" t="n">
        <x:v>-0.0609763875</x:v>
      </x:c>
      <x:c r="J30" s="39" t="n">
        <x:v>0.0231278167</x:v>
      </x:c>
      <x:c r="K30" s="39" t="n">
        <x:v>-0.002010136</x:v>
      </x:c>
      <x:c r="L30" s="39" t="n">
        <x:v>0.0254366295</x:v>
      </x:c>
      <x:c r="M30" s="39" t="n">
        <x:v>-0.0685712331</x:v>
      </x:c>
      <x:c r="N30" s="39" t="n">
        <x:v>0.1372650136</x:v>
      </x:c>
      <x:c r="O30" s="39" t="n">
        <x:v>0.0553043136</x:v>
      </x:c>
      <x:c r="P30" s="39" t="n">
        <x:v>-0.0266769798</x:v>
      </x:c>
      <x:c r="Q30" s="39" t="n">
        <x:v>-0.1092740029</x:v>
      </x:c>
      <x:c r="R30" s="39" t="n">
        <x:v>-0.0203171294</x:v>
      </x:c>
      <x:c r="S30" s="39" t="n">
        <x:v>-0.1250954141</x:v>
      </x:c>
      <x:c r="T30" s="39" t="n">
        <x:v>-0.0084867136</x:v>
      </x:c>
      <x:c r="U30" s="39" t="n">
        <x:v>0.059033245</x:v>
      </x:c>
      <x:c r="V30" s="39" t="n">
        <x:v>0.0758306287</x:v>
      </x:c>
      <x:c r="W30" s="39" t="n">
        <x:v>0.0829528237</x:v>
      </x:c>
      <x:c r="X30" s="39" t="n">
        <x:v>-0.0952885602</x:v>
      </x:c>
      <x:c r="Y30" s="39" t="n">
        <x:v>0.1011514099</x:v>
      </x:c>
      <x:c r="Z30" s="39" t="n">
        <x:v>-0.0095982739</x:v>
      </x:c>
      <x:c r="AA30" s="39" t="n">
        <x:v>-0.0544923794</x:v>
      </x:c>
      <x:c r="AB30" s="39" t="n">
        <x:v>-0.0239998722</x:v>
      </x:c>
      <x:c r="AC30" s="39" t="n">
        <x:v>-0.063879642</x:v>
      </x:c>
      <x:c r="AD30" s="39" t="n">
        <x:v>0.0551727483</x:v>
      </x:c>
      <x:c r="AE30" s="39" t="n">
        <x:v>0.0259097021</x:v>
      </x:c>
      <x:c r="AF30" s="39" t="n">
        <x:v>0.0345043762</x:v>
      </x:c>
      <x:c r="AG30" s="39" t="n">
        <x:v>0.0454014796</x:v>
      </x:c>
      <x:c r="AH30" s="39" t="n">
        <x:v>-0.0289537068</x:v>
      </x:c>
      <x:c r="AI30" s="39" t="n">
        <x:v>0.0014594391</x:v>
      </x:c>
      <x:c r="AJ30" s="39" t="n">
        <x:v>0.0121824287</x:v>
      </x:c>
      <x:c r="AK30" s="39" t="n">
        <x:v>-0.004773835</x:v>
      </x:c>
      <x:c r="AL30" s="39" t="n">
        <x:v>0.0170565228</x:v>
      </x:c>
      <x:c r="AM30" s="39" t="n">
        <x:v>0.0101512223</x:v>
      </x:c>
      <x:c r="AN30" s="39" t="n">
        <x:v>-0.0089714693</x:v>
      </x:c>
      <x:c r="AO30" s="39" t="n">
        <x:v>-0.0254598655</x:v>
      </x:c>
      <x:c r="AP30" s="39" t="n">
        <x:v>-0.0025792402</x:v>
      </x:c>
      <x:c r="AQ30" s="39" t="n">
        <x:v>-0.0175142033</x:v>
      </x:c>
      <x:c r="AR30" s="39" t="n">
        <x:v>-0.0123278752</x:v>
      </x:c>
    </x:row>
    <x:row r="31" ht="19" customHeight="1">
      <x:c r="A31" s="40" t="d">
        <x:v>2023-03-27T00:00:00.000Z</x:v>
      </x:c>
      <x:c r="B31" s="39" t="n">
        <x:v>0.18530709</x:v>
      </x:c>
      <x:c r="C31" s="39" t="n">
        <x:v>0.0767805593</x:v>
      </x:c>
      <x:c r="D31" s="39" t="n">
        <x:v>-0.0455584683</x:v>
      </x:c>
      <x:c r="E31" s="39" t="n">
        <x:v>0.1173129748</x:v>
      </x:c>
      <x:c r="F31" s="39" t="n">
        <x:v>-0.0174951078</x:v>
      </x:c>
      <x:c r="G31" s="39" t="n">
        <x:v>-0.1132323311</x:v>
      </x:c>
      <x:c r="H31" s="39" t="n">
        <x:v>0.0147916954</x:v>
      </x:c>
      <x:c r="I31" s="39" t="n">
        <x:v>0.1102655427</x:v>
      </x:c>
      <x:c r="J31" s="39" t="n">
        <x:v>-0.0112103169</x:v>
      </x:c>
      <x:c r="K31" s="39" t="n">
        <x:v>-0.0543093976</x:v>
      </x:c>
      <x:c r="L31" s="39" t="n">
        <x:v>-0.0896503997</x:v>
      </x:c>
      <x:c r="M31" s="39" t="n">
        <x:v>0.1227073927</x:v>
      </x:c>
      <x:c r="N31" s="39" t="n">
        <x:v>0.0618798829</x:v>
      </x:c>
      <x:c r="O31" s="39" t="n">
        <x:v>0.0780939988</x:v>
      </x:c>
      <x:c r="P31" s="39" t="n">
        <x:v>-0.0706350746</x:v>
      </x:c>
      <x:c r="Q31" s="39" t="n">
        <x:v>0.108822243</x:v>
      </x:c>
      <x:c r="R31" s="39" t="n">
        <x:v>-0.0378697567</x:v>
      </x:c>
      <x:c r="S31" s="39" t="n">
        <x:v>-0.0015926825</x:v>
      </x:c>
      <x:c r="T31" s="39" t="n">
        <x:v>-0.087131362</x:v>
      </x:c>
      <x:c r="U31" s="39" t="n">
        <x:v>-0.0548643612</x:v>
      </x:c>
      <x:c r="V31" s="39" t="n">
        <x:v>0.0552377443</x:v>
      </x:c>
      <x:c r="W31" s="39" t="n">
        <x:v>-0.0644002468</x:v>
      </x:c>
      <x:c r="X31" s="39" t="n">
        <x:v>0.0380721225</x:v>
      </x:c>
      <x:c r="Y31" s="39" t="n">
        <x:v>0.0588439763</x:v>
      </x:c>
      <x:c r="Z31" s="39" t="n">
        <x:v>-0.0313877842</x:v>
      </x:c>
      <x:c r="AA31" s="39" t="n">
        <x:v>0.0135392666</x:v>
      </x:c>
      <x:c r="AB31" s="39" t="n">
        <x:v>0.0013645613</x:v>
      </x:c>
      <x:c r="AC31" s="39" t="n">
        <x:v>-0.000600184</x:v>
      </x:c>
      <x:c r="AD31" s="39" t="n">
        <x:v>-0.0436063289</x:v>
      </x:c>
      <x:c r="AE31" s="39" t="n">
        <x:v>0.0391294583</x:v>
      </x:c>
      <x:c r="AF31" s="39" t="n">
        <x:v>-0.024499047</x:v>
      </x:c>
      <x:c r="AG31" s="39" t="n">
        <x:v>0.0043472154</x:v>
      </x:c>
      <x:c r="AH31" s="39" t="n">
        <x:v>0.0121858788</x:v>
      </x:c>
      <x:c r="AI31" s="39" t="n">
        <x:v>-0.0244345107</x:v>
      </x:c>
      <x:c r="AJ31" s="39" t="n">
        <x:v>0.0324422944</x:v>
      </x:c>
      <x:c r="AK31" s="39" t="n">
        <x:v>0.0091213833</x:v>
      </x:c>
      <x:c r="AL31" s="39" t="n">
        <x:v>0.018613106</x:v>
      </x:c>
      <x:c r="AM31" s="39" t="n">
        <x:v>-0.0039304965</x:v>
      </x:c>
      <x:c r="AN31" s="39" t="n">
        <x:v>0.0116862553</x:v>
      </x:c>
      <x:c r="AO31" s="39" t="n">
        <x:v>0.0226539089</x:v>
      </x:c>
      <x:c r="AP31" s="39" t="n">
        <x:v>0.0206142037</x:v>
      </x:c>
      <x:c r="AQ31" s="39" t="n">
        <x:v>0.0030836706</x:v>
      </x:c>
      <x:c r="AR31" s="39" t="n">
        <x:v>-0.0069895832</x:v>
      </x:c>
    </x:row>
    <x:row r="32" ht="19" customHeight="1">
      <x:c r="A32" s="40" t="d">
        <x:v>2023-04-24T00:00:00.000Z</x:v>
      </x:c>
      <x:c r="B32" s="39" t="n">
        <x:v>-0.0565739062</x:v>
      </x:c>
      <x:c r="C32" s="39" t="n">
        <x:v>0.1177093478</x:v>
      </x:c>
      <x:c r="D32" s="39" t="n">
        <x:v>-0.1957857491</x:v>
      </x:c>
      <x:c r="E32" s="39" t="n">
        <x:v>0.0227870599</x:v>
      </x:c>
      <x:c r="F32" s="39" t="n">
        <x:v>-0.3283664818</x:v>
      </x:c>
      <x:c r="G32" s="39" t="n">
        <x:v>-0.2169217481</x:v>
      </x:c>
      <x:c r="H32" s="39" t="n">
        <x:v>0.1061077197</x:v>
      </x:c>
      <x:c r="I32" s="39" t="n">
        <x:v>-0.1353649861</x:v>
      </x:c>
      <x:c r="J32" s="39" t="n">
        <x:v>-0.3007467824</x:v>
      </x:c>
      <x:c r="K32" s="39" t="n">
        <x:v>-0.1799458845</x:v>
      </x:c>
      <x:c r="L32" s="39" t="n">
        <x:v>0.0335243508</x:v>
      </x:c>
      <x:c r="M32" s="39" t="n">
        <x:v>0.149741837</x:v>
      </x:c>
      <x:c r="N32" s="39" t="n">
        <x:v>0.1346993094</x:v>
      </x:c>
      <x:c r="O32" s="39" t="n">
        <x:v>-0.0028858059</x:v>
      </x:c>
      <x:c r="P32" s="39" t="n">
        <x:v>0.0696497966</x:v>
      </x:c>
      <x:c r="Q32" s="39" t="n">
        <x:v>-0.0328670655</x:v>
      </x:c>
      <x:c r="R32" s="39" t="n">
        <x:v>0.043160444</x:v>
      </x:c>
      <x:c r="S32" s="39" t="n">
        <x:v>0.0813424302</x:v>
      </x:c>
      <x:c r="T32" s="39" t="n">
        <x:v>-0.0318731741</x:v>
      </x:c>
      <x:c r="U32" s="39" t="n">
        <x:v>0.1163469285</x:v>
      </x:c>
      <x:c r="V32" s="39" t="n">
        <x:v>0.0875558366</x:v>
      </x:c>
      <x:c r="W32" s="39" t="n">
        <x:v>-0.0852033819</x:v>
      </x:c>
      <x:c r="X32" s="39" t="n">
        <x:v>-0.034078691</x:v>
      </x:c>
      <x:c r="Y32" s="39" t="n">
        <x:v>-0.1539891345</x:v>
      </x:c>
      <x:c r="Z32" s="39" t="n">
        <x:v>0.0200006092</x:v>
      </x:c>
      <x:c r="AA32" s="39" t="n">
        <x:v>-0.0240478492</x:v>
      </x:c>
      <x:c r="AB32" s="39" t="n">
        <x:v>0.0037899932</x:v>
      </x:c>
      <x:c r="AC32" s="39" t="n">
        <x:v>-0.0037173503</x:v>
      </x:c>
      <x:c r="AD32" s="39" t="n">
        <x:v>0.011303769</x:v>
      </x:c>
      <x:c r="AE32" s="39" t="n">
        <x:v>-0.0031229896</x:v>
      </x:c>
      <x:c r="AF32" s="39" t="n">
        <x:v>-0.0199248618</x:v>
      </x:c>
      <x:c r="AG32" s="39" t="n">
        <x:v>0.0086009585</x:v>
      </x:c>
      <x:c r="AH32" s="39" t="n">
        <x:v>0.0288744082</x:v>
      </x:c>
      <x:c r="AI32" s="39" t="n">
        <x:v>0.0069527526</x:v>
      </x:c>
      <x:c r="AJ32" s="39" t="n">
        <x:v>-0.0031414773</x:v>
      </x:c>
      <x:c r="AK32" s="39" t="n">
        <x:v>-0.038237566</x:v>
      </x:c>
      <x:c r="AL32" s="39" t="n">
        <x:v>-0.0062582732</x:v>
      </x:c>
      <x:c r="AM32" s="39" t="n">
        <x:v>0.0115943283</x:v>
      </x:c>
      <x:c r="AN32" s="39" t="n">
        <x:v>0.0019947067</x:v>
      </x:c>
      <x:c r="AO32" s="39" t="n">
        <x:v>-0.0019465046</x:v>
      </x:c>
      <x:c r="AP32" s="39" t="n">
        <x:v>0.0262764155</x:v>
      </x:c>
      <x:c r="AQ32" s="39" t="n">
        <x:v>-0.0011814329</x:v>
      </x:c>
      <x:c r="AR32" s="39" t="n">
        <x:v>-0.0086234498</x:v>
      </x:c>
    </x:row>
    <x:row r="33" ht="19" customHeight="1">
      <x:c r="A33" s="40" t="d">
        <x:v>2023-05-22T00:00:00.000Z</x:v>
      </x:c>
      <x:c r="B33" s="39" t="n">
        <x:v>0.4139940583</x:v>
      </x:c>
      <x:c r="C33" s="39" t="n">
        <x:v>0.1045137776</x:v>
      </x:c>
      <x:c r="D33" s="39" t="n">
        <x:v>0.3766956184</x:v>
      </x:c>
      <x:c r="E33" s="39" t="n">
        <x:v>0.0376167478</x:v>
      </x:c>
      <x:c r="F33" s="39" t="n">
        <x:v>0.0451335887</x:v>
      </x:c>
      <x:c r="G33" s="39" t="n">
        <x:v>0.1457254105</x:v>
      </x:c>
      <x:c r="H33" s="39" t="n">
        <x:v>0.0825447542</x:v>
      </x:c>
      <x:c r="I33" s="39" t="n">
        <x:v>-0.0986289957</x:v>
      </x:c>
      <x:c r="J33" s="39" t="n">
        <x:v>0.2088248053</x:v>
      </x:c>
      <x:c r="K33" s="39" t="n">
        <x:v>0.1143382103</x:v>
      </x:c>
      <x:c r="L33" s="39" t="n">
        <x:v>0.0704061427</x:v>
      </x:c>
      <x:c r="M33" s="39" t="n">
        <x:v>0.0183034084</x:v>
      </x:c>
      <x:c r="N33" s="39" t="n">
        <x:v>-0.0516047799</x:v>
      </x:c>
      <x:c r="O33" s="39" t="n">
        <x:v>-0.0028199343</x:v>
      </x:c>
      <x:c r="P33" s="39" t="n">
        <x:v>-0.0797120845</x:v>
      </x:c>
      <x:c r="Q33" s="39" t="n">
        <x:v>0.1266956258</x:v>
      </x:c>
      <x:c r="R33" s="39" t="n">
        <x:v>0.1468700954</x:v>
      </x:c>
      <x:c r="S33" s="39" t="n">
        <x:v>0.0422044642</x:v>
      </x:c>
      <x:c r="T33" s="39" t="n">
        <x:v>-0.0702244112</x:v>
      </x:c>
      <x:c r="U33" s="39" t="n">
        <x:v>0.0389632764</x:v>
      </x:c>
      <x:c r="V33" s="39" t="n">
        <x:v>-0.0834319531</x:v>
      </x:c>
      <x:c r="W33" s="39" t="n">
        <x:v>0.0181313317</x:v>
      </x:c>
      <x:c r="X33" s="39" t="n">
        <x:v>0.1005905439</x:v>
      </x:c>
      <x:c r="Y33" s="39" t="n">
        <x:v>0.00523091</x:v>
      </x:c>
      <x:c r="Z33" s="39" t="n">
        <x:v>-0.0142967804</x:v>
      </x:c>
      <x:c r="AA33" s="39" t="n">
        <x:v>-0.006045331</x:v>
      </x:c>
      <x:c r="AB33" s="39" t="n">
        <x:v>-0.0612339726</x:v>
      </x:c>
      <x:c r="AC33" s="39" t="n">
        <x:v>-0.0331484889</x:v>
      </x:c>
      <x:c r="AD33" s="39" t="n">
        <x:v>0.0089789304</x:v>
      </x:c>
      <x:c r="AE33" s="39" t="n">
        <x:v>0.0803855869</x:v>
      </x:c>
      <x:c r="AF33" s="39" t="n">
        <x:v>-0.0428648465</x:v>
      </x:c>
      <x:c r="AG33" s="39" t="n">
        <x:v>-0.0296637651</x:v>
      </x:c>
      <x:c r="AH33" s="39" t="n">
        <x:v>0.0160835817</x:v>
      </x:c>
      <x:c r="AI33" s="39" t="n">
        <x:v>-0.0250919303</x:v>
      </x:c>
      <x:c r="AJ33" s="39" t="n">
        <x:v>-0.0157330074</x:v>
      </x:c>
      <x:c r="AK33" s="39" t="n">
        <x:v>-0.0203169294</x:v>
      </x:c>
      <x:c r="AL33" s="39" t="n">
        <x:v>-0.0095812302</x:v>
      </x:c>
      <x:c r="AM33" s="39" t="n">
        <x:v>0.0090799153</x:v>
      </x:c>
      <x:c r="AN33" s="39" t="n">
        <x:v>0.0071479943</x:v>
      </x:c>
      <x:c r="AO33" s="39" t="n">
        <x:v>-0.0230755932</x:v>
      </x:c>
      <x:c r="AP33" s="39" t="n">
        <x:v>0.0246967351</x:v>
      </x:c>
      <x:c r="AQ33" s="39" t="n">
        <x:v>0.0043030641</x:v>
      </x:c>
      <x:c r="AR33" s="39" t="n">
        <x:v>0.0095536892</x:v>
      </x:c>
    </x:row>
    <x:row r="34" ht="19" customHeight="1">
      <x:c r="A34" s="40" t="d">
        <x:v>2023-06-19T00:00:00.000Z</x:v>
      </x:c>
      <x:c r="B34" s="39" t="n">
        <x:v>0.2455656968</x:v>
      </x:c>
      <x:c r="C34" s="39" t="n">
        <x:v>-0.0886535289</x:v>
      </x:c>
      <x:c r="D34" s="39" t="n">
        <x:v>0.10984692</x:v>
      </x:c>
      <x:c r="E34" s="39" t="n">
        <x:v>-0.1397476509</x:v>
      </x:c>
      <x:c r="F34" s="39" t="n">
        <x:v>-0.0346486163</x:v>
      </x:c>
      <x:c r="G34" s="39" t="n">
        <x:v>-0.2090105832</x:v>
      </x:c>
      <x:c r="H34" s="39" t="n">
        <x:v>-0.087290593</x:v>
      </x:c>
      <x:c r="I34" s="39" t="n">
        <x:v>0.008929139</x:v>
      </x:c>
      <x:c r="J34" s="39" t="n">
        <x:v>-0.0645847768</x:v>
      </x:c>
      <x:c r="K34" s="39" t="n">
        <x:v>-0.0362493387</x:v>
      </x:c>
      <x:c r="L34" s="39" t="n">
        <x:v>-0.0215443035</x:v>
      </x:c>
      <x:c r="M34" s="39" t="n">
        <x:v>-0.049048335</x:v>
      </x:c>
      <x:c r="N34" s="39" t="n">
        <x:v>-0.0451637694</x:v>
      </x:c>
      <x:c r="O34" s="39" t="n">
        <x:v>-0.0323732097</x:v>
      </x:c>
      <x:c r="P34" s="39" t="n">
        <x:v>-0.1025889492</x:v>
      </x:c>
      <x:c r="Q34" s="39" t="n">
        <x:v>-0.0961311728</x:v>
      </x:c>
      <x:c r="R34" s="39" t="n">
        <x:v>0.1086058762</x:v>
      </x:c>
      <x:c r="S34" s="39" t="n">
        <x:v>0.1254108011</x:v>
      </x:c>
      <x:c r="T34" s="39" t="n">
        <x:v>0.0103282073</x:v>
      </x:c>
      <x:c r="U34" s="39" t="n">
        <x:v>-0.0707796727</x:v>
      </x:c>
      <x:c r="V34" s="39" t="n">
        <x:v>-0.0286923003</x:v>
      </x:c>
      <x:c r="W34" s="39" t="n">
        <x:v>0.0328433209</x:v>
      </x:c>
      <x:c r="X34" s="39" t="n">
        <x:v>0.0248524562</x:v>
      </x:c>
      <x:c r="Y34" s="39" t="n">
        <x:v>0.0486631612</x:v>
      </x:c>
      <x:c r="Z34" s="39" t="n">
        <x:v>-0.0001525767</x:v>
      </x:c>
      <x:c r="AA34" s="39" t="n">
        <x:v>-0.0344518812</x:v>
      </x:c>
      <x:c r="AB34" s="39" t="n">
        <x:v>0.005318721</x:v>
      </x:c>
      <x:c r="AC34" s="39" t="n">
        <x:v>0.0045898989</x:v>
      </x:c>
      <x:c r="AD34" s="39" t="n">
        <x:v>0.0283668842</x:v>
      </x:c>
      <x:c r="AE34" s="39" t="n">
        <x:v>0.055303214</x:v>
      </x:c>
      <x:c r="AF34" s="39" t="n">
        <x:v>0.0261337831</x:v>
      </x:c>
      <x:c r="AG34" s="39" t="n">
        <x:v>0.0441233738</x:v>
      </x:c>
      <x:c r="AH34" s="39" t="n">
        <x:v>0.018835226</x:v>
      </x:c>
      <x:c r="AI34" s="39" t="n">
        <x:v>-0.0237813809</x:v>
      </x:c>
      <x:c r="AJ34" s="39" t="n">
        <x:v>0.0196483059</x:v>
      </x:c>
      <x:c r="AK34" s="39" t="n">
        <x:v>0.0124524385</x:v>
      </x:c>
      <x:c r="AL34" s="39" t="n">
        <x:v>-0.0106799168</x:v>
      </x:c>
      <x:c r="AM34" s="39" t="n">
        <x:v>0.0077831145</x:v>
      </x:c>
      <x:c r="AN34" s="39" t="n">
        <x:v>-0.015433747</x:v>
      </x:c>
      <x:c r="AO34" s="39" t="n">
        <x:v>0.0118140444</x:v>
      </x:c>
      <x:c r="AP34" s="39" t="n">
        <x:v>0.0042866201</x:v>
      </x:c>
      <x:c r="AQ34" s="39" t="n">
        <x:v>0.0200117375</x:v>
      </x:c>
      <x:c r="AR34" s="39" t="n">
        <x:v>0.0028515595</x:v>
      </x:c>
    </x:row>
    <x:row r="35" ht="19" customHeight="1">
      <x:c r="A35" s="40" t="d">
        <x:v>2023-07-17T00:00:00.000Z</x:v>
      </x:c>
      <x:c r="B35" s="39" t="n">
        <x:v>0.3720832942</x:v>
      </x:c>
      <x:c r="C35" s="39" t="n">
        <x:v>0.0250816801</x:v>
      </x:c>
      <x:c r="D35" s="39" t="n">
        <x:v>0.3254371833</x:v>
      </x:c>
      <x:c r="E35" s="39" t="n">
        <x:v>0.0495656855</x:v>
      </x:c>
      <x:c r="F35" s="39" t="n">
        <x:v>0.0056584765</x:v>
      </x:c>
      <x:c r="G35" s="39" t="n">
        <x:v>-0.121753732</x:v>
      </x:c>
      <x:c r="H35" s="39" t="n">
        <x:v>0.0299093094</x:v>
      </x:c>
      <x:c r="I35" s="39" t="n">
        <x:v>-0.0321956454</x:v>
      </x:c>
      <x:c r="J35" s="39" t="n">
        <x:v>-0.0792146981</x:v>
      </x:c>
      <x:c r="K35" s="39" t="n">
        <x:v>0.006055315</x:v>
      </x:c>
      <x:c r="L35" s="39" t="n">
        <x:v>0.053857222</x:v>
      </x:c>
      <x:c r="M35" s="39" t="n">
        <x:v>-0.0144461017</x:v>
      </x:c>
      <x:c r="N35" s="39" t="n">
        <x:v>-0.0637789235</x:v>
      </x:c>
      <x:c r="O35" s="39" t="n">
        <x:v>0.0979993543</x:v>
      </x:c>
      <x:c r="P35" s="39" t="n">
        <x:v>0.0387794158</x:v>
      </x:c>
      <x:c r="Q35" s="39" t="n">
        <x:v>-0.0142391608</x:v>
      </x:c>
      <x:c r="R35" s="39" t="n">
        <x:v>0.0509638416</x:v>
      </x:c>
      <x:c r="S35" s="39" t="n">
        <x:v>0.0166684643</x:v>
      </x:c>
      <x:c r="T35" s="39" t="n">
        <x:v>0.0119010122</x:v>
      </x:c>
      <x:c r="U35" s="39" t="n">
        <x:v>0.0094952089</x:v>
      </x:c>
      <x:c r="V35" s="39" t="n">
        <x:v>0.0563667019</x:v>
      </x:c>
      <x:c r="W35" s="39" t="n">
        <x:v>-0.0723570126</x:v>
      </x:c>
      <x:c r="X35" s="39" t="n">
        <x:v>-0.0359287471</x:v>
      </x:c>
      <x:c r="Y35" s="39" t="n">
        <x:v>-0.0158038747</x:v>
      </x:c>
      <x:c r="Z35" s="39" t="n">
        <x:v>0.0673285471</x:v>
      </x:c>
      <x:c r="AA35" s="39" t="n">
        <x:v>0.0442202944</x:v>
      </x:c>
      <x:c r="AB35" s="39" t="n">
        <x:v>0.0599936739</x:v>
      </x:c>
      <x:c r="AC35" s="39" t="n">
        <x:v>-0.0121949901</x:v>
      </x:c>
      <x:c r="AD35" s="39" t="n">
        <x:v>0.0640206788</x:v>
      </x:c>
      <x:c r="AE35" s="39" t="n">
        <x:v>0.0244545142</x:v>
      </x:c>
      <x:c r="AF35" s="39" t="n">
        <x:v>-0.007896535</x:v>
      </x:c>
      <x:c r="AG35" s="39" t="n">
        <x:v>-0.0208813985</x:v>
      </x:c>
      <x:c r="AH35" s="39" t="n">
        <x:v>0.0055234471</x:v>
      </x:c>
      <x:c r="AI35" s="39" t="n">
        <x:v>0.0182864256</x:v>
      </x:c>
      <x:c r="AJ35" s="39" t="n">
        <x:v>0.0218232396</x:v>
      </x:c>
      <x:c r="AK35" s="39" t="n">
        <x:v>-0.0059256328</x:v>
      </x:c>
      <x:c r="AL35" s="39" t="n">
        <x:v>0.0387930342</x:v>
      </x:c>
      <x:c r="AM35" s="39" t="n">
        <x:v>0.0173916198</x:v>
      </x:c>
      <x:c r="AN35" s="39" t="n">
        <x:v>-0.0036877014</x:v>
      </x:c>
      <x:c r="AO35" s="39" t="n">
        <x:v>-0.006098405</x:v>
      </x:c>
      <x:c r="AP35" s="39" t="n">
        <x:v>-0.0220234294</x:v>
      </x:c>
      <x:c r="AQ35" s="39" t="n">
        <x:v>0.0016724296</x:v>
      </x:c>
      <x:c r="AR35" s="39" t="n">
        <x:v>0.0187005899</x:v>
      </x:c>
    </x:row>
    <x:row r="36" ht="19" customHeight="1">
      <x:c r="A36" s="40" t="d">
        <x:v>2023-08-14T00:00:00.000Z</x:v>
      </x:c>
      <x:c r="B36" s="39" t="n">
        <x:v>-0.4112873435</x:v>
      </x:c>
      <x:c r="C36" s="39" t="n">
        <x:v>0.0088296576</x:v>
      </x:c>
      <x:c r="D36" s="39" t="n">
        <x:v>-0.3492752981</x:v>
      </x:c>
      <x:c r="E36" s="39" t="n">
        <x:v>0.1027285998</x:v>
      </x:c>
      <x:c r="F36" s="39" t="n">
        <x:v>-0.2363883442</x:v>
      </x:c>
      <x:c r="G36" s="39" t="n">
        <x:v>0.2440318917</x:v>
      </x:c>
      <x:c r="H36" s="39" t="n">
        <x:v>0.0604895292</x:v>
      </x:c>
      <x:c r="I36" s="39" t="n">
        <x:v>-0.0539496795</x:v>
      </x:c>
      <x:c r="J36" s="39" t="n">
        <x:v>0.0759818242</x:v>
      </x:c>
      <x:c r="K36" s="39" t="n">
        <x:v>0.0428152277</x:v>
      </x:c>
      <x:c r="L36" s="39" t="n">
        <x:v>0.1044265428</x:v>
      </x:c>
      <x:c r="M36" s="39" t="n">
        <x:v>-0.0578379777</x:v>
      </x:c>
      <x:c r="N36" s="39" t="n">
        <x:v>0.02874407</x:v>
      </x:c>
      <x:c r="O36" s="39" t="n">
        <x:v>-0.0285829689</x:v>
      </x:c>
      <x:c r="P36" s="39" t="n">
        <x:v>0.1829030831</x:v>
      </x:c>
      <x:c r="Q36" s="39" t="n">
        <x:v>0.1107709423</x:v>
      </x:c>
      <x:c r="R36" s="39" t="n">
        <x:v>-0.0439300691</x:v>
      </x:c>
      <x:c r="S36" s="39" t="n">
        <x:v>0.1074662916</x:v>
      </x:c>
      <x:c r="T36" s="39" t="n">
        <x:v>-0.0406242896</x:v>
      </x:c>
      <x:c r="U36" s="39" t="n">
        <x:v>-0.0613610893</x:v>
      </x:c>
      <x:c r="V36" s="39" t="n">
        <x:v>0.0541979219</x:v>
      </x:c>
      <x:c r="W36" s="39" t="n">
        <x:v>0.1754766155</x:v>
      </x:c>
      <x:c r="X36" s="39" t="n">
        <x:v>0.104187369</x:v>
      </x:c>
      <x:c r="Y36" s="39" t="n">
        <x:v>-0.0072390253</x:v>
      </x:c>
      <x:c r="Z36" s="39" t="n">
        <x:v>-0.0540503659</x:v>
      </x:c>
      <x:c r="AA36" s="39" t="n">
        <x:v>0.0644103677</x:v>
      </x:c>
      <x:c r="AB36" s="39" t="n">
        <x:v>-0.0148107283</x:v>
      </x:c>
      <x:c r="AC36" s="39" t="n">
        <x:v>-0.0088221382</x:v>
      </x:c>
      <x:c r="AD36" s="39" t="n">
        <x:v>0.0408720342</x:v>
      </x:c>
      <x:c r="AE36" s="39" t="n">
        <x:v>0.0425454709</x:v>
      </x:c>
      <x:c r="AF36" s="39" t="n">
        <x:v>0.0439169629</x:v>
      </x:c>
      <x:c r="AG36" s="39" t="n">
        <x:v>-0.0148094803</x:v>
      </x:c>
      <x:c r="AH36" s="39" t="n">
        <x:v>0.0036833827</x:v>
      </x:c>
      <x:c r="AI36" s="39" t="n">
        <x:v>0.0094492749</x:v>
      </x:c>
      <x:c r="AJ36" s="39" t="n">
        <x:v>0.0102442502</x:v>
      </x:c>
      <x:c r="AK36" s="39" t="n">
        <x:v>-0.0151201715</x:v>
      </x:c>
      <x:c r="AL36" s="39" t="n">
        <x:v>-0.0346438739</x:v>
      </x:c>
      <x:c r="AM36" s="39" t="n">
        <x:v>0.0041474677</x:v>
      </x:c>
      <x:c r="AN36" s="39" t="n">
        <x:v>0.0286539383</x:v>
      </x:c>
      <x:c r="AO36" s="39" t="n">
        <x:v>-0.0086400701</x:v>
      </x:c>
      <x:c r="AP36" s="39" t="n">
        <x:v>0.0020437307</x:v>
      </x:c>
      <x:c r="AQ36" s="39" t="n">
        <x:v>0.0079502789</x:v>
      </x:c>
      <x:c r="AR36" s="39" t="n">
        <x:v>-0.0031736343</x:v>
      </x:c>
    </x:row>
    <x:row r="37" ht="19" customHeight="1">
      <x:c r="A37" s="40" t="d">
        <x:v>2023-09-11T00:00:00.000Z</x:v>
      </x:c>
      <x:c r="B37" s="39" t="n">
        <x:v>-0.1290627429</x:v>
      </x:c>
      <x:c r="C37" s="39" t="n">
        <x:v>0.0960226481</x:v>
      </x:c>
      <x:c r="D37" s="39" t="n">
        <x:v>-0.1727692075</x:v>
      </x:c>
      <x:c r="E37" s="39" t="n">
        <x:v>0.2011270121</x:v>
      </x:c>
      <x:c r="F37" s="39" t="n">
        <x:v>-0.12126185</x:v>
      </x:c>
      <x:c r="G37" s="39" t="n">
        <x:v>-0.0099721105</x:v>
      </x:c>
      <x:c r="H37" s="39" t="n">
        <x:v>0.0149798691</x:v>
      </x:c>
      <x:c r="I37" s="39" t="n">
        <x:v>-0.0474088696</x:v>
      </x:c>
      <x:c r="J37" s="39" t="n">
        <x:v>0.0448873272</x:v>
      </x:c>
      <x:c r="K37" s="39" t="n">
        <x:v>0.1088741412</x:v>
      </x:c>
      <x:c r="L37" s="39" t="n">
        <x:v>-0.0323370712</x:v>
      </x:c>
      <x:c r="M37" s="39" t="n">
        <x:v>-0.1764277778</x:v>
      </x:c>
      <x:c r="N37" s="39" t="n">
        <x:v>-0.071309055</x:v>
      </x:c>
      <x:c r="O37" s="39" t="n">
        <x:v>-0.1149467538</x:v>
      </x:c>
      <x:c r="P37" s="39" t="n">
        <x:v>-0.0837291334</x:v>
      </x:c>
      <x:c r="Q37" s="39" t="n">
        <x:v>0.0614032652</x:v>
      </x:c>
      <x:c r="R37" s="39" t="n">
        <x:v>-0.0179113053</x:v>
      </x:c>
      <x:c r="S37" s="39" t="n">
        <x:v>-0.0213241189</x:v>
      </x:c>
      <x:c r="T37" s="39" t="n">
        <x:v>-0.0232401807</x:v>
      </x:c>
      <x:c r="U37" s="39" t="n">
        <x:v>0.0387654791</x:v>
      </x:c>
      <x:c r="V37" s="39" t="n">
        <x:v>-0.0473657233</x:v>
      </x:c>
      <x:c r="W37" s="39" t="n">
        <x:v>-0.0742578701</x:v>
      </x:c>
      <x:c r="X37" s="39" t="n">
        <x:v>-0.0198558652</x:v>
      </x:c>
      <x:c r="Y37" s="39" t="n">
        <x:v>0.0128694368</x:v>
      </x:c>
      <x:c r="Z37" s="39" t="n">
        <x:v>0.0324912747</x:v>
      </x:c>
      <x:c r="AA37" s="39" t="n">
        <x:v>0.0009267584</x:v>
      </x:c>
      <x:c r="AB37" s="39" t="n">
        <x:v>-0.0359036501</x:v>
      </x:c>
      <x:c r="AC37" s="39" t="n">
        <x:v>-0.0730264926</x:v>
      </x:c>
      <x:c r="AD37" s="39" t="n">
        <x:v>-0.0353472046</x:v>
      </x:c>
      <x:c r="AE37" s="39" t="n">
        <x:v>-0.0002300752</x:v>
      </x:c>
      <x:c r="AF37" s="39" t="n">
        <x:v>0.0179310674</x:v>
      </x:c>
      <x:c r="AG37" s="39" t="n">
        <x:v>-0.0296943665</x:v>
      </x:c>
      <x:c r="AH37" s="39" t="n">
        <x:v>0.0245790113</x:v>
      </x:c>
      <x:c r="AI37" s="39" t="n">
        <x:v>-0.0010391997</x:v>
      </x:c>
      <x:c r="AJ37" s="39" t="n">
        <x:v>0.0229934169</x:v>
      </x:c>
      <x:c r="AK37" s="39" t="n">
        <x:v>0.0053515503</x:v>
      </x:c>
      <x:c r="AL37" s="39" t="n">
        <x:v>0.0096598277</x:v>
      </x:c>
      <x:c r="AM37" s="39" t="n">
        <x:v>-0.0129181551</x:v>
      </x:c>
      <x:c r="AN37" s="39" t="n">
        <x:v>-0.0047041139</x:v>
      </x:c>
      <x:c r="AO37" s="39" t="n">
        <x:v>-0.015691531</x:v>
      </x:c>
      <x:c r="AP37" s="39" t="n">
        <x:v>0.0082248273</x:v>
      </x:c>
      <x:c r="AQ37" s="39" t="n">
        <x:v>0.0234489158</x:v>
      </x:c>
      <x:c r="AR37" s="39" t="n">
        <x:v>-0.0073495201</x:v>
      </x:c>
    </x:row>
    <x:row r="38" ht="19" customHeight="1">
      <x:c r="A38" s="40" t="d">
        <x:v>2023-10-09T00:00:00.000Z</x:v>
      </x:c>
      <x:c r="B38" s="39" t="n">
        <x:v>0.1453653716</x:v>
      </x:c>
      <x:c r="C38" s="39" t="n">
        <x:v>0.0519184708</x:v>
      </x:c>
      <x:c r="D38" s="39" t="n">
        <x:v>-0.033656685</x:v>
      </x:c>
      <x:c r="E38" s="39" t="n">
        <x:v>-0.0489544696</x:v>
      </x:c>
      <x:c r="F38" s="39" t="n">
        <x:v>-0.1218336059</x:v>
      </x:c>
      <x:c r="G38" s="39" t="n">
        <x:v>0.0201903164</x:v>
      </x:c>
      <x:c r="H38" s="39" t="n">
        <x:v>0.1231790713</x:v>
      </x:c>
      <x:c r="I38" s="39" t="n">
        <x:v>-0.0275098282</x:v>
      </x:c>
      <x:c r="J38" s="39" t="n">
        <x:v>-0.055208416</x:v>
      </x:c>
      <x:c r="K38" s="39" t="n">
        <x:v>-0.1650084575</x:v>
      </x:c>
      <x:c r="L38" s="39" t="n">
        <x:v>-0.0773860866</x:v>
      </x:c>
      <x:c r="M38" s="39" t="n">
        <x:v>-0.0352669838</x:v>
      </x:c>
      <x:c r="N38" s="39" t="n">
        <x:v>0.086907133</x:v>
      </x:c>
      <x:c r="O38" s="39" t="n">
        <x:v>-0.0435775487</x:v>
      </x:c>
      <x:c r="P38" s="39" t="n">
        <x:v>-0.0522400766</x:v>
      </x:c>
      <x:c r="Q38" s="39" t="n">
        <x:v>-0.0113065903</x:v>
      </x:c>
      <x:c r="R38" s="39" t="n">
        <x:v>-0.069518968</x:v>
      </x:c>
      <x:c r="S38" s="39" t="n">
        <x:v>-0.022362692</x:v>
      </x:c>
      <x:c r="T38" s="39" t="n">
        <x:v>-0.0428538279</x:v>
      </x:c>
      <x:c r="U38" s="39" t="n">
        <x:v>-0.2293168599</x:v>
      </x:c>
      <x:c r="V38" s="39" t="n">
        <x:v>-0.0854455852</x:v>
      </x:c>
      <x:c r="W38" s="39" t="n">
        <x:v>0.0824970063</x:v>
      </x:c>
      <x:c r="X38" s="39" t="n">
        <x:v>0.0221164107</x:v>
      </x:c>
      <x:c r="Y38" s="39" t="n">
        <x:v>-0.068163488</x:v>
      </x:c>
      <x:c r="Z38" s="39" t="n">
        <x:v>0.0806916163</x:v>
      </x:c>
      <x:c r="AA38" s="39" t="n">
        <x:v>0.008606412</x:v>
      </x:c>
      <x:c r="AB38" s="39" t="n">
        <x:v>-0.1101597851</x:v>
      </x:c>
      <x:c r="AC38" s="39" t="n">
        <x:v>0.00055038</x:v>
      </x:c>
      <x:c r="AD38" s="39" t="n">
        <x:v>0.0046645317</x:v>
      </x:c>
      <x:c r="AE38" s="39" t="n">
        <x:v>-0.0142761236</x:v>
      </x:c>
      <x:c r="AF38" s="39" t="n">
        <x:v>0.0183149262</x:v>
      </x:c>
      <x:c r="AG38" s="39" t="n">
        <x:v>-0.0101745059</x:v>
      </x:c>
      <x:c r="AH38" s="39" t="n">
        <x:v>0.0096967039</x:v>
      </x:c>
      <x:c r="AI38" s="39" t="n">
        <x:v>-0.0309986902</x:v>
      </x:c>
      <x:c r="AJ38" s="39" t="n">
        <x:v>-0.0071535412</x:v>
      </x:c>
      <x:c r="AK38" s="39" t="n">
        <x:v>0.0151577025</x:v>
      </x:c>
      <x:c r="AL38" s="39" t="n">
        <x:v>0.0381760574</x:v>
      </x:c>
      <x:c r="AM38" s="39" t="n">
        <x:v>-0.0146217927</x:v>
      </x:c>
      <x:c r="AN38" s="39" t="n">
        <x:v>-0.0172039354</x:v>
      </x:c>
      <x:c r="AO38" s="39" t="n">
        <x:v>-0.0225827068</x:v>
      </x:c>
      <x:c r="AP38" s="39" t="n">
        <x:v>-0.0063795381</x:v>
      </x:c>
      <x:c r="AQ38" s="39" t="n">
        <x:v>-0.025059207</x:v>
      </x:c>
      <x:c r="AR38" s="39" t="n">
        <x:v>-0.0085939557</x:v>
      </x:c>
    </x:row>
    <x:row r="39" ht="19" customHeight="1">
      <x:c r="A39" s="40" t="d">
        <x:v>2023-11-06T00:00:00.000Z</x:v>
      </x:c>
      <x:c r="B39" s="39" t="n">
        <x:v>0.0786001532</x:v>
      </x:c>
      <x:c r="C39" s="39" t="n">
        <x:v>-0.3155157551</x:v>
      </x:c>
      <x:c r="D39" s="39" t="n">
        <x:v>-0.4226029995</x:v>
      </x:c>
      <x:c r="E39" s="39" t="n">
        <x:v>-0.1597595283</x:v>
      </x:c>
      <x:c r="F39" s="39" t="n">
        <x:v>0.0569342748</x:v>
      </x:c>
      <x:c r="G39" s="39" t="n">
        <x:v>-0.0042764966</x:v>
      </x:c>
      <x:c r="H39" s="39" t="n">
        <x:v>-0.1507208118</x:v>
      </x:c>
      <x:c r="I39" s="39" t="n">
        <x:v>-0.0939211199</x:v>
      </x:c>
      <x:c r="J39" s="39" t="n">
        <x:v>-0.1033296046</x:v>
      </x:c>
      <x:c r="K39" s="39" t="n">
        <x:v>-0.1042083576</x:v>
      </x:c>
      <x:c r="L39" s="39" t="n">
        <x:v>0.1380916284</x:v>
      </x:c>
      <x:c r="M39" s="39" t="n">
        <x:v>0.2362097184</x:v>
      </x:c>
      <x:c r="N39" s="39" t="n">
        <x:v>-0.1345955951</x:v>
      </x:c>
      <x:c r="O39" s="39" t="n">
        <x:v>-0.0599078093</x:v>
      </x:c>
      <x:c r="P39" s="39" t="n">
        <x:v>0.0635552125</x:v>
      </x:c>
      <x:c r="Q39" s="39" t="n">
        <x:v>0.0111316291</x:v>
      </x:c>
      <x:c r="R39" s="39" t="n">
        <x:v>0.0723054459</x:v>
      </x:c>
      <x:c r="S39" s="39" t="n">
        <x:v>-0.1094531587</x:v>
      </x:c>
      <x:c r="T39" s="39" t="n">
        <x:v>0.024002472</x:v>
      </x:c>
      <x:c r="U39" s="39" t="n">
        <x:v>0.1074954537</x:v>
      </x:c>
      <x:c r="V39" s="39" t="n">
        <x:v>0.019212179</x:v>
      </x:c>
      <x:c r="W39" s="39" t="n">
        <x:v>0.0420521356</x:v>
      </x:c>
      <x:c r="X39" s="39" t="n">
        <x:v>0.0499490755</x:v>
      </x:c>
      <x:c r="Y39" s="39" t="n">
        <x:v>0.0686217412</x:v>
      </x:c>
      <x:c r="Z39" s="39" t="n">
        <x:v>-0.0028100697</x:v>
      </x:c>
      <x:c r="AA39" s="39" t="n">
        <x:v>-0.021422164</x:v>
      </x:c>
      <x:c r="AB39" s="39" t="n">
        <x:v>0.0221124214</x:v>
      </x:c>
      <x:c r="AC39" s="39" t="n">
        <x:v>0.000441582</x:v>
      </x:c>
      <x:c r="AD39" s="39" t="n">
        <x:v>-0.0221288294</x:v>
      </x:c>
      <x:c r="AE39" s="39" t="n">
        <x:v>0.0376857732</x:v>
      </x:c>
      <x:c r="AF39" s="39" t="n">
        <x:v>-0.0295506091</x:v>
      </x:c>
      <x:c r="AG39" s="39" t="n">
        <x:v>0.0039573731</x:v>
      </x:c>
      <x:c r="AH39" s="39" t="n">
        <x:v>-0.0473035731</x:v>
      </x:c>
      <x:c r="AI39" s="39" t="n">
        <x:v>-0.0141778322</x:v>
      </x:c>
      <x:c r="AJ39" s="39" t="n">
        <x:v>0.0022273186</x:v>
      </x:c>
      <x:c r="AK39" s="39" t="n">
        <x:v>0.0244433182</x:v>
      </x:c>
      <x:c r="AL39" s="39" t="n">
        <x:v>0.0165916231</x:v>
      </x:c>
      <x:c r="AM39" s="39" t="n">
        <x:v>0.0202277012</x:v>
      </x:c>
      <x:c r="AN39" s="39" t="n">
        <x:v>0.0092036499</x:v>
      </x:c>
      <x:c r="AO39" s="39" t="n">
        <x:v>-0.0093865039</x:v>
      </x:c>
      <x:c r="AP39" s="39" t="n">
        <x:v>0.0176413318</x:v>
      </x:c>
      <x:c r="AQ39" s="39" t="n">
        <x:v>0.0070870923</x:v>
      </x:c>
      <x:c r="AR39" s="39" t="n">
        <x:v>-0.0045110264</x:v>
      </x:c>
    </x:row>
    <x:row r="40" ht="19" customHeight="1">
      <x:c r="A40" s="40" t="d">
        <x:v>2023-12-04T00:00:00.000Z</x:v>
      </x:c>
      <x:c r="B40" s="39" t="n">
        <x:v>0.3818216929</x:v>
      </x:c>
      <x:c r="C40" s="39" t="n">
        <x:v>0.0053384077</x:v>
      </x:c>
      <x:c r="D40" s="39" t="n">
        <x:v>0.4456048074</x:v>
      </x:c>
      <x:c r="E40" s="39" t="n">
        <x:v>0.019204086</x:v>
      </x:c>
      <x:c r="F40" s="39" t="n">
        <x:v>0.0829646841</x:v>
      </x:c>
      <x:c r="G40" s="39" t="n">
        <x:v>0.0141326288</x:v>
      </x:c>
      <x:c r="H40" s="39" t="n">
        <x:v>0.0759292594</x:v>
      </x:c>
      <x:c r="I40" s="39" t="n">
        <x:v>0.0138585827</x:v>
      </x:c>
      <x:c r="J40" s="39" t="n">
        <x:v>0.116088763</x:v>
      </x:c>
      <x:c r="K40" s="39" t="n">
        <x:v>0.0050535262</x:v>
      </x:c>
      <x:c r="L40" s="39" t="n">
        <x:v>0.0436865724</x:v>
      </x:c>
      <x:c r="M40" s="39" t="n">
        <x:v>0.0207434736</x:v>
      </x:c>
      <x:c r="N40" s="39" t="n">
        <x:v>-0.0500542581</x:v>
      </x:c>
      <x:c r="O40" s="39" t="n">
        <x:v>0.0303426289</x:v>
      </x:c>
      <x:c r="P40" s="39" t="n">
        <x:v>-0.04640578</x:v>
      </x:c>
      <x:c r="Q40" s="39" t="n">
        <x:v>-0.078010832</x:v>
      </x:c>
      <x:c r="R40" s="39" t="n">
        <x:v>-0.0046481373</x:v>
      </x:c>
      <x:c r="S40" s="39" t="n">
        <x:v>0.0132086419</x:v>
      </x:c>
      <x:c r="T40" s="39" t="n">
        <x:v>-0.0853952196</x:v>
      </x:c>
      <x:c r="U40" s="39" t="n">
        <x:v>-0.004541108</x:v>
      </x:c>
      <x:c r="V40" s="39" t="n">
        <x:v>0.0638256348</x:v>
      </x:c>
      <x:c r="W40" s="39" t="n">
        <x:v>0.0518875504</x:v>
      </x:c>
      <x:c r="X40" s="39" t="n">
        <x:v>-0.0768144093</x:v>
      </x:c>
      <x:c r="Y40" s="39" t="n">
        <x:v>0.0413330207</x:v>
      </x:c>
      <x:c r="Z40" s="39" t="n">
        <x:v>-0.0832585505</x:v>
      </x:c>
      <x:c r="AA40" s="39" t="n">
        <x:v>0.0049917084</x:v>
      </x:c>
      <x:c r="AB40" s="39" t="n">
        <x:v>-0.0173588633</x:v>
      </x:c>
      <x:c r="AC40" s="39" t="n">
        <x:v>0.0485214249</x:v>
      </x:c>
      <x:c r="AD40" s="39" t="n">
        <x:v>0.0235023916</x:v>
      </x:c>
      <x:c r="AE40" s="39" t="n">
        <x:v>-0.0972667238</x:v>
      </x:c>
      <x:c r="AF40" s="39" t="n">
        <x:v>-0.0459118331</x:v>
      </x:c>
      <x:c r="AG40" s="39" t="n">
        <x:v>0.0189931411</x:v>
      </x:c>
      <x:c r="AH40" s="39" t="n">
        <x:v>0.010187842</x:v>
      </x:c>
      <x:c r="AI40" s="39" t="n">
        <x:v>0.0217617479</x:v>
      </x:c>
      <x:c r="AJ40" s="39" t="n">
        <x:v>-0.0350630767</x:v>
      </x:c>
      <x:c r="AK40" s="39" t="n">
        <x:v>0.0175503533</x:v>
      </x:c>
      <x:c r="AL40" s="39" t="n">
        <x:v>-0.01004356</x:v>
      </x:c>
      <x:c r="AM40" s="39" t="n">
        <x:v>-0.0400639242</x:v>
      </x:c>
      <x:c r="AN40" s="39" t="n">
        <x:v>0.036390847</x:v>
      </x:c>
      <x:c r="AO40" s="39" t="n">
        <x:v>0.0129065675</x:v>
      </x:c>
      <x:c r="AP40" s="39" t="n">
        <x:v>0.02137794</x:v>
      </x:c>
      <x:c r="AQ40" s="39" t="n">
        <x:v>-0.0006828802</x:v>
      </x:c>
      <x:c r="AR40" s="39" t="n">
        <x:v>-0.0097455316</x:v>
      </x:c>
    </x:row>
    <x:row r="41" ht="19" customHeight="1">
      <x:c r="A41" s="40" t="d">
        <x:v>2024-01-01T00:00:00.000Z</x:v>
      </x:c>
      <x:c r="B41" s="39" t="n">
        <x:v>-0.1642151397</x:v>
      </x:c>
      <x:c r="C41" s="39" t="n">
        <x:v>-0.0992716987</x:v>
      </x:c>
      <x:c r="D41" s="39" t="n">
        <x:v>0.1027320046</x:v>
      </x:c>
      <x:c r="E41" s="39" t="n">
        <x:v>0.1965431959</x:v>
      </x:c>
      <x:c r="F41" s="39" t="n">
        <x:v>0.2514428878</x:v>
      </x:c>
      <x:c r="G41" s="39" t="n">
        <x:v>-0.0185296521</x:v>
      </x:c>
      <x:c r="H41" s="39" t="n">
        <x:v>-0.0389748115</x:v>
      </x:c>
      <x:c r="I41" s="39" t="n">
        <x:v>0.0213883139</x:v>
      </x:c>
      <x:c r="J41" s="39" t="n">
        <x:v>0.0711407692</x:v>
      </x:c>
      <x:c r="K41" s="39" t="n">
        <x:v>0.1515176481</x:v>
      </x:c>
      <x:c r="L41" s="39" t="n">
        <x:v>-0.003331208</x:v>
      </x:c>
      <x:c r="M41" s="39" t="n">
        <x:v>0.1159652953</x:v>
      </x:c>
      <x:c r="N41" s="39" t="n">
        <x:v>-0.0464772751</x:v>
      </x:c>
      <x:c r="O41" s="39" t="n">
        <x:v>0.0627696942</x:v>
      </x:c>
      <x:c r="P41" s="39" t="n">
        <x:v>-0.0111596059</x:v>
      </x:c>
      <x:c r="Q41" s="39" t="n">
        <x:v>0.0102646068</x:v>
      </x:c>
      <x:c r="R41" s="39" t="n">
        <x:v>-0.0401550593</x:v>
      </x:c>
      <x:c r="S41" s="39" t="n">
        <x:v>0.0234988933</x:v>
      </x:c>
      <x:c r="T41" s="39" t="n">
        <x:v>0.0065873208</x:v>
      </x:c>
      <x:c r="U41" s="39" t="n">
        <x:v>-0.0258943318</x:v>
      </x:c>
      <x:c r="V41" s="39" t="n">
        <x:v>-0.1195857954</x:v>
      </x:c>
      <x:c r="W41" s="39" t="n">
        <x:v>-0.0346970475</x:v>
      </x:c>
      <x:c r="X41" s="39" t="n">
        <x:v>0.0378638708</x:v>
      </x:c>
      <x:c r="Y41" s="39" t="n">
        <x:v>-0.0283443607</x:v>
      </x:c>
      <x:c r="Z41" s="39" t="n">
        <x:v>0.0153839488</x:v>
      </x:c>
      <x:c r="AA41" s="39" t="n">
        <x:v>0.0391427186</x:v>
      </x:c>
      <x:c r="AB41" s="39" t="n">
        <x:v>-0.0019378424</x:v>
      </x:c>
      <x:c r="AC41" s="39" t="n">
        <x:v>0.0044399836</x:v>
      </x:c>
      <x:c r="AD41" s="39" t="n">
        <x:v>0.0070096813</x:v>
      </x:c>
      <x:c r="AE41" s="39" t="n">
        <x:v>-0.0255425724</x:v>
      </x:c>
      <x:c r="AF41" s="39" t="n">
        <x:v>-0.0163725435</x:v>
      </x:c>
      <x:c r="AG41" s="39" t="n">
        <x:v>-0.016992725</x:v>
      </x:c>
      <x:c r="AH41" s="39" t="n">
        <x:v>-0.0586993621</x:v>
      </x:c>
      <x:c r="AI41" s="39" t="n">
        <x:v>-0.0057516524</x:v>
      </x:c>
      <x:c r="AJ41" s="39" t="n">
        <x:v>-0.0281892961</x:v>
      </x:c>
      <x:c r="AK41" s="39" t="n">
        <x:v>0.0010049854</x:v>
      </x:c>
      <x:c r="AL41" s="39" t="n">
        <x:v>0.0173769255</x:v>
      </x:c>
      <x:c r="AM41" s="39" t="n">
        <x:v>0.003037788</x:v>
      </x:c>
      <x:c r="AN41" s="39" t="n">
        <x:v>-0.0060852422</x:v>
      </x:c>
      <x:c r="AO41" s="39" t="n">
        <x:v>0.0026138434</x:v>
      </x:c>
      <x:c r="AP41" s="39" t="n">
        <x:v>0.0280557643</x:v>
      </x:c>
      <x:c r="AQ41" s="39" t="n">
        <x:v>0.002140318</x:v>
      </x:c>
      <x:c r="AR41" s="39" t="n">
        <x:v>0.0148904842</x:v>
      </x:c>
    </x:row>
    <x:row r="42" ht="19" customHeight="1">
      <x:c r="A42" s="40" t="d">
        <x:v>2024-01-29T00:00:00.000Z</x:v>
      </x:c>
      <x:c r="B42" s="39" t="n">
        <x:v>0.0307664391</x:v>
      </x:c>
      <x:c r="C42" s="39" t="n">
        <x:v>0.0114263559</x:v>
      </x:c>
      <x:c r="D42" s="39" t="n">
        <x:v>-0.206960174</x:v>
      </x:c>
      <x:c r="E42" s="39" t="n">
        <x:v>-0.0505812061</x:v>
      </x:c>
      <x:c r="F42" s="39" t="n">
        <x:v>0.0871308589</x:v>
      </x:c>
      <x:c r="G42" s="39" t="n">
        <x:v>0.1157728216</x:v>
      </x:c>
      <x:c r="H42" s="39" t="n">
        <x:v>0.1888230054</x:v>
      </x:c>
      <x:c r="I42" s="39" t="n">
        <x:v>-0.1337590968</x:v>
      </x:c>
      <x:c r="J42" s="39" t="n">
        <x:v>-0.1423978495</x:v>
      </x:c>
      <x:c r="K42" s="39" t="n">
        <x:v>0.012369774</x:v>
      </x:c>
      <x:c r="L42" s="39" t="n">
        <x:v>0.1027149628</x:v>
      </x:c>
      <x:c r="M42" s="39" t="n">
        <x:v>0.0090588426</x:v>
      </x:c>
      <x:c r="N42" s="39" t="n">
        <x:v>-0.0316993125</x:v>
      </x:c>
      <x:c r="O42" s="39" t="n">
        <x:v>-0.0899418631</x:v>
      </x:c>
      <x:c r="P42" s="39" t="n">
        <x:v>-0.0511073541</x:v>
      </x:c>
      <x:c r="Q42" s="39" t="n">
        <x:v>0.177035949</x:v>
      </x:c>
      <x:c r="R42" s="39" t="n">
        <x:v>0.1100403177</x:v>
      </x:c>
      <x:c r="S42" s="39" t="n">
        <x:v>-0.0580324576</x:v>
      </x:c>
      <x:c r="T42" s="39" t="n">
        <x:v>0.0180074318</x:v>
      </x:c>
      <x:c r="U42" s="39" t="n">
        <x:v>-0.1197936947</x:v>
      </x:c>
      <x:c r="V42" s="39" t="n">
        <x:v>-0.1396285552</x:v>
      </x:c>
      <x:c r="W42" s="39" t="n">
        <x:v>-0.0099944542</x:v>
      </x:c>
      <x:c r="X42" s="39" t="n">
        <x:v>0.0104824488</x:v>
      </x:c>
      <x:c r="Y42" s="39" t="n">
        <x:v>0.0987626283</x:v>
      </x:c>
      <x:c r="Z42" s="39" t="n">
        <x:v>0.0551381415</x:v>
      </x:c>
      <x:c r="AA42" s="39" t="n">
        <x:v>0.0079716833</x:v>
      </x:c>
      <x:c r="AB42" s="39" t="n">
        <x:v>-0.0160074467</x:v>
      </x:c>
      <x:c r="AC42" s="39" t="n">
        <x:v>0.0057264427</x:v>
      </x:c>
      <x:c r="AD42" s="39" t="n">
        <x:v>0.0313985983</x:v>
      </x:c>
      <x:c r="AE42" s="39" t="n">
        <x:v>-0.0105340126</x:v>
      </x:c>
      <x:c r="AF42" s="39" t="n">
        <x:v>-0.0274252995</x:v>
      </x:c>
      <x:c r="AG42" s="39" t="n">
        <x:v>0.0374253945</x:v>
      </x:c>
      <x:c r="AH42" s="39" t="n">
        <x:v>0.0035396999</x:v>
      </x:c>
      <x:c r="AI42" s="39" t="n">
        <x:v>0.0501797988</x:v>
      </x:c>
      <x:c r="AJ42" s="39" t="n">
        <x:v>0.0279705502</x:v>
      </x:c>
      <x:c r="AK42" s="39" t="n">
        <x:v>-0.0175930019</x:v>
      </x:c>
      <x:c r="AL42" s="39" t="n">
        <x:v>0.0016666399</x:v>
      </x:c>
      <x:c r="AM42" s="39" t="n">
        <x:v>-0.0036263746</x:v>
      </x:c>
      <x:c r="AN42" s="39" t="n">
        <x:v>0.0019702449</x:v>
      </x:c>
      <x:c r="AO42" s="39" t="n">
        <x:v>0.0095812761</x:v>
      </x:c>
      <x:c r="AP42" s="39" t="n">
        <x:v>-0.0240635372</x:v>
      </x:c>
      <x:c r="AQ42" s="39" t="n">
        <x:v>-0.0192618942</x:v>
      </x:c>
      <x:c r="AR42" s="39" t="n">
        <x:v>-0.0020003297</x:v>
      </x:c>
    </x:row>
    <x:row r="43" ht="19" customHeight="1">
      <x:c r="A43" s="40" t="d">
        <x:v>2024-02-26T00:00:00.000Z</x:v>
      </x:c>
      <x:c r="B43" s="39" t="n">
        <x:v>-0.1885856614</x:v>
      </x:c>
      <x:c r="C43" s="39" t="n">
        <x:v>-0.177466767</x:v>
      </x:c>
      <x:c r="D43" s="39" t="n">
        <x:v>-0.2069619629</x:v>
      </x:c>
      <x:c r="E43" s="39" t="n">
        <x:v>0.0836951147</x:v>
      </x:c>
      <x:c r="F43" s="39" t="n">
        <x:v>0.1419860872</x:v>
      </x:c>
      <x:c r="G43" s="39" t="n">
        <x:v>0.2274303108</x:v>
      </x:c>
      <x:c r="H43" s="39" t="n">
        <x:v>0.2240451438</x:v>
      </x:c>
      <x:c r="I43" s="39" t="n">
        <x:v>-0.0563300828</x:v>
      </x:c>
      <x:c r="J43" s="39" t="n">
        <x:v>-0.2052662544</x:v>
      </x:c>
      <x:c r="K43" s="39" t="n">
        <x:v>0.0382688688</x:v>
      </x:c>
      <x:c r="L43" s="39" t="n">
        <x:v>0.1232587798</x:v>
      </x:c>
      <x:c r="M43" s="39" t="n">
        <x:v>0.005410225</x:v>
      </x:c>
      <x:c r="N43" s="39" t="n">
        <x:v>0.0076330394</x:v>
      </x:c>
      <x:c r="O43" s="39" t="n">
        <x:v>-0.0603398961</x:v>
      </x:c>
      <x:c r="P43" s="39" t="n">
        <x:v>-0.0450357421</x:v>
      </x:c>
      <x:c r="Q43" s="39" t="n">
        <x:v>0.0516551006</x:v>
      </x:c>
      <x:c r="R43" s="39" t="n">
        <x:v>0.0295284331</x:v>
      </x:c>
      <x:c r="S43" s="39" t="n">
        <x:v>0.0590658048</x:v>
      </x:c>
      <x:c r="T43" s="39" t="n">
        <x:v>0.0264910642</x:v>
      </x:c>
      <x:c r="U43" s="39" t="n">
        <x:v>-0.001617737</x:v>
      </x:c>
      <x:c r="V43" s="39" t="n">
        <x:v>0.0680820567</x:v>
      </x:c>
      <x:c r="W43" s="39" t="n">
        <x:v>0.0871370318</x:v>
      </x:c>
      <x:c r="X43" s="39" t="n">
        <x:v>-0.1116900378</x:v>
      </x:c>
      <x:c r="Y43" s="39" t="n">
        <x:v>-0.0084192052</x:v>
      </x:c>
      <x:c r="Z43" s="39" t="n">
        <x:v>0.0075748469</x:v>
      </x:c>
      <x:c r="AA43" s="39" t="n">
        <x:v>0.0197719148</x:v>
      </x:c>
      <x:c r="AB43" s="39" t="n">
        <x:v>-0.0068506614</x:v>
      </x:c>
      <x:c r="AC43" s="39" t="n">
        <x:v>0.0212848873</x:v>
      </x:c>
      <x:c r="AD43" s="39" t="n">
        <x:v>-0.0593960898</x:v>
      </x:c>
      <x:c r="AE43" s="39" t="n">
        <x:v>-0.0217263215</x:v>
      </x:c>
      <x:c r="AF43" s="39" t="n">
        <x:v>0.0389050031</x:v>
      </x:c>
      <x:c r="AG43" s="39" t="n">
        <x:v>0.0375081846</x:v>
      </x:c>
      <x:c r="AH43" s="39" t="n">
        <x:v>0.0360970066</x:v>
      </x:c>
      <x:c r="AI43" s="39" t="n">
        <x:v>-0.0492284711</x:v>
      </x:c>
      <x:c r="AJ43" s="39" t="n">
        <x:v>-0.027258004</x:v>
      </x:c>
      <x:c r="AK43" s="39" t="n">
        <x:v>-0.000311337</x:v>
      </x:c>
      <x:c r="AL43" s="39" t="n">
        <x:v>0.0458983055</x:v>
      </x:c>
      <x:c r="AM43" s="39" t="n">
        <x:v>-0.0168916108</x:v>
      </x:c>
      <x:c r="AN43" s="39" t="n">
        <x:v>-0.0162338171</x:v>
      </x:c>
      <x:c r="AO43" s="39" t="n">
        <x:v>0.0231474972</x:v>
      </x:c>
      <x:c r="AP43" s="39" t="n">
        <x:v>0.0260765987</x:v>
      </x:c>
      <x:c r="AQ43" s="39" t="n">
        <x:v>-0.0037646679</x:v>
      </x:c>
      <x:c r="AR43" s="39" t="n">
        <x:v>0.0238023659</x:v>
      </x:c>
    </x:row>
    <x:row r="44" ht="19" customHeight="1">
      <x:c r="A44" s="40" t="d">
        <x:v>2024-03-25T00:00:00.000Z</x:v>
      </x:c>
      <x:c r="B44" s="39" t="n">
        <x:v>-0.1949414805</x:v>
      </x:c>
      <x:c r="C44" s="39" t="n">
        <x:v>0.0630814846</x:v>
      </x:c>
      <x:c r="D44" s="39" t="n">
        <x:v>0.0647555546</x:v>
      </x:c>
      <x:c r="E44" s="39" t="n">
        <x:v>0.201130879</x:v>
      </x:c>
      <x:c r="F44" s="39" t="n">
        <x:v>-0.0908007381</x:v>
      </x:c>
      <x:c r="G44" s="39" t="n">
        <x:v>0.0465281511</x:v>
      </x:c>
      <x:c r="H44" s="39" t="n">
        <x:v>-0.0227206423</x:v>
      </x:c>
      <x:c r="I44" s="39" t="n">
        <x:v>0.0687566294</x:v>
      </x:c>
      <x:c r="J44" s="39" t="n">
        <x:v>-0.1065425962</x:v>
      </x:c>
      <x:c r="K44" s="39" t="n">
        <x:v>0.0485829662</x:v>
      </x:c>
      <x:c r="L44" s="39" t="n">
        <x:v>-0.1499187241</x:v>
      </x:c>
      <x:c r="M44" s="39" t="n">
        <x:v>0.0774644641</x:v>
      </x:c>
      <x:c r="N44" s="39" t="n">
        <x:v>-0.0637973047</x:v>
      </x:c>
      <x:c r="O44" s="39" t="n">
        <x:v>0.0427769303</x:v>
      </x:c>
      <x:c r="P44" s="39" t="n">
        <x:v>-0.1068386438</x:v>
      </x:c>
      <x:c r="Q44" s="39" t="n">
        <x:v>0.0226394864</x:v>
      </x:c>
      <x:c r="R44" s="39" t="n">
        <x:v>0.0369917838</x:v>
      </x:c>
      <x:c r="S44" s="39" t="n">
        <x:v>-0.0211660475</x:v>
      </x:c>
      <x:c r="T44" s="39" t="n">
        <x:v>-0.0493005089</x:v>
      </x:c>
      <x:c r="U44" s="39" t="n">
        <x:v>-0.0036369962</x:v>
      </x:c>
      <x:c r="V44" s="39" t="n">
        <x:v>0.0777241431</x:v>
      </x:c>
      <x:c r="W44" s="39" t="n">
        <x:v>-0.0723339577</x:v>
      </x:c>
      <x:c r="X44" s="39" t="n">
        <x:v>0.0524171883</x:v>
      </x:c>
      <x:c r="Y44" s="39" t="n">
        <x:v>0.0733537094</x:v>
      </x:c>
      <x:c r="Z44" s="39" t="n">
        <x:v>-0.0656734116</x:v>
      </x:c>
      <x:c r="AA44" s="39" t="n">
        <x:v>0.0363327331</x:v>
      </x:c>
      <x:c r="AB44" s="39" t="n">
        <x:v>-0.0586534919</x:v>
      </x:c>
      <x:c r="AC44" s="39" t="n">
        <x:v>-0.0428414013</x:v>
      </x:c>
      <x:c r="AD44" s="39" t="n">
        <x:v>-0.0004497332</x:v>
      </x:c>
      <x:c r="AE44" s="39" t="n">
        <x:v>0.003077268</x:v>
      </x:c>
      <x:c r="AF44" s="39" t="n">
        <x:v>0.0306288896</x:v>
      </x:c>
      <x:c r="AG44" s="39" t="n">
        <x:v>0.001736129</x:v>
      </x:c>
      <x:c r="AH44" s="39" t="n">
        <x:v>0.0475044608</x:v>
      </x:c>
      <x:c r="AI44" s="39" t="n">
        <x:v>0.0071404236</x:v>
      </x:c>
      <x:c r="AJ44" s="39" t="n">
        <x:v>-0.0197783368</x:v>
      </x:c>
      <x:c r="AK44" s="39" t="n">
        <x:v>0.0180327019</x:v>
      </x:c>
      <x:c r="AL44" s="39" t="n">
        <x:v>-0.011120412</x:v>
      </x:c>
      <x:c r="AM44" s="39" t="n">
        <x:v>-0.0070313975</x:v>
      </x:c>
      <x:c r="AN44" s="39" t="n">
        <x:v>0.0260531985</x:v>
      </x:c>
      <x:c r="AO44" s="39" t="n">
        <x:v>-0.0091478298</x:v>
      </x:c>
      <x:c r="AP44" s="39" t="n">
        <x:v>-0.0056539587</x:v>
      </x:c>
      <x:c r="AQ44" s="39" t="n">
        <x:v>-0.0084530267</x:v>
      </x:c>
      <x:c r="AR44" s="39" t="n">
        <x:v>0.0106913602</x:v>
      </x:c>
    </x:row>
    <x:row r="45" ht="19" customHeight="1">
      <x:c r="A45" s="40" t="d">
        <x:v>2024-04-22T00:00:00.000Z</x:v>
      </x:c>
      <x:c r="B45" s="39" t="n">
        <x:v>-0.1882983609</x:v>
      </x:c>
      <x:c r="C45" s="39" t="n">
        <x:v>0.6537850044</x:v>
      </x:c>
      <x:c r="D45" s="39" t="n">
        <x:v>-0.0318469949</x:v>
      </x:c>
      <x:c r="E45" s="39" t="n">
        <x:v>-0.2533954364</x:v>
      </x:c>
      <x:c r="F45" s="39" t="n">
        <x:v>-0.0537636206</x:v>
      </x:c>
      <x:c r="G45" s="39" t="n">
        <x:v>-0.0069130766</x:v>
      </x:c>
      <x:c r="H45" s="39" t="n">
        <x:v>-0.1026770176</x:v>
      </x:c>
      <x:c r="I45" s="39" t="n">
        <x:v>0.1858198321</x:v>
      </x:c>
      <x:c r="J45" s="39" t="n">
        <x:v>-0.1629582964</x:v>
      </x:c>
      <x:c r="K45" s="39" t="n">
        <x:v>0.0938787996</x:v>
      </x:c>
      <x:c r="L45" s="39" t="n">
        <x:v>-0.1605019604</x:v>
      </x:c>
      <x:c r="M45" s="39" t="n">
        <x:v>0.0263938998</x:v>
      </x:c>
      <x:c r="N45" s="39" t="n">
        <x:v>0.0457057766</x:v>
      </x:c>
      <x:c r="O45" s="39" t="n">
        <x:v>-0.1520523288</x:v>
      </x:c>
      <x:c r="P45" s="39" t="n">
        <x:v>-0.1274212835</x:v>
      </x:c>
      <x:c r="Q45" s="39" t="n">
        <x:v>0.0822817412</x:v>
      </x:c>
      <x:c r="R45" s="39" t="n">
        <x:v>-0.009056361</x:v>
      </x:c>
      <x:c r="S45" s="39" t="n">
        <x:v>-0.1258543939</x:v>
      </x:c>
      <x:c r="T45" s="39" t="n">
        <x:v>0.0292734328</x:v>
      </x:c>
      <x:c r="U45" s="39" t="n">
        <x:v>0.0056965593</x:v>
      </x:c>
      <x:c r="V45" s="39" t="n">
        <x:v>0.0443335659</x:v>
      </x:c>
      <x:c r="W45" s="39" t="n">
        <x:v>0.0046682687</x:v>
      </x:c>
      <x:c r="X45" s="39" t="n">
        <x:v>0.0656767727</x:v>
      </x:c>
      <x:c r="Y45" s="39" t="n">
        <x:v>-0.0916124385</x:v>
      </x:c>
      <x:c r="Z45" s="39" t="n">
        <x:v>-0.0183247666</x:v>
      </x:c>
      <x:c r="AA45" s="39" t="n">
        <x:v>0.0064034602</x:v>
      </x:c>
      <x:c r="AB45" s="39" t="n">
        <x:v>-0.0531428945</x:v>
      </x:c>
      <x:c r="AC45" s="39" t="n">
        <x:v>0.0461859307</x:v>
      </x:c>
      <x:c r="AD45" s="39" t="n">
        <x:v>0.0604865556</x:v>
      </x:c>
      <x:c r="AE45" s="39" t="n">
        <x:v>-0.0164271421</x:v>
      </x:c>
      <x:c r="AF45" s="39" t="n">
        <x:v>-0.0338694565</x:v>
      </x:c>
      <x:c r="AG45" s="39" t="n">
        <x:v>0.0125693766</x:v>
      </x:c>
      <x:c r="AH45" s="39" t="n">
        <x:v>-0.0606915608</x:v>
      </x:c>
      <x:c r="AI45" s="39" t="n">
        <x:v>0.0019779627</x:v>
      </x:c>
      <x:c r="AJ45" s="39" t="n">
        <x:v>0.0089030627</x:v>
      </x:c>
      <x:c r="AK45" s="39" t="n">
        <x:v>-0.0066263364</x:v>
      </x:c>
      <x:c r="AL45" s="39" t="n">
        <x:v>0.0005049996</x:v>
      </x:c>
      <x:c r="AM45" s="39" t="n">
        <x:v>-0.0051886668</x:v>
      </x:c>
      <x:c r="AN45" s="39" t="n">
        <x:v>-0.0017712516</x:v>
      </x:c>
      <x:c r="AO45" s="39" t="n">
        <x:v>0.006426607</x:v>
      </x:c>
      <x:c r="AP45" s="39" t="n">
        <x:v>0.0029006274</x:v>
      </x:c>
      <x:c r="AQ45" s="39" t="n">
        <x:v>0.0157010248</x:v>
      </x:c>
      <x:c r="AR45" s="39" t="n">
        <x:v>0.0060334048</x:v>
      </x:c>
    </x:row>
    <x:row r="46" ht="19" customHeight="1">
      <x:c r="A46" s="40" t="d">
        <x:v>2024-05-20T00:00:00.000Z</x:v>
      </x:c>
      <x:c r="B46" s="39" t="n">
        <x:v>0.0195150057</x:v>
      </x:c>
      <x:c r="C46" s="39" t="n">
        <x:v>0.0491906965</x:v>
      </x:c>
      <x:c r="D46" s="39" t="n">
        <x:v>-0.0004188374</x:v>
      </x:c>
      <x:c r="E46" s="39" t="n">
        <x:v>0.3565897517</x:v>
      </x:c>
      <x:c r="F46" s="39" t="n">
        <x:v>0.2196865811</x:v>
      </x:c>
      <x:c r="G46" s="39" t="n">
        <x:v>-0.2928878428</x:v>
      </x:c>
      <x:c r="H46" s="39" t="n">
        <x:v>-0.1254846665</x:v>
      </x:c>
      <x:c r="I46" s="39" t="n">
        <x:v>0.0472840419</x:v>
      </x:c>
      <x:c r="J46" s="39" t="n">
        <x:v>-0.2245187141</x:v>
      </x:c>
      <x:c r="K46" s="39" t="n">
        <x:v>0.0831319151</x:v>
      </x:c>
      <x:c r="L46" s="39" t="n">
        <x:v>0.100280797</x:v>
      </x:c>
      <x:c r="M46" s="39" t="n">
        <x:v>-0.1748547792</x:v>
      </x:c>
      <x:c r="N46" s="39" t="n">
        <x:v>-0.0600908309</x:v>
      </x:c>
      <x:c r="O46" s="39" t="n">
        <x:v>0.0837141192</x:v>
      </x:c>
      <x:c r="P46" s="39" t="n">
        <x:v>-0.021925681</x:v>
      </x:c>
      <x:c r="Q46" s="39" t="n">
        <x:v>-0.0011410343</x:v>
      </x:c>
      <x:c r="R46" s="39" t="n">
        <x:v>0.0151874644</x:v>
      </x:c>
      <x:c r="S46" s="39" t="n">
        <x:v>0.0554018126</x:v>
      </x:c>
      <x:c r="T46" s="39" t="n">
        <x:v>-0.1073070177</x:v>
      </x:c>
      <x:c r="U46" s="39" t="n">
        <x:v>-0.1157218517</x:v>
      </x:c>
      <x:c r="V46" s="39" t="n">
        <x:v>0.0158863083</x:v>
      </x:c>
      <x:c r="W46" s="39" t="n">
        <x:v>0.0367496183</x:v>
      </x:c>
      <x:c r="X46" s="39" t="n">
        <x:v>0.0625944</x:v>
      </x:c>
      <x:c r="Y46" s="39" t="n">
        <x:v>-0.0303947213</x:v>
      </x:c>
      <x:c r="Z46" s="39" t="n">
        <x:v>0.0659066845</x:v>
      </x:c>
      <x:c r="AA46" s="39" t="n">
        <x:v>-0.0589375131</x:v>
      </x:c>
      <x:c r="AB46" s="39" t="n">
        <x:v>0.0617739594</x:v>
      </x:c>
      <x:c r="AC46" s="39" t="n">
        <x:v>-0.0769189834</x:v>
      </x:c>
      <x:c r="AD46" s="39" t="n">
        <x:v>0.0275334074</x:v>
      </x:c>
      <x:c r="AE46" s="39" t="n">
        <x:v>-0.0132633273</x:v>
      </x:c>
      <x:c r="AF46" s="39" t="n">
        <x:v>0.0007660856</x:v>
      </x:c>
      <x:c r="AG46" s="39" t="n">
        <x:v>0.0043777443</x:v>
      </x:c>
      <x:c r="AH46" s="39" t="n">
        <x:v>-0.0357995549</x:v>
      </x:c>
      <x:c r="AI46" s="39" t="n">
        <x:v>0.0258798936</x:v>
      </x:c>
      <x:c r="AJ46" s="39" t="n">
        <x:v>-0.0249588803</x:v>
      </x:c>
      <x:c r="AK46" s="39" t="n">
        <x:v>0.0016610471</x:v>
      </x:c>
      <x:c r="AL46" s="39" t="n">
        <x:v>0.0168673738</x:v>
      </x:c>
      <x:c r="AM46" s="39" t="n">
        <x:v>-0.0061515233</x:v>
      </x:c>
      <x:c r="AN46" s="39" t="n">
        <x:v>-0.008171953</x:v>
      </x:c>
      <x:c r="AO46" s="39" t="n">
        <x:v>-0.0121983753</x:v>
      </x:c>
      <x:c r="AP46" s="39" t="n">
        <x:v>0.0174460722</x:v>
      </x:c>
      <x:c r="AQ46" s="39" t="n">
        <x:v>0.0077442661</x:v>
      </x:c>
      <x:c r="AR46" s="39" t="n">
        <x:v>-0.0039469279</x:v>
      </x:c>
    </x:row>
    <x:row r="47" ht="19" customHeight="1">
      <x:c r="A47" s="40" t="d">
        <x:v>2024-06-17T00:00:00.000Z</x:v>
      </x:c>
      <x:c r="B47" s="39" t="n">
        <x:v>0.1212171374</x:v>
      </x:c>
      <x:c r="C47" s="39" t="n">
        <x:v>-0.0427931736</x:v>
      </x:c>
      <x:c r="D47" s="39" t="n">
        <x:v>-0.1635197547</x:v>
      </x:c>
      <x:c r="E47" s="39" t="n">
        <x:v>-0.1068027912</x:v>
      </x:c>
      <x:c r="F47" s="39" t="n">
        <x:v>-0.2437766107</x:v>
      </x:c>
      <x:c r="G47" s="39" t="n">
        <x:v>-0.0336487509</x:v>
      </x:c>
      <x:c r="H47" s="39" t="n">
        <x:v>-0.1659726255</x:v>
      </x:c>
      <x:c r="I47" s="39" t="n">
        <x:v>0.0206267074</x:v>
      </x:c>
      <x:c r="J47" s="39" t="n">
        <x:v>0.1318219703</x:v>
      </x:c>
      <x:c r="K47" s="39" t="n">
        <x:v>-0.1533596881</x:v>
      </x:c>
      <x:c r="L47" s="39" t="n">
        <x:v>-0.0098005963</x:v>
      </x:c>
      <x:c r="M47" s="39" t="n">
        <x:v>0.1227700134</x:v>
      </x:c>
      <x:c r="N47" s="39" t="n">
        <x:v>0.0366566478</x:v>
      </x:c>
      <x:c r="O47" s="39" t="n">
        <x:v>-0.1891258632</x:v>
      </x:c>
      <x:c r="P47" s="39" t="n">
        <x:v>-0.0816610341</x:v>
      </x:c>
      <x:c r="Q47" s="39" t="n">
        <x:v>-0.0336137521</x:v>
      </x:c>
      <x:c r="R47" s="39" t="n">
        <x:v>-0.0334436717</x:v>
      </x:c>
      <x:c r="S47" s="39" t="n">
        <x:v>0.0950958468</x:v>
      </x:c>
      <x:c r="T47" s="39" t="n">
        <x:v>-0.026911535</x:v>
      </x:c>
      <x:c r="U47" s="39" t="n">
        <x:v>0.021271781</x:v>
      </x:c>
      <x:c r="V47" s="39" t="n">
        <x:v>-0.0993915792</x:v>
      </x:c>
      <x:c r="W47" s="39" t="n">
        <x:v>-0.0177778738</x:v>
      </x:c>
      <x:c r="X47" s="39" t="n">
        <x:v>0.0244183313</x:v>
      </x:c>
      <x:c r="Y47" s="39" t="n">
        <x:v>-0.0332673034</x:v>
      </x:c>
      <x:c r="Z47" s="39" t="n">
        <x:v>-0.0065261624</x:v>
      </x:c>
      <x:c r="AA47" s="39" t="n">
        <x:v>0.0368508407</x:v>
      </x:c>
      <x:c r="AB47" s="39" t="n">
        <x:v>0.0495416215</x:v>
      </x:c>
      <x:c r="AC47" s="39" t="n">
        <x:v>0.0830086097</x:v>
      </x:c>
      <x:c r="AD47" s="39" t="n">
        <x:v>0.0159405366</x:v>
      </x:c>
      <x:c r="AE47" s="39" t="n">
        <x:v>-0.0027598642</x:v>
      </x:c>
      <x:c r="AF47" s="39" t="n">
        <x:v>0.0052747379</x:v>
      </x:c>
      <x:c r="AG47" s="39" t="n">
        <x:v>0.017382216</x:v>
      </x:c>
      <x:c r="AH47" s="39" t="n">
        <x:v>0.0206008929</x:v>
      </x:c>
      <x:c r="AI47" s="39" t="n">
        <x:v>0.0000817318</x:v>
      </x:c>
      <x:c r="AJ47" s="39" t="n">
        <x:v>-0.027599908</x:v>
      </x:c>
      <x:c r="AK47" s="39" t="n">
        <x:v>-0.0046251007</x:v>
      </x:c>
      <x:c r="AL47" s="39" t="n">
        <x:v>-0.008707061</x:v>
      </x:c>
      <x:c r="AM47" s="39" t="n">
        <x:v>0.0060688939</x:v>
      </x:c>
      <x:c r="AN47" s="39" t="n">
        <x:v>-0.0103601571</x:v>
      </x:c>
      <x:c r="AO47" s="39" t="n">
        <x:v>-0.0013563641</x:v>
      </x:c>
      <x:c r="AP47" s="39" t="n">
        <x:v>-0.0149728273</x:v>
      </x:c>
      <x:c r="AQ47" s="39" t="n">
        <x:v>0.0075449916</x:v>
      </x:c>
      <x:c r="AR47" s="39" t="n">
        <x:v>-0.0022870722</x:v>
      </x:c>
    </x:row>
    <x:row r="48" ht="19" customHeight="1">
      <x:c r="A48" s="40" t="d">
        <x:v>2024-07-15T00:00:00.000Z</x:v>
      </x:c>
      <x:c r="B48" s="39" t="n">
        <x:v>0.157732284</x:v>
      </x:c>
      <x:c r="C48" s="39" t="n">
        <x:v>-0.1057804271</x:v>
      </x:c>
      <x:c r="D48" s="39" t="n">
        <x:v>0.2079846182</x:v>
      </x:c>
      <x:c r="E48" s="39" t="n">
        <x:v>-0.150702994</x:v>
      </x:c>
      <x:c r="F48" s="39" t="n">
        <x:v>-0.1344470535</x:v>
      </x:c>
      <x:c r="G48" s="39" t="n">
        <x:v>-0.1089147753</x:v>
      </x:c>
      <x:c r="H48" s="39" t="n">
        <x:v>0.1094616677</x:v>
      </x:c>
      <x:c r="I48" s="39" t="n">
        <x:v>0.0185986987</x:v>
      </x:c>
      <x:c r="J48" s="39" t="n">
        <x:v>0.2351779593</x:v>
      </x:c>
      <x:c r="K48" s="39" t="n">
        <x:v>0.0381367247</x:v>
      </x:c>
      <x:c r="L48" s="39" t="n">
        <x:v>0.0310975556</x:v>
      </x:c>
      <x:c r="M48" s="39" t="n">
        <x:v>-0.0895193447</x:v>
      </x:c>
      <x:c r="N48" s="39" t="n">
        <x:v>0.1632450148</x:v>
      </x:c>
      <x:c r="O48" s="39" t="n">
        <x:v>0.0847698182</x:v>
      </x:c>
      <x:c r="P48" s="39" t="n">
        <x:v>-0.023234739</x:v>
      </x:c>
      <x:c r="Q48" s="39" t="n">
        <x:v>-0.0392101367</x:v>
      </x:c>
      <x:c r="R48" s="39" t="n">
        <x:v>-0.0555161609</x:v>
      </x:c>
      <x:c r="S48" s="39" t="n">
        <x:v>0.0253593235</x:v>
      </x:c>
      <x:c r="T48" s="39" t="n">
        <x:v>0.0604438038</x:v>
      </x:c>
      <x:c r="U48" s="39" t="n">
        <x:v>-0.0267562563</x:v>
      </x:c>
      <x:c r="V48" s="39" t="n">
        <x:v>-0.0914325719</x:v>
      </x:c>
      <x:c r="W48" s="39" t="n">
        <x:v>0.0225767432</x:v>
      </x:c>
      <x:c r="X48" s="39" t="n">
        <x:v>-0.0505011002</x:v>
      </x:c>
      <x:c r="Y48" s="39" t="n">
        <x:v>0.0076665955</x:v>
      </x:c>
      <x:c r="Z48" s="39" t="n">
        <x:v>-0.0472276754</x:v>
      </x:c>
      <x:c r="AA48" s="39" t="n">
        <x:v>-0.0249657204</x:v>
      </x:c>
      <x:c r="AB48" s="39" t="n">
        <x:v>-0.0017532447</x:v>
      </x:c>
      <x:c r="AC48" s="39" t="n">
        <x:v>-0.0148130577</x:v>
      </x:c>
      <x:c r="AD48" s="39" t="n">
        <x:v>0.0152405718</x:v>
      </x:c>
      <x:c r="AE48" s="39" t="n">
        <x:v>0.0257584934</x:v>
      </x:c>
      <x:c r="AF48" s="39" t="n">
        <x:v>0.0057405484</x:v>
      </x:c>
      <x:c r="AG48" s="39" t="n">
        <x:v>0.0070001042</x:v>
      </x:c>
      <x:c r="AH48" s="39" t="n">
        <x:v>-0.0231012843</x:v>
      </x:c>
      <x:c r="AI48" s="39" t="n">
        <x:v>0.0244349462</x:v>
      </x:c>
      <x:c r="AJ48" s="39" t="n">
        <x:v>0.023054583</x:v>
      </x:c>
      <x:c r="AK48" s="39" t="n">
        <x:v>0.0112354449</x:v>
      </x:c>
      <x:c r="AL48" s="39" t="n">
        <x:v>-0.0026712435</x:v>
      </x:c>
      <x:c r="AM48" s="39" t="n">
        <x:v>0.005517645</x:v>
      </x:c>
      <x:c r="AN48" s="39" t="n">
        <x:v>-0.0205877945</x:v>
      </x:c>
      <x:c r="AO48" s="39" t="n">
        <x:v>0.031367538</x:v>
      </x:c>
      <x:c r="AP48" s="39" t="n">
        <x:v>0.0057747945</x:v>
      </x:c>
      <x:c r="AQ48" s="39" t="n">
        <x:v>0.0236275802</x:v>
      </x:c>
      <x:c r="AR48" s="39" t="n">
        <x:v>0.0078642533</x:v>
      </x:c>
    </x:row>
    <x:row r="49" ht="19" customHeight="1">
      <x:c r="A49" s="40" t="d">
        <x:v>2024-08-12T00:00:00.000Z</x:v>
      </x:c>
      <x:c r="B49" s="39" t="n">
        <x:v>0.4877291818</x:v>
      </x:c>
      <x:c r="C49" s="39" t="n">
        <x:v>-0.2609793243</x:v>
      </x:c>
      <x:c r="D49" s="39" t="n">
        <x:v>0.1427244323</x:v>
      </x:c>
      <x:c r="E49" s="39" t="n">
        <x:v>-0.325451752</x:v>
      </x:c>
      <x:c r="F49" s="39" t="n">
        <x:v>-0.0247311614</x:v>
      </x:c>
      <x:c r="G49" s="39" t="n">
        <x:v>0.1513715062</x:v>
      </x:c>
      <x:c r="H49" s="39" t="n">
        <x:v>0.0048735903</x:v>
      </x:c>
      <x:c r="I49" s="39" t="n">
        <x:v>0.0687362414</x:v>
      </x:c>
      <x:c r="J49" s="39" t="n">
        <x:v>-0.1629200124</x:v>
      </x:c>
      <x:c r="K49" s="39" t="n">
        <x:v>0.0616590213</x:v>
      </x:c>
      <x:c r="L49" s="39" t="n">
        <x:v>0.0606111946</x:v>
      </x:c>
      <x:c r="M49" s="39" t="n">
        <x:v>0.0084186005</x:v>
      </x:c>
      <x:c r="N49" s="39" t="n">
        <x:v>-0.0697848355</x:v>
      </x:c>
      <x:c r="O49" s="39" t="n">
        <x:v>-0.0284909727</x:v>
      </x:c>
      <x:c r="P49" s="39" t="n">
        <x:v>0.1728919074</x:v>
      </x:c>
      <x:c r="Q49" s="39" t="n">
        <x:v>0.0081129297</x:v>
      </x:c>
      <x:c r="R49" s="39" t="n">
        <x:v>-0.1863922795</x:v>
      </x:c>
      <x:c r="S49" s="39" t="n">
        <x:v>-0.0810830453</x:v>
      </x:c>
      <x:c r="T49" s="39" t="n">
        <x:v>-0.1805285419</x:v>
      </x:c>
      <x:c r="U49" s="39" t="n">
        <x:v>0.0571775527</x:v>
      </x:c>
      <x:c r="V49" s="39" t="n">
        <x:v>-0.0765233315</x:v>
      </x:c>
      <x:c r="W49" s="39" t="n">
        <x:v>0.0397871428</x:v>
      </x:c>
      <x:c r="X49" s="39" t="n">
        <x:v>-0.0537053807</x:v>
      </x:c>
      <x:c r="Y49" s="39" t="n">
        <x:v>0.0000972732</x:v>
      </x:c>
      <x:c r="Z49" s="39" t="n">
        <x:v>0.097868793</x:v>
      </x:c>
      <x:c r="AA49" s="39" t="n">
        <x:v>-0.0348434951</x:v>
      </x:c>
      <x:c r="AB49" s="39" t="n">
        <x:v>0.074067619</x:v>
      </x:c>
      <x:c r="AC49" s="39" t="n">
        <x:v>0.02820144</x:v>
      </x:c>
      <x:c r="AD49" s="39" t="n">
        <x:v>0.05257214</x:v>
      </x:c>
      <x:c r="AE49" s="39" t="n">
        <x:v>0.0169791702</x:v>
      </x:c>
      <x:c r="AF49" s="39" t="n">
        <x:v>0.003138033</x:v>
      </x:c>
      <x:c r="AG49" s="39" t="n">
        <x:v>0.0331083386</x:v>
      </x:c>
      <x:c r="AH49" s="39" t="n">
        <x:v>0.0494836115</x:v>
      </x:c>
      <x:c r="AI49" s="39" t="n">
        <x:v>-0.0214763819</x:v>
      </x:c>
      <x:c r="AJ49" s="39" t="n">
        <x:v>0.0051374764</x:v>
      </x:c>
      <x:c r="AK49" s="39" t="n">
        <x:v>-0.0113533889</x:v>
      </x:c>
      <x:c r="AL49" s="39" t="n">
        <x:v>-0.009996961</x:v>
      </x:c>
      <x:c r="AM49" s="39" t="n">
        <x:v>-0.0153156423</x:v>
      </x:c>
      <x:c r="AN49" s="39" t="n">
        <x:v>0.0131946906</x:v>
      </x:c>
      <x:c r="AO49" s="39" t="n">
        <x:v>-0.010901159</x:v>
      </x:c>
      <x:c r="AP49" s="39" t="n">
        <x:v>-0.0079270488</x:v>
      </x:c>
      <x:c r="AQ49" s="39" t="n">
        <x:v>0.0193286448</x:v>
      </x:c>
      <x:c r="AR49" s="39" t="n">
        <x:v>0.0043828685</x:v>
      </x:c>
    </x:row>
    <x:row r="50" ht="19" customHeight="1">
      <x:c r="A50" s="40" t="d">
        <x:v>2024-09-09T00:00:00.000Z</x:v>
      </x:c>
      <x:c r="B50" s="39" t="n">
        <x:v>0.0266333447</x:v>
      </x:c>
      <x:c r="C50" s="39" t="n">
        <x:v>0.0973096222</x:v>
      </x:c>
      <x:c r="D50" s="39" t="n">
        <x:v>0.0695610599</x:v>
      </x:c>
      <x:c r="E50" s="39" t="n">
        <x:v>-0.4490904009</x:v>
      </x:c>
      <x:c r="F50" s="39" t="n">
        <x:v>-0.0599916457</x:v>
      </x:c>
      <x:c r="G50" s="39" t="n">
        <x:v>-0.0347528803</x:v>
      </x:c>
      <x:c r="H50" s="39" t="n">
        <x:v>-0.0587083038</x:v>
      </x:c>
      <x:c r="I50" s="39" t="n">
        <x:v>0.0314072563</x:v>
      </x:c>
      <x:c r="J50" s="39" t="n">
        <x:v>-0.280869605</x:v>
      </x:c>
      <x:c r="K50" s="39" t="n">
        <x:v>0.0147743829</x:v>
      </x:c>
      <x:c r="L50" s="39" t="n">
        <x:v>0.0438795682</x:v>
      </x:c>
      <x:c r="M50" s="39" t="n">
        <x:v>0.091591414</x:v>
      </x:c>
      <x:c r="N50" s="39" t="n">
        <x:v>0.0703639329</x:v>
      </x:c>
      <x:c r="O50" s="39" t="n">
        <x:v>0.0430144771</x:v>
      </x:c>
      <x:c r="P50" s="39" t="n">
        <x:v>0.0126539711</x:v>
      </x:c>
      <x:c r="Q50" s="39" t="n">
        <x:v>0.0666314683</x:v>
      </x:c>
      <x:c r="R50" s="39" t="n">
        <x:v>0.027862066</x:v>
      </x:c>
      <x:c r="S50" s="39" t="n">
        <x:v>-0.0127309835</x:v>
      </x:c>
      <x:c r="T50" s="39" t="n">
        <x:v>0.0741463777</x:v>
      </x:c>
      <x:c r="U50" s="39" t="n">
        <x:v>-0.0926712702</x:v>
      </x:c>
      <x:c r="V50" s="39" t="n">
        <x:v>-0.0040114791</x:v>
      </x:c>
      <x:c r="W50" s="39" t="n">
        <x:v>-0.0292329792</x:v>
      </x:c>
      <x:c r="X50" s="39" t="n">
        <x:v>-0.0459947926</x:v>
      </x:c>
      <x:c r="Y50" s="39" t="n">
        <x:v>0.022897343</x:v>
      </x:c>
      <x:c r="Z50" s="39" t="n">
        <x:v>-0.074837246</x:v>
      </x:c>
      <x:c r="AA50" s="39" t="n">
        <x:v>0.0046028685</x:v>
      </x:c>
      <x:c r="AB50" s="39" t="n">
        <x:v>0.0031862979</x:v>
      </x:c>
      <x:c r="AC50" s="39" t="n">
        <x:v>0.0063652174</x:v>
      </x:c>
      <x:c r="AD50" s="39" t="n">
        <x:v>0.0154963269</x:v>
      </x:c>
      <x:c r="AE50" s="39" t="n">
        <x:v>-0.0112967371</x:v>
      </x:c>
      <x:c r="AF50" s="39" t="n">
        <x:v>-0.0016038341</x:v>
      </x:c>
      <x:c r="AG50" s="39" t="n">
        <x:v>-0.0408998991</x:v>
      </x:c>
      <x:c r="AH50" s="39" t="n">
        <x:v>-0.0045360305</x:v>
      </x:c>
      <x:c r="AI50" s="39" t="n">
        <x:v>-0.0253308099</x:v>
      </x:c>
      <x:c r="AJ50" s="39" t="n">
        <x:v>-0.010353311</x:v>
      </x:c>
      <x:c r="AK50" s="39" t="n">
        <x:v>0.0094612889</x:v>
      </x:c>
      <x:c r="AL50" s="39" t="n">
        <x:v>-0.0300182208</x:v>
      </x:c>
      <x:c r="AM50" s="39" t="n">
        <x:v>-0.0306312782</x:v>
      </x:c>
      <x:c r="AN50" s="39" t="n">
        <x:v>-0.0041103067</x:v>
      </x:c>
      <x:c r="AO50" s="39" t="n">
        <x:v>0.0151766684</x:v>
      </x:c>
      <x:c r="AP50" s="39" t="n">
        <x:v>0.008376762</x:v>
      </x:c>
      <x:c r="AQ50" s="39" t="n">
        <x:v>-0.0000405548</x:v>
      </x:c>
      <x:c r="AR50" s="39" t="n">
        <x:v>-0.0054157887</x:v>
      </x:c>
    </x:row>
    <x:row r="51" ht="19" customHeight="1">
      <x:c r="A51" s="40" t="d">
        <x:v>2024-10-07T00:00:00.000Z</x:v>
      </x:c>
      <x:c r="B51" s="39" t="n">
        <x:v>0.1856006189</x:v>
      </x:c>
      <x:c r="C51" s="39" t="n">
        <x:v>-0.0359243888</x:v>
      </x:c>
      <x:c r="D51" s="39" t="n">
        <x:v>-0.0654061296</x:v>
      </x:c>
      <x:c r="E51" s="39" t="n">
        <x:v>0.0220019622</x:v>
      </x:c>
      <x:c r="F51" s="39" t="n">
        <x:v>-0.088848061</x:v>
      </x:c>
      <x:c r="G51" s="39" t="n">
        <x:v>0.2230528256</x:v>
      </x:c>
      <x:c r="H51" s="39" t="n">
        <x:v>-0.1102222519</x:v>
      </x:c>
      <x:c r="I51" s="39" t="n">
        <x:v>-0.0569394998</x:v>
      </x:c>
      <x:c r="J51" s="39" t="n">
        <x:v>-0.1662473668</x:v>
      </x:c>
      <x:c r="K51" s="39" t="n">
        <x:v>0.1599591388</x:v>
      </x:c>
      <x:c r="L51" s="39" t="n">
        <x:v>-0.0288939265</x:v>
      </x:c>
      <x:c r="M51" s="39" t="n">
        <x:v>0.0423869404</x:v>
      </x:c>
      <x:c r="N51" s="39" t="n">
        <x:v>-0.1824101451</x:v>
      </x:c>
      <x:c r="O51" s="39" t="n">
        <x:v>0.1255930409</x:v>
      </x:c>
      <x:c r="P51" s="39" t="n">
        <x:v>-0.0821569771</x:v>
      </x:c>
      <x:c r="Q51" s="39" t="n">
        <x:v>0.007228478</x:v>
      </x:c>
      <x:c r="R51" s="39" t="n">
        <x:v>0.0143073725</x:v>
      </x:c>
      <x:c r="S51" s="39" t="n">
        <x:v>0.0706138577</x:v>
      </x:c>
      <x:c r="T51" s="39" t="n">
        <x:v>-0.0497283365</x:v>
      </x:c>
      <x:c r="U51" s="39" t="n">
        <x:v>-0.1229148953</x:v>
      </x:c>
      <x:c r="V51" s="39" t="n">
        <x:v>0.0605454456</x:v>
      </x:c>
      <x:c r="W51" s="39" t="n">
        <x:v>0.043122547</x:v>
      </x:c>
      <x:c r="X51" s="39" t="n">
        <x:v>-0.1151054356</x:v>
      </x:c>
      <x:c r="Y51" s="39" t="n">
        <x:v>-0.0793696241</x:v>
      </x:c>
      <x:c r="Z51" s="39" t="n">
        <x:v>-0.0649352159</x:v>
      </x:c>
      <x:c r="AA51" s="39" t="n">
        <x:v>0.0040196533</x:v>
      </x:c>
      <x:c r="AB51" s="39" t="n">
        <x:v>0.0178803392</x:v>
      </x:c>
      <x:c r="AC51" s="39" t="n">
        <x:v>0.0179051618</x:v>
      </x:c>
      <x:c r="AD51" s="39" t="n">
        <x:v>-0.001708755</x:v>
      </x:c>
      <x:c r="AE51" s="39" t="n">
        <x:v>0.071592954</x:v>
      </x:c>
      <x:c r="AF51" s="39" t="n">
        <x:v>-0.0211722139</x:v>
      </x:c>
      <x:c r="AG51" s="39" t="n">
        <x:v>0.0278258294</x:v>
      </x:c>
      <x:c r="AH51" s="39" t="n">
        <x:v>-0.0051163572</x:v>
      </x:c>
      <x:c r="AI51" s="39" t="n">
        <x:v>0.041803736</x:v>
      </x:c>
      <x:c r="AJ51" s="39" t="n">
        <x:v>0.0060230384</x:v>
      </x:c>
      <x:c r="AK51" s="39" t="n">
        <x:v>0.0214687944</x:v>
      </x:c>
      <x:c r="AL51" s="39" t="n">
        <x:v>-0.0250630583</x:v>
      </x:c>
      <x:c r="AM51" s="39" t="n">
        <x:v>0.0055164169</x:v>
      </x:c>
      <x:c r="AN51" s="39" t="n">
        <x:v>0.0194270508</x:v>
      </x:c>
      <x:c r="AO51" s="39" t="n">
        <x:v>0.0034301406</x:v>
      </x:c>
      <x:c r="AP51" s="39" t="n">
        <x:v>-0.0081580788</x:v>
      </x:c>
      <x:c r="AQ51" s="39" t="n">
        <x:v>-0.009053326</x:v>
      </x:c>
      <x:c r="AR51" s="39" t="n">
        <x:v>-0.0092971697</x:v>
      </x:c>
    </x:row>
    <x:row r="52" ht="19" customHeight="1">
      <x:c r="A52" s="40" t="d">
        <x:v>2024-11-04T00:00:00.000Z</x:v>
      </x:c>
      <x:c r="B52" s="39" t="n">
        <x:v>0.2174229311</x:v>
      </x:c>
      <x:c r="C52" s="39" t="n">
        <x:v>0.0305634993</x:v>
      </x:c>
      <x:c r="D52" s="39" t="n">
        <x:v>0.178211081</x:v>
      </x:c>
      <x:c r="E52" s="39" t="n">
        <x:v>0.0991135562</x:v>
      </x:c>
      <x:c r="F52" s="39" t="n">
        <x:v>-0.402500832</x:v>
      </x:c>
      <x:c r="G52" s="39" t="n">
        <x:v>0.1589575827</x:v>
      </x:c>
      <x:c r="H52" s="39" t="n">
        <x:v>-0.1662899514</x:v>
      </x:c>
      <x:c r="I52" s="39" t="n">
        <x:v>-0.0322655223</x:v>
      </x:c>
      <x:c r="J52" s="39" t="n">
        <x:v>-0.1155026569</x:v>
      </x:c>
      <x:c r="K52" s="39" t="n">
        <x:v>0.3635298792</x:v>
      </x:c>
      <x:c r="L52" s="39" t="n">
        <x:v>0.0478655528</x:v>
      </x:c>
      <x:c r="M52" s="39" t="n">
        <x:v>-0.1000908934</x:v>
      </x:c>
      <x:c r="N52" s="39" t="n">
        <x:v>0.2292376992</x:v>
      </x:c>
      <x:c r="O52" s="39" t="n">
        <x:v>-0.0911365315</x:v>
      </x:c>
      <x:c r="P52" s="39" t="n">
        <x:v>0.2460254237</x:v>
      </x:c>
      <x:c r="Q52" s="39" t="n">
        <x:v>-0.1836029249</x:v>
      </x:c>
      <x:c r="R52" s="39" t="n">
        <x:v>0.0711768249</x:v>
      </x:c>
      <x:c r="S52" s="39" t="n">
        <x:v>-0.0473862129</x:v>
      </x:c>
      <x:c r="T52" s="39" t="n">
        <x:v>0.0726618679</x:v>
      </x:c>
      <x:c r="U52" s="39" t="n">
        <x:v>-0.0517550113</x:v>
      </x:c>
      <x:c r="V52" s="39" t="n">
        <x:v>0.0304333795</x:v>
      </x:c>
      <x:c r="W52" s="39" t="n">
        <x:v>0.0030641609</x:v>
      </x:c>
      <x:c r="X52" s="39" t="n">
        <x:v>0.0235794549</x:v>
      </x:c>
      <x:c r="Y52" s="39" t="n">
        <x:v>0.0007395959</x:v>
      </x:c>
      <x:c r="Z52" s="39" t="n">
        <x:v>0.042883587</x:v>
      </x:c>
      <x:c r="AA52" s="39" t="n">
        <x:v>0.089823188</x:v>
      </x:c>
      <x:c r="AB52" s="39" t="n">
        <x:v>-0.0233826274</x:v>
      </x:c>
      <x:c r="AC52" s="39" t="n">
        <x:v>-0.041934702</x:v>
      </x:c>
      <x:c r="AD52" s="39" t="n">
        <x:v>-0.03555187</x:v>
      </x:c>
      <x:c r="AE52" s="39" t="n">
        <x:v>-0.0007575228</x:v>
      </x:c>
      <x:c r="AF52" s="39" t="n">
        <x:v>-0.0448570437</x:v>
      </x:c>
      <x:c r="AG52" s="39" t="n">
        <x:v>-0.0011843939</x:v>
      </x:c>
      <x:c r="AH52" s="39" t="n">
        <x:v>-0.0127038861</x:v>
      </x:c>
      <x:c r="AI52" s="39" t="n">
        <x:v>0.0158364209</x:v>
      </x:c>
      <x:c r="AJ52" s="39" t="n">
        <x:v>0.0059206938</x:v>
      </x:c>
      <x:c r="AK52" s="39" t="n">
        <x:v>0.025997122</x:v>
      </x:c>
      <x:c r="AL52" s="39" t="n">
        <x:v>-0.0013717648</x:v>
      </x:c>
      <x:c r="AM52" s="39" t="n">
        <x:v>-0.0023991815</x:v>
      </x:c>
      <x:c r="AN52" s="39" t="n">
        <x:v>-0.0128253263</x:v>
      </x:c>
      <x:c r="AO52" s="39" t="n">
        <x:v>0.007739094</x:v>
      </x:c>
      <x:c r="AP52" s="39" t="n">
        <x:v>0.0038208064</x:v>
      </x:c>
      <x:c r="AQ52" s="39" t="n">
        <x:v>-0.0001656644</x:v>
      </x:c>
      <x:c r="AR52" s="39" t="n">
        <x:v>0.0019486718</x:v>
      </x:c>
    </x:row>
    <x:row r="53" ht="19" customHeight="1">
      <x:c r="A53" s="40" t="d">
        <x:v>2024-12-02T00:00:00.000Z</x:v>
      </x:c>
      <x:c r="B53" s="39" t="n">
        <x:v>-0.0294428388</x:v>
      </x:c>
      <x:c r="C53" s="39" t="n">
        <x:v>-0.3438770139</x:v>
      </x:c>
      <x:c r="D53" s="39" t="n">
        <x:v>-0.1147231729</x:v>
      </x:c>
      <x:c r="E53" s="39" t="n">
        <x:v>0.2504335849</x:v>
      </x:c>
      <x:c r="F53" s="39" t="n">
        <x:v>0.1705923304</x:v>
      </x:c>
      <x:c r="G53" s="39" t="n">
        <x:v>0.138285653</x:v>
      </x:c>
      <x:c r="H53" s="39" t="n">
        <x:v>0.0966493648</x:v>
      </x:c>
      <x:c r="I53" s="39" t="n">
        <x:v>0.0937070567</x:v>
      </x:c>
      <x:c r="J53" s="39" t="n">
        <x:v>-0.0397584422</x:v>
      </x:c>
      <x:c r="K53" s="39" t="n">
        <x:v>-0.0808148732</x:v>
      </x:c>
      <x:c r="L53" s="39" t="n">
        <x:v>0.0588474969</x:v>
      </x:c>
      <x:c r="M53" s="39" t="n">
        <x:v>0.0247054254</x:v>
      </x:c>
      <x:c r="N53" s="39" t="n">
        <x:v>-0.006509211</x:v>
      </x:c>
      <x:c r="O53" s="39" t="n">
        <x:v>-0.155484499</x:v>
      </x:c>
      <x:c r="P53" s="39" t="n">
        <x:v>0.001716232</x:v>
      </x:c>
      <x:c r="Q53" s="39" t="n">
        <x:v>-0.0053573877</x:v>
      </x:c>
      <x:c r="R53" s="39" t="n">
        <x:v>-0.1044799994</x:v>
      </x:c>
      <x:c r="S53" s="39" t="n">
        <x:v>0.0947559588</x:v>
      </x:c>
      <x:c r="T53" s="39" t="n">
        <x:v>0.0514278828</x:v>
      </x:c>
      <x:c r="U53" s="39" t="n">
        <x:v>-0.0326964059</x:v>
      </x:c>
      <x:c r="V53" s="39" t="n">
        <x:v>0.1071490306</x:v>
      </x:c>
      <x:c r="W53" s="39" t="n">
        <x:v>-0.0650186117</x:v>
      </x:c>
      <x:c r="X53" s="39" t="n">
        <x:v>-0.0137135669</x:v>
      </x:c>
      <x:c r="Y53" s="39" t="n">
        <x:v>0.0701341816</x:v>
      </x:c>
      <x:c r="Z53" s="39" t="n">
        <x:v>0.0106098722</x:v>
      </x:c>
      <x:c r="AA53" s="39" t="n">
        <x:v>0.0449955449</x:v>
      </x:c>
      <x:c r="AB53" s="39" t="n">
        <x:v>0.0175894089</x:v>
      </x:c>
      <x:c r="AC53" s="39" t="n">
        <x:v>0.0334582068</x:v>
      </x:c>
      <x:c r="AD53" s="39" t="n">
        <x:v>-0.0083115032</x:v>
      </x:c>
      <x:c r="AE53" s="39" t="n">
        <x:v>0.0214787379</x:v>
      </x:c>
      <x:c r="AF53" s="39" t="n">
        <x:v>-0.0510082965</x:v>
      </x:c>
      <x:c r="AG53" s="39" t="n">
        <x:v>-0.0538394113</x:v>
      </x:c>
      <x:c r="AH53" s="39" t="n">
        <x:v>-0.0349021285</x:v>
      </x:c>
      <x:c r="AI53" s="39" t="n">
        <x:v>-0.0138019058</x:v>
      </x:c>
      <x:c r="AJ53" s="39" t="n">
        <x:v>0.0830756285</x:v>
      </x:c>
      <x:c r="AK53" s="39" t="n">
        <x:v>-0.0064721495</x:v>
      </x:c>
      <x:c r="AL53" s="39" t="n">
        <x:v>-0.0049067621</x:v>
      </x:c>
      <x:c r="AM53" s="39" t="n">
        <x:v>0.0005634351</x:v>
      </x:c>
      <x:c r="AN53" s="39" t="n">
        <x:v>-0.0036423507</x:v>
      </x:c>
      <x:c r="AO53" s="39" t="n">
        <x:v>-0.0057043019</x:v>
      </x:c>
      <x:c r="AP53" s="39" t="n">
        <x:v>0.013087856</x:v>
      </x:c>
      <x:c r="AQ53" s="39" t="n">
        <x:v>-0.0063256625</x:v>
      </x:c>
      <x:c r="AR53" s="39" t="n">
        <x:v>-0.0132238861</x:v>
      </x:c>
    </x:row>
    <x:row r="54" ht="19" customHeight="1">
      <x:c r="A54" s="40" t="d">
        <x:v>2024-12-30T00:00:00.000Z</x:v>
      </x:c>
      <x:c r="B54" s="39" t="n">
        <x:v>-0.0494523857</x:v>
      </x:c>
      <x:c r="C54" s="39" t="n">
        <x:v>-0.0388934627</x:v>
      </x:c>
      <x:c r="D54" s="39" t="n">
        <x:v>-0.1171286732</x:v>
      </x:c>
      <x:c r="E54" s="39" t="n">
        <x:v>0.0283645164</x:v>
      </x:c>
      <x:c r="F54" s="39" t="n">
        <x:v>0.0397055877</x:v>
      </x:c>
      <x:c r="G54" s="39" t="n">
        <x:v>-0.1283397394</x:v>
      </x:c>
      <x:c r="H54" s="39" t="n">
        <x:v>0.0606900091</x:v>
      </x:c>
      <x:c r="I54" s="39" t="n">
        <x:v>0.0127386171</x:v>
      </x:c>
      <x:c r="J54" s="39" t="n">
        <x:v>0.1920116232</x:v>
      </x:c>
      <x:c r="K54" s="39" t="n">
        <x:v>-0.0072304876</x:v>
      </x:c>
      <x:c r="L54" s="39" t="n">
        <x:v>-0.0695574105</x:v>
      </x:c>
      <x:c r="M54" s="39" t="n">
        <x:v>-0.166819857</x:v>
      </x:c>
      <x:c r="N54" s="39" t="n">
        <x:v>-0.1605311584</x:v>
      </x:c>
      <x:c r="O54" s="39" t="n">
        <x:v>0.0395979541</x:v>
      </x:c>
      <x:c r="P54" s="39" t="n">
        <x:v>0.0550346764</x:v>
      </x:c>
      <x:c r="Q54" s="39" t="n">
        <x:v>-0.0277597826</x:v>
      </x:c>
      <x:c r="R54" s="39" t="n">
        <x:v>-0.0238207179</x:v>
      </x:c>
      <x:c r="S54" s="39" t="n">
        <x:v>-0.0649330013</x:v>
      </x:c>
      <x:c r="T54" s="39" t="n">
        <x:v>0.0209715018</x:v>
      </x:c>
      <x:c r="U54" s="39" t="n">
        <x:v>-0.0245079773</x:v>
      </x:c>
      <x:c r="V54" s="39" t="n">
        <x:v>0.1316275137</x:v>
      </x:c>
      <x:c r="W54" s="39" t="n">
        <x:v>0.0214175357</x:v>
      </x:c>
      <x:c r="X54" s="39" t="n">
        <x:v>0.042089084</x:v>
      </x:c>
      <x:c r="Y54" s="39" t="n">
        <x:v>-0.05376081</x:v>
      </x:c>
      <x:c r="Z54" s="39" t="n">
        <x:v>0.0478062361</x:v>
      </x:c>
      <x:c r="AA54" s="39" t="n">
        <x:v>0.0029815608</x:v>
      </x:c>
      <x:c r="AB54" s="39" t="n">
        <x:v>-0.0389352263</x:v>
      </x:c>
      <x:c r="AC54" s="39" t="n">
        <x:v>0.1355056343</x:v>
      </x:c>
      <x:c r="AD54" s="39" t="n">
        <x:v>0.0127167321</x:v>
      </x:c>
      <x:c r="AE54" s="39" t="n">
        <x:v>-0.0060712134</x:v>
      </x:c>
      <x:c r="AF54" s="39" t="n">
        <x:v>0.0101097958</x:v>
      </x:c>
      <x:c r="AG54" s="39" t="n">
        <x:v>0.0161229881</x:v>
      </x:c>
      <x:c r="AH54" s="39" t="n">
        <x:v>0.0343687226</x:v>
      </x:c>
      <x:c r="AI54" s="39" t="n">
        <x:v>0.0439334375</x:v>
      </x:c>
      <x:c r="AJ54" s="39" t="n">
        <x:v>0.0127838606</x:v>
      </x:c>
      <x:c r="AK54" s="39" t="n">
        <x:v>0.0331821251</x:v>
      </x:c>
      <x:c r="AL54" s="39" t="n">
        <x:v>-0.0045228327</x:v>
      </x:c>
      <x:c r="AM54" s="39" t="n">
        <x:v>0.0208852251</x:v>
      </x:c>
      <x:c r="AN54" s="39" t="n">
        <x:v>0.0192056213</x:v>
      </x:c>
      <x:c r="AO54" s="39" t="n">
        <x:v>-0.0087462609</x:v>
      </x:c>
      <x:c r="AP54" s="39" t="n">
        <x:v>0.0058392538</x:v>
      </x:c>
      <x:c r="AQ54" s="39" t="n">
        <x:v>0.0029426556</x:v>
      </x:c>
      <x:c r="AR54" s="39" t="n">
        <x:v>0.0053631144</x:v>
      </x:c>
    </x:row>
    <x:row r="55" ht="19" customHeight="1">
      <x:c r="A55" s="40" t="d">
        <x:v>2025-01-27T00:00:00.000Z</x:v>
      </x:c>
      <x:c r="B55" s="39" t="n">
        <x:v>-0.0205355733</x:v>
      </x:c>
      <x:c r="C55" s="39" t="n">
        <x:v>-0.5728413086</x:v>
      </x:c>
      <x:c r="D55" s="39" t="n">
        <x:v>0.178148517</x:v>
      </x:c>
      <x:c r="E55" s="39" t="n">
        <x:v>0.0149994428</x:v>
      </x:c>
      <x:c r="F55" s="39" t="n">
        <x:v>0.0508906791</x:v>
      </x:c>
      <x:c r="G55" s="39" t="n">
        <x:v>0.0804529787</x:v>
      </x:c>
      <x:c r="H55" s="39" t="n">
        <x:v>0.0117548224</x:v>
      </x:c>
      <x:c r="I55" s="39" t="n">
        <x:v>0.0946449223</x:v>
      </x:c>
      <x:c r="J55" s="39" t="n">
        <x:v>-0.0469504946</x:v>
      </x:c>
      <x:c r="K55" s="39" t="n">
        <x:v>-0.150720419</x:v>
      </x:c>
      <x:c r="L55" s="39" t="n">
        <x:v>-0.0914944534</x:v>
      </x:c>
      <x:c r="M55" s="39" t="n">
        <x:v>0.0034720665</x:v>
      </x:c>
      <x:c r="N55" s="39" t="n">
        <x:v>-0.0247893021</x:v>
      </x:c>
      <x:c r="O55" s="39" t="n">
        <x:v>0.1006283899</x:v>
      </x:c>
      <x:c r="P55" s="39" t="n">
        <x:v>0.0585610261</x:v>
      </x:c>
      <x:c r="Q55" s="39" t="n">
        <x:v>0.0474639762</x:v>
      </x:c>
      <x:c r="R55" s="39" t="n">
        <x:v>0.0083196812</x:v>
      </x:c>
      <x:c r="S55" s="39" t="n">
        <x:v>-0.1956878574</x:v>
      </x:c>
      <x:c r="T55" s="39" t="n">
        <x:v>-0.0037227172</x:v>
      </x:c>
      <x:c r="U55" s="39" t="n">
        <x:v>-0.0311256753</x:v>
      </x:c>
      <x:c r="V55" s="39" t="n">
        <x:v>0.0209954973</x:v>
      </x:c>
      <x:c r="W55" s="39" t="n">
        <x:v>0.0106584222</x:v>
      </x:c>
      <x:c r="X55" s="39" t="n">
        <x:v>0.2268083698</x:v>
      </x:c>
      <x:c r="Y55" s="39" t="n">
        <x:v>-0.0628689095</x:v>
      </x:c>
      <x:c r="Z55" s="39" t="n">
        <x:v>-0.0370637443</x:v>
      </x:c>
      <x:c r="AA55" s="39" t="n">
        <x:v>0.0083228934</x:v>
      </x:c>
      <x:c r="AB55" s="39" t="n">
        <x:v>0.0844766674</x:v>
      </x:c>
      <x:c r="AC55" s="39" t="n">
        <x:v>-0.0021686141</x:v>
      </x:c>
      <x:c r="AD55" s="39" t="n">
        <x:v>-0.0756689281</x:v>
      </x:c>
      <x:c r="AE55" s="39" t="n">
        <x:v>-0.0114716884</x:v>
      </x:c>
      <x:c r="AF55" s="39" t="n">
        <x:v>-0.030814125</x:v>
      </x:c>
      <x:c r="AG55" s="39" t="n">
        <x:v>0.0450527049</x:v>
      </x:c>
      <x:c r="AH55" s="39" t="n">
        <x:v>0.0009712282</x:v>
      </x:c>
      <x:c r="AI55" s="39" t="n">
        <x:v>0.0043421468</x:v>
      </x:c>
      <x:c r="AJ55" s="39" t="n">
        <x:v>-0.0145709342</x:v>
      </x:c>
      <x:c r="AK55" s="39" t="n">
        <x:v>0.0194114356</x:v>
      </x:c>
      <x:c r="AL55" s="39" t="n">
        <x:v>0.0101390931</x:v>
      </x:c>
      <x:c r="AM55" s="39" t="n">
        <x:v>-0.0113801146</x:v>
      </x:c>
      <x:c r="AN55" s="39" t="n">
        <x:v>-0.0245804111</x:v>
      </x:c>
      <x:c r="AO55" s="39" t="n">
        <x:v>-0.0020748005</x:v>
      </x:c>
      <x:c r="AP55" s="39" t="n">
        <x:v>-0.0150582777</x:v>
      </x:c>
      <x:c r="AQ55" s="39" t="n">
        <x:v>0.0019031043</x:v>
      </x:c>
      <x:c r="AR55" s="39" t="n">
        <x:v>-0.0047971675</x:v>
      </x:c>
    </x:row>
    <x:row r="56" ht="19" customHeight="1">
      <x:c r="A56" s="40" t="d">
        <x:v>2025-02-24T00:00:00.000Z</x:v>
      </x:c>
      <x:c r="B56" s="39" t="n">
        <x:v>0.1678816603</x:v>
      </x:c>
      <x:c r="C56" s="39" t="n">
        <x:v>-0.4320060399</x:v>
      </x:c>
      <x:c r="D56" s="39" t="n">
        <x:v>0.1040536147</x:v>
      </x:c>
      <x:c r="E56" s="39" t="n">
        <x:v>-0.1660985803</x:v>
      </x:c>
      <x:c r="F56" s="39" t="n">
        <x:v>-0.1304428394</x:v>
      </x:c>
      <x:c r="G56" s="39" t="n">
        <x:v>-0.0129448105</x:v>
      </x:c>
      <x:c r="H56" s="39" t="n">
        <x:v>-0.1060571918</x:v>
      </x:c>
      <x:c r="I56" s="39" t="n">
        <x:v>-0.1416530621</x:v>
      </x:c>
      <x:c r="J56" s="39" t="n">
        <x:v>0.3845187157</x:v>
      </x:c>
      <x:c r="K56" s="39" t="n">
        <x:v>-0.0764260627</x:v>
      </x:c>
      <x:c r="L56" s="39" t="n">
        <x:v>-0.09452823</x:v>
      </x:c>
      <x:c r="M56" s="39" t="n">
        <x:v>0.0312144513</x:v>
      </x:c>
      <x:c r="N56" s="39" t="n">
        <x:v>0.0314301494</x:v>
      </x:c>
      <x:c r="O56" s="39" t="n">
        <x:v>-0.271572086</x:v>
      </x:c>
      <x:c r="P56" s="39" t="n">
        <x:v>0.0787451241</x:v>
      </x:c>
      <x:c r="Q56" s="39" t="n">
        <x:v>0.2108823341</x:v>
      </x:c>
      <x:c r="R56" s="39" t="n">
        <x:v>0.1397455381</x:v>
      </x:c>
      <x:c r="S56" s="39" t="n">
        <x:v>-0.0260984574</x:v>
      </x:c>
      <x:c r="T56" s="39" t="n">
        <x:v>0.0100175077</x:v>
      </x:c>
      <x:c r="U56" s="39" t="n">
        <x:v>-0.1146869778</x:v>
      </x:c>
      <x:c r="V56" s="39" t="n">
        <x:v>0.0977096078</x:v>
      </x:c>
      <x:c r="W56" s="39" t="n">
        <x:v>-0.0976379821</x:v>
      </x:c>
      <x:c r="X56" s="39" t="n">
        <x:v>-0.1109302093</x:v>
      </x:c>
      <x:c r="Y56" s="39" t="n">
        <x:v>-0.038835488</x:v>
      </x:c>
      <x:c r="Z56" s="39" t="n">
        <x:v>0.0436603544</x:v>
      </x:c>
      <x:c r="AA56" s="39" t="n">
        <x:v>-0.0492985353</x:v>
      </x:c>
      <x:c r="AB56" s="39" t="n">
        <x:v>0.0394717712</x:v>
      </x:c>
      <x:c r="AC56" s="39" t="n">
        <x:v>-0.0505499635</x:v>
      </x:c>
      <x:c r="AD56" s="39" t="n">
        <x:v>-0.0017190615</x:v>
      </x:c>
      <x:c r="AE56" s="39" t="n">
        <x:v>-0.0131707346</x:v>
      </x:c>
      <x:c r="AF56" s="39" t="n">
        <x:v>0.0200561169</x:v>
      </x:c>
      <x:c r="AG56" s="39" t="n">
        <x:v>0.0235359239</x:v>
      </x:c>
      <x:c r="AH56" s="39" t="n">
        <x:v>-0.0054723819</x:v>
      </x:c>
      <x:c r="AI56" s="39" t="n">
        <x:v>0.0168422055</x:v>
      </x:c>
      <x:c r="AJ56" s="39" t="n">
        <x:v>-0.0191497425</x:v>
      </x:c>
      <x:c r="AK56" s="39" t="n">
        <x:v>0.0142752528</x:v>
      </x:c>
      <x:c r="AL56" s="39" t="n">
        <x:v>-0.0070135944</x:v>
      </x:c>
      <x:c r="AM56" s="39" t="n">
        <x:v>-0.0138551482</x:v>
      </x:c>
      <x:c r="AN56" s="39" t="n">
        <x:v>-0.0098689723</x:v>
      </x:c>
      <x:c r="AO56" s="39" t="n">
        <x:v>-0.002009762</x:v>
      </x:c>
      <x:c r="AP56" s="39" t="n">
        <x:v>0.0134128884</x:v>
      </x:c>
      <x:c r="AQ56" s="39" t="n">
        <x:v>0.0011562407</x:v>
      </x:c>
      <x:c r="AR56" s="39" t="n">
        <x:v>-0.0007233828</x:v>
      </x:c>
    </x:row>
    <x:row r="57" ht="19" customHeight="1">
      <x:c r="A57" s="40" t="d">
        <x:v>2025-03-24T00:00:00.000Z</x:v>
      </x:c>
      <x:c r="B57" s="39" t="n">
        <x:v>-0.0246224531</x:v>
      </x:c>
      <x:c r="C57" s="39" t="n">
        <x:v>0.3088142477</x:v>
      </x:c>
      <x:c r="D57" s="39" t="n">
        <x:v>-0.3294103847</x:v>
      </x:c>
      <x:c r="E57" s="39" t="n">
        <x:v>-0.2153389579</x:v>
      </x:c>
      <x:c r="F57" s="39" t="n">
        <x:v>-0.0687404238</x:v>
      </x:c>
      <x:c r="G57" s="39" t="n">
        <x:v>-0.1964140389</x:v>
      </x:c>
      <x:c r="H57" s="39" t="n">
        <x:v>0.114909932</x:v>
      </x:c>
      <x:c r="I57" s="39" t="n">
        <x:v>0.0447204685</x:v>
      </x:c>
      <x:c r="J57" s="39" t="n">
        <x:v>0.1253391177</x:v>
      </x:c>
      <x:c r="K57" s="39" t="n">
        <x:v>0.2044128256</x:v>
      </x:c>
      <x:c r="L57" s="39" t="n">
        <x:v>-0.0320202099</x:v>
      </x:c>
      <x:c r="M57" s="39" t="n">
        <x:v>0.125147106</x:v>
      </x:c>
      <x:c r="N57" s="39" t="n">
        <x:v>0.0181369125</x:v>
      </x:c>
      <x:c r="O57" s="39" t="n">
        <x:v>0.1720215593</x:v>
      </x:c>
      <x:c r="P57" s="39" t="n">
        <x:v>0.0309478813</x:v>
      </x:c>
      <x:c r="Q57" s="39" t="n">
        <x:v>-0.0519076154</x:v>
      </x:c>
      <x:c r="R57" s="39" t="n">
        <x:v>0.0917116353</x:v>
      </x:c>
      <x:c r="S57" s="39" t="n">
        <x:v>-0.1275592566</x:v>
      </x:c>
      <x:c r="T57" s="39" t="n">
        <x:v>-0.0113169986</x:v>
      </x:c>
      <x:c r="U57" s="39" t="n">
        <x:v>0.0539813599</x:v>
      </x:c>
      <x:c r="V57" s="39" t="n">
        <x:v>-0.1165341889</x:v>
      </x:c>
      <x:c r="W57" s="39" t="n">
        <x:v>0.0142255289</x:v>
      </x:c>
      <x:c r="X57" s="39" t="n">
        <x:v>-0.0038711912</x:v>
      </x:c>
      <x:c r="Y57" s="39" t="n">
        <x:v>-0.0010656568</x:v>
      </x:c>
      <x:c r="Z57" s="39" t="n">
        <x:v>0.0088114244</x:v>
      </x:c>
      <x:c r="AA57" s="39" t="n">
        <x:v>-0.0661913442</x:v>
      </x:c>
      <x:c r="AB57" s="39" t="n">
        <x:v>0.0176123007</x:v>
      </x:c>
      <x:c r="AC57" s="39" t="n">
        <x:v>0.0060055682</x:v>
      </x:c>
      <x:c r="AD57" s="39" t="n">
        <x:v>-0.0553206545</x:v>
      </x:c>
      <x:c r="AE57" s="39" t="n">
        <x:v>0.0272663285</x:v>
      </x:c>
      <x:c r="AF57" s="39" t="n">
        <x:v>-0.003801653</x:v>
      </x:c>
      <x:c r="AG57" s="39" t="n">
        <x:v>0.0159758177</x:v>
      </x:c>
      <x:c r="AH57" s="39" t="n">
        <x:v>0.0275281213</x:v>
      </x:c>
      <x:c r="AI57" s="39" t="n">
        <x:v>0.0257072263</x:v>
      </x:c>
      <x:c r="AJ57" s="39" t="n">
        <x:v>0.0243273649</x:v>
      </x:c>
      <x:c r="AK57" s="39" t="n">
        <x:v>-0.0276609728</x:v>
      </x:c>
      <x:c r="AL57" s="39" t="n">
        <x:v>-0.0048849757</x:v>
      </x:c>
      <x:c r="AM57" s="39" t="n">
        <x:v>-0.0183639228</x:v>
      </x:c>
      <x:c r="AN57" s="39" t="n">
        <x:v>0.0037039069</x:v>
      </x:c>
      <x:c r="AO57" s="39" t="n">
        <x:v>0.0050049981</x:v>
      </x:c>
      <x:c r="AP57" s="39" t="n">
        <x:v>0.0181268958</x:v>
      </x:c>
      <x:c r="AQ57" s="39" t="n">
        <x:v>-0.0211929876</x:v>
      </x:c>
      <x:c r="AR57" s="39" t="n">
        <x:v>-0.0039723522</x:v>
      </x:c>
    </x:row>
    <x:row r="58" ht="19" customHeight="1">
      <x:c r="A58" s="40" t="d">
        <x:v>2025-04-21T00:00:00.000Z</x:v>
      </x:c>
      <x:c r="B58" s="39" t="n">
        <x:v>0.3990414223</x:v>
      </x:c>
      <x:c r="C58" s="39" t="n">
        <x:v>-0.3903449651</x:v>
      </x:c>
      <x:c r="D58" s="39" t="n">
        <x:v>-0.166363608</x:v>
      </x:c>
      <x:c r="E58" s="39" t="n">
        <x:v>-0.0025470425</x:v>
      </x:c>
      <x:c r="F58" s="39" t="n">
        <x:v>-0.0181728871</x:v>
      </x:c>
      <x:c r="G58" s="39" t="n">
        <x:v>-0.0223921045</x:v>
      </x:c>
      <x:c r="H58" s="39" t="n">
        <x:v>0.0278631584</x:v>
      </x:c>
      <x:c r="I58" s="39" t="n">
        <x:v>0.1309220206</x:v>
      </x:c>
      <x:c r="J58" s="39" t="n">
        <x:v>-0.0667059862</x:v>
      </x:c>
      <x:c r="K58" s="39" t="n">
        <x:v>0.0043237145</x:v>
      </x:c>
      <x:c r="L58" s="39" t="n">
        <x:v>0.1174949449</x:v>
      </x:c>
      <x:c r="M58" s="39" t="n">
        <x:v>-0.1960719422</x:v>
      </x:c>
      <x:c r="N58" s="39" t="n">
        <x:v>-0.0714494469</x:v>
      </x:c>
      <x:c r="O58" s="39" t="n">
        <x:v>-0.0562973098</x:v>
      </x:c>
      <x:c r="P58" s="39" t="n">
        <x:v>-0.1324845046</x:v>
      </x:c>
      <x:c r="Q58" s="39" t="n">
        <x:v>0.0262558809</x:v>
      </x:c>
      <x:c r="R58" s="39" t="n">
        <x:v>-0.0841493939</x:v>
      </x:c>
      <x:c r="S58" s="39" t="n">
        <x:v>0.122104491</x:v>
      </x:c>
      <x:c r="T58" s="39" t="n">
        <x:v>0.0514919978</x:v>
      </x:c>
      <x:c r="U58" s="39" t="n">
        <x:v>0.1783785484</x:v>
      </x:c>
      <x:c r="V58" s="39" t="n">
        <x:v>-0.0313196722</x:v>
      </x:c>
      <x:c r="W58" s="39" t="n">
        <x:v>0.0146378011</x:v>
      </x:c>
      <x:c r="X58" s="39" t="n">
        <x:v>0.0339974735</x:v>
      </x:c>
      <x:c r="Y58" s="39" t="n">
        <x:v>-0.0491130598</x:v>
      </x:c>
      <x:c r="Z58" s="39" t="n">
        <x:v>-0.0203895796</x:v>
      </x:c>
      <x:c r="AA58" s="39" t="n">
        <x:v>-0.0443152024</x:v>
      </x:c>
      <x:c r="AB58" s="39" t="n">
        <x:v>-0.0275063177</x:v>
      </x:c>
      <x:c r="AC58" s="39" t="n">
        <x:v>-0.0537157096</x:v>
      </x:c>
      <x:c r="AD58" s="39" t="n">
        <x:v>-0.0345063969</x:v>
      </x:c>
      <x:c r="AE58" s="39" t="n">
        <x:v>-0.076324015</x:v>
      </x:c>
      <x:c r="AF58" s="39" t="n">
        <x:v>0.0166514282</x:v>
      </x:c>
      <x:c r="AG58" s="39" t="n">
        <x:v>-0.0188955675</x:v>
      </x:c>
      <x:c r="AH58" s="39" t="n">
        <x:v>-0.0188545103</x:v>
      </x:c>
      <x:c r="AI58" s="39" t="n">
        <x:v>0.0344997069</x:v>
      </x:c>
      <x:c r="AJ58" s="39" t="n">
        <x:v>0.0162108732</x:v>
      </x:c>
      <x:c r="AK58" s="39" t="n">
        <x:v>0.0141342918</x:v>
      </x:c>
      <x:c r="AL58" s="39" t="n">
        <x:v>-0.0190370909</x:v>
      </x:c>
      <x:c r="AM58" s="39" t="n">
        <x:v>-0.02751388</x:v>
      </x:c>
      <x:c r="AN58" s="39" t="n">
        <x:v>-0.0000972657</x:v>
      </x:c>
      <x:c r="AO58" s="39" t="n">
        <x:v>0.0052595813</x:v>
      </x:c>
      <x:c r="AP58" s="39" t="n">
        <x:v>-0.0076869949</x:v>
      </x:c>
      <x:c r="AQ58" s="39" t="n">
        <x:v>-0.0017515541</x:v>
      </x:c>
      <x:c r="AR58" s="39" t="n">
        <x:v>-0.0028408207</x:v>
      </x:c>
    </x:row>
    <x:row r="59" ht="19" customHeight="1">
      <x:c r="A59" s="40" t="d">
        <x:v>2025-05-19T00:00:00.000Z</x:v>
      </x:c>
      <x:c r="B59" s="39" t="n">
        <x:v>-0.1589172551</x:v>
      </x:c>
      <x:c r="C59" s="39" t="n">
        <x:v>-0.0044958585</x:v>
      </x:c>
      <x:c r="D59" s="39" t="n">
        <x:v>-0.4664081936</x:v>
      </x:c>
      <x:c r="E59" s="39" t="n">
        <x:v>0.0368115215</x:v>
      </x:c>
      <x:c r="F59" s="39" t="n">
        <x:v>0.1399366348</x:v>
      </x:c>
      <x:c r="G59" s="39" t="n">
        <x:v>0.2313416944</x:v>
      </x:c>
      <x:c r="H59" s="39" t="n">
        <x:v>-0.1202946491</x:v>
      </x:c>
      <x:c r="I59" s="39" t="n">
        <x:v>0.0317412089</x:v>
      </x:c>
      <x:c r="J59" s="39" t="n">
        <x:v>0.0454096702</x:v>
      </x:c>
      <x:c r="K59" s="39" t="n">
        <x:v>-0.1623297756</x:v>
      </x:c>
      <x:c r="L59" s="39" t="n">
        <x:v>-0.1027004384</x:v>
      </x:c>
      <x:c r="M59" s="39" t="n">
        <x:v>-0.2217918438</x:v>
      </x:c>
      <x:c r="N59" s="39" t="n">
        <x:v>-0.1145494662</x:v>
      </x:c>
      <x:c r="O59" s="39" t="n">
        <x:v>0.0120637181</x:v>
      </x:c>
      <x:c r="P59" s="39" t="n">
        <x:v>0.11370745</x:v>
      </x:c>
      <x:c r="Q59" s="39" t="n">
        <x:v>-0.1979834004</x:v>
      </x:c>
      <x:c r="R59" s="39" t="n">
        <x:v>0.0509788568</x:v>
      </x:c>
      <x:c r="S59" s="39" t="n">
        <x:v>-0.0992697924</x:v>
      </x:c>
      <x:c r="T59" s="39" t="n">
        <x:v>0.0050914569</x:v>
      </x:c>
      <x:c r="U59" s="39" t="n">
        <x:v>-0.1057132749</x:v>
      </x:c>
      <x:c r="V59" s="39" t="n">
        <x:v>0.0069152177</x:v>
      </x:c>
      <x:c r="W59" s="39" t="n">
        <x:v>-0.0370288634</x:v>
      </x:c>
      <x:c r="X59" s="39" t="n">
        <x:v>-0.0090423384</x:v>
      </x:c>
      <x:c r="Y59" s="39" t="n">
        <x:v>0.0597081677</x:v>
      </x:c>
      <x:c r="Z59" s="39" t="n">
        <x:v>-0.0007183254</x:v>
      </x:c>
      <x:c r="AA59" s="39" t="n">
        <x:v>-0.0943317765</x:v>
      </x:c>
      <x:c r="AB59" s="39" t="n">
        <x:v>-0.0293542613</x:v>
      </x:c>
      <x:c r="AC59" s="39" t="n">
        <x:v>-0.0032817725</x:v>
      </x:c>
      <x:c r="AD59" s="39" t="n">
        <x:v>0.0139862747</x:v>
      </x:c>
      <x:c r="AE59" s="39" t="n">
        <x:v>-0.0169367365</x:v>
      </x:c>
      <x:c r="AF59" s="39" t="n">
        <x:v>-0.0305966555</x:v>
      </x:c>
      <x:c r="AG59" s="39" t="n">
        <x:v>-0.0519328254</x:v>
      </x:c>
      <x:c r="AH59" s="39" t="n">
        <x:v>0.0271538445</x:v>
      </x:c>
      <x:c r="AI59" s="39" t="n">
        <x:v>-0.0277818315</x:v>
      </x:c>
      <x:c r="AJ59" s="39" t="n">
        <x:v>-0.0380256389</x:v>
      </x:c>
      <x:c r="AK59" s="39" t="n">
        <x:v>-0.0372403905</x:v>
      </x:c>
      <x:c r="AL59" s="39" t="n">
        <x:v>-0.0455334186</x:v>
      </x:c>
      <x:c r="AM59" s="39" t="n">
        <x:v>0.0149347254</x:v>
      </x:c>
      <x:c r="AN59" s="39" t="n">
        <x:v>-0.0183645865</x:v>
      </x:c>
      <x:c r="AO59" s="39" t="n">
        <x:v>0.0163260715</x:v>
      </x:c>
      <x:c r="AP59" s="39" t="n">
        <x:v>0.0192609628</x:v>
      </x:c>
      <x:c r="AQ59" s="39" t="n">
        <x:v>0.0000269003</x:v>
      </x:c>
      <x:c r="AR59" s="39" t="n">
        <x:v>0.0027022694</x:v>
      </x:c>
    </x:row>
    <x:row r="60" ht="19" customHeight="1">
      <x:c r="A60" s="40" t="d">
        <x:v>2025-06-16T00:00:00.000Z</x:v>
      </x:c>
      <x:c r="B60" s="39" t="n">
        <x:v>0.184339559</x:v>
      </x:c>
      <x:c r="C60" s="39" t="n">
        <x:v>0.172791532</x:v>
      </x:c>
      <x:c r="D60" s="39" t="n">
        <x:v>0.1237295662</x:v>
      </x:c>
      <x:c r="E60" s="39" t="n">
        <x:v>0.1990216806</x:v>
      </x:c>
      <x:c r="F60" s="39" t="n">
        <x:v>-0.2214303863</x:v>
      </x:c>
      <x:c r="G60" s="39" t="n">
        <x:v>0.339612516</x:v>
      </x:c>
      <x:c r="H60" s="39" t="n">
        <x:v>0.1474276094</x:v>
      </x:c>
      <x:c r="I60" s="39" t="n">
        <x:v>-0.0169081699</x:v>
      </x:c>
      <x:c r="J60" s="39" t="n">
        <x:v>-0.04446351</x:v>
      </x:c>
      <x:c r="K60" s="39" t="n">
        <x:v>0.0408756447</x:v>
      </x:c>
      <x:c r="L60" s="39" t="n">
        <x:v>0.0154620789</x:v>
      </x:c>
      <x:c r="M60" s="39" t="n">
        <x:v>0.0184787534</x:v>
      </x:c>
      <x:c r="N60" s="39" t="n">
        <x:v>-0.1618551281</x:v>
      </x:c>
      <x:c r="O60" s="39" t="n">
        <x:v>-0.0070606803</x:v>
      </x:c>
      <x:c r="P60" s="39" t="n">
        <x:v>0.000131171</x:v>
      </x:c>
      <x:c r="Q60" s="39" t="n">
        <x:v>-0.0187845441</x:v>
      </x:c>
      <x:c r="R60" s="39" t="n">
        <x:v>0.044610458</x:v>
      </x:c>
      <x:c r="S60" s="39" t="n">
        <x:v>0.0444927685</x:v>
      </x:c>
      <x:c r="T60" s="39" t="n">
        <x:v>0.014460896</x:v>
      </x:c>
      <x:c r="U60" s="39" t="n">
        <x:v>0.0347826482</x:v>
      </x:c>
      <x:c r="V60" s="39" t="n">
        <x:v>-0.0433562106</x:v>
      </x:c>
      <x:c r="W60" s="39" t="n">
        <x:v>-0.0933978323</x:v>
      </x:c>
      <x:c r="X60" s="39" t="n">
        <x:v>0.0265328919</x:v>
      </x:c>
      <x:c r="Y60" s="39" t="n">
        <x:v>-0.0494748285</x:v>
      </x:c>
      <x:c r="Z60" s="39" t="n">
        <x:v>0.0749227243</x:v>
      </x:c>
      <x:c r="AA60" s="39" t="n">
        <x:v>-0.1124513695</x:v>
      </x:c>
      <x:c r="AB60" s="39" t="n">
        <x:v>-0.071069895</x:v>
      </x:c>
      <x:c r="AC60" s="39" t="n">
        <x:v>0.0658611058</x:v>
      </x:c>
      <x:c r="AD60" s="39" t="n">
        <x:v>-0.0229026482</x:v>
      </x:c>
      <x:c r="AE60" s="39" t="n">
        <x:v>-0.0232783613</x:v>
      </x:c>
      <x:c r="AF60" s="39" t="n">
        <x:v>0.0190546095</x:v>
      </x:c>
      <x:c r="AG60" s="39" t="n">
        <x:v>0.0300134023</x:v>
      </x:c>
      <x:c r="AH60" s="39" t="n">
        <x:v>-0.0416279435</x:v>
      </x:c>
      <x:c r="AI60" s="39" t="n">
        <x:v>-0.0483654956</x:v>
      </x:c>
      <x:c r="AJ60" s="39" t="n">
        <x:v>0.0125654477</x:v>
      </x:c>
      <x:c r="AK60" s="39" t="n">
        <x:v>-0.0032488634</x:v>
      </x:c>
      <x:c r="AL60" s="39" t="n">
        <x:v>-0.0214893974</x:v>
      </x:c>
      <x:c r="AM60" s="39" t="n">
        <x:v>0.0060359842</x:v>
      </x:c>
      <x:c r="AN60" s="39" t="n">
        <x:v>0.0016980617</x:v>
      </x:c>
      <x:c r="AO60" s="39" t="n">
        <x:v>0.002210452</x:v>
      </x:c>
      <x:c r="AP60" s="39" t="n">
        <x:v>-0.0218031329</x:v>
      </x:c>
      <x:c r="AQ60" s="39" t="n">
        <x:v>-0.004208478</x:v>
      </x:c>
      <x:c r="AR60" s="39" t="n">
        <x:v>0.0029565416</x:v>
      </x:c>
    </x:row>
    <x:row r="61" ht="19" customHeight="1">
      <x:c r="A61" s="40" t="d">
        <x:v>2025-07-14T00:00:00.000Z</x:v>
      </x:c>
      <x:c r="B61" s="39" t="n">
        <x:v>0.1476345856</x:v>
      </x:c>
      <x:c r="C61" s="39" t="n">
        <x:v>0.3672630372</x:v>
      </x:c>
      <x:c r="D61" s="39" t="n">
        <x:v>0.1477481362</x:v>
      </x:c>
      <x:c r="E61" s="39" t="n">
        <x:v>0.0430942903</x:v>
      </x:c>
      <x:c r="F61" s="39" t="n">
        <x:v>0.1225247541</x:v>
      </x:c>
      <x:c r="G61" s="39" t="n">
        <x:v>-0.1173670528</x:v>
      </x:c>
      <x:c r="H61" s="39" t="n">
        <x:v>-0.1055139388</x:v>
      </x:c>
      <x:c r="I61" s="39" t="n">
        <x:v>-0.0150010368</x:v>
      </x:c>
      <x:c r="J61" s="39" t="n">
        <x:v>0.1829452349</x:v>
      </x:c>
      <x:c r="K61" s="39" t="n">
        <x:v>-0.1986482564</x:v>
      </x:c>
      <x:c r="L61" s="39" t="n">
        <x:v>0.101525015</x:v>
      </x:c>
      <x:c r="M61" s="39" t="n">
        <x:v>-0.0388183124</x:v>
      </x:c>
      <x:c r="N61" s="39" t="n">
        <x:v>0.0587411986</x:v>
      </x:c>
      <x:c r="O61" s="39" t="n">
        <x:v>0.2067371121</x:v>
      </x:c>
      <x:c r="P61" s="39" t="n">
        <x:v>0.0890735253</x:v>
      </x:c>
      <x:c r="Q61" s="39" t="n">
        <x:v>0.1336026283</x:v>
      </x:c>
      <x:c r="R61" s="39" t="n">
        <x:v>0.076452683</x:v>
      </x:c>
      <x:c r="S61" s="39" t="n">
        <x:v>0.1041899929</x:v>
      </x:c>
      <x:c r="T61" s="39" t="n">
        <x:v>0.1254760957</x:v>
      </x:c>
      <x:c r="U61" s="39" t="n">
        <x:v>0.0466742217</x:v>
      </x:c>
      <x:c r="V61" s="39" t="n">
        <x:v>0.1070320704</x:v>
      </x:c>
      <x:c r="W61" s="39" t="n">
        <x:v>0.0991826276</x:v>
      </x:c>
      <x:c r="X61" s="39" t="n">
        <x:v>0.0224062649</x:v>
      </x:c>
      <x:c r="Y61" s="39" t="n">
        <x:v>0.0008066227</x:v>
      </x:c>
      <x:c r="Z61" s="39" t="n">
        <x:v>0.0991002066</x:v>
      </x:c>
      <x:c r="AA61" s="39" t="n">
        <x:v>-0.0124319924</x:v>
      </x:c>
      <x:c r="AB61" s="39" t="n">
        <x:v>-0.0283643584</x:v>
      </x:c>
      <x:c r="AC61" s="39" t="n">
        <x:v>0.0287354968</x:v>
      </x:c>
      <x:c r="AD61" s="39" t="n">
        <x:v>-0.068254112</x:v>
      </x:c>
      <x:c r="AE61" s="39" t="n">
        <x:v>0.0057859988</x:v>
      </x:c>
      <x:c r="AF61" s="39" t="n">
        <x:v>-0.015173289</x:v>
      </x:c>
      <x:c r="AG61" s="39" t="n">
        <x:v>0.0148840559</x:v>
      </x:c>
      <x:c r="AH61" s="39" t="n">
        <x:v>0.0009308477</x:v>
      </x:c>
      <x:c r="AI61" s="39" t="n">
        <x:v>0.0002771659</x:v>
      </x:c>
      <x:c r="AJ61" s="39" t="n">
        <x:v>0.0080983181</x:v>
      </x:c>
      <x:c r="AK61" s="39" t="n">
        <x:v>-0.0191934873</x:v>
      </x:c>
      <x:c r="AL61" s="39" t="n">
        <x:v>-0.0086710079</x:v>
      </x:c>
      <x:c r="AM61" s="39" t="n">
        <x:v>-0.0085102443</x:v>
      </x:c>
      <x:c r="AN61" s="39" t="n">
        <x:v>-0.008357043</x:v>
      </x:c>
      <x:c r="AO61" s="39" t="n">
        <x:v>0.0225699801</x:v>
      </x:c>
      <x:c r="AP61" s="39" t="n">
        <x:v>-0.0175628504</x:v>
      </x:c>
      <x:c r="AQ61" s="39" t="n">
        <x:v>-0.0045722793</x:v>
      </x:c>
      <x:c r="AR61" s="39" t="n">
        <x:v>-0.006293427</x:v>
      </x:c>
    </x:row>
    <x:row r="62" ht="19" customHeight="1">
      <x:c r="A62" s="40" t="d">
        <x:v>2025-08-11T00:00:00.000Z</x:v>
      </x:c>
      <x:c r="B62" s="39" t="n">
        <x:v>-0.2974384784</x:v>
      </x:c>
      <x:c r="C62" s="39" t="n">
        <x:v>-0.0034875898</x:v>
      </x:c>
      <x:c r="D62" s="39" t="n">
        <x:v>-0.0071093237</x:v>
      </x:c>
      <x:c r="E62" s="39" t="n">
        <x:v>-0.177968789</x:v>
      </x:c>
      <x:c r="F62" s="39" t="n">
        <x:v>-0.0841429581</x:v>
      </x:c>
      <x:c r="G62" s="39" t="n">
        <x:v>0.2075741073</x:v>
      </x:c>
      <x:c r="H62" s="39" t="n">
        <x:v>0.0606809982</x:v>
      </x:c>
      <x:c r="I62" s="39" t="n">
        <x:v>0.1184706691</x:v>
      </x:c>
      <x:c r="J62" s="39" t="n">
        <x:v>0.2382716238</x:v>
      </x:c>
      <x:c r="K62" s="39" t="n">
        <x:v>0.0384284363</x:v>
      </x:c>
      <x:c r="L62" s="39" t="n">
        <x:v>0.3753725119</x:v>
      </x:c>
      <x:c r="M62" s="39" t="n">
        <x:v>0.0509792863</x:v>
      </x:c>
      <x:c r="N62" s="39" t="n">
        <x:v>-0.0036947253</x:v>
      </x:c>
      <x:c r="O62" s="39" t="n">
        <x:v>0.1454196054</x:v>
      </x:c>
      <x:c r="P62" s="39" t="n">
        <x:v>-0.1585488317</x:v>
      </x:c>
      <x:c r="Q62" s="39" t="n">
        <x:v>-0.0583308247</x:v>
      </x:c>
      <x:c r="R62" s="39" t="n">
        <x:v>-0.1783042974</x:v>
      </x:c>
      <x:c r="S62" s="39" t="n">
        <x:v>-0.0894067984</x:v>
      </x:c>
      <x:c r="T62" s="39" t="n">
        <x:v>0.1271153268</x:v>
      </x:c>
      <x:c r="U62" s="39" t="n">
        <x:v>-0.0816216252</x:v>
      </x:c>
      <x:c r="V62" s="39" t="n">
        <x:v>0.0357583739</x:v>
      </x:c>
      <x:c r="W62" s="39" t="n">
        <x:v>-0.113426263</x:v>
      </x:c>
      <x:c r="X62" s="39" t="n">
        <x:v>-0.0206270937</x:v>
      </x:c>
      <x:c r="Y62" s="39" t="n">
        <x:v>-0.0748099895</x:v>
      </x:c>
      <x:c r="Z62" s="39" t="n">
        <x:v>0.0365867464</x:v>
      </x:c>
      <x:c r="AA62" s="39" t="n">
        <x:v>0.0378250906</x:v>
      </x:c>
      <x:c r="AB62" s="39" t="n">
        <x:v>0.0268798424</x:v>
      </x:c>
      <x:c r="AC62" s="39" t="n">
        <x:v>-0.0061491479</x:v>
      </x:c>
      <x:c r="AD62" s="39" t="n">
        <x:v>-0.0096979723</x:v>
      </x:c>
      <x:c r="AE62" s="39" t="n">
        <x:v>0.0610665357</x:v>
      </x:c>
      <x:c r="AF62" s="39" t="n">
        <x:v>0.01366133</x:v>
      </x:c>
      <x:c r="AG62" s="39" t="n">
        <x:v>0.0112989938</x:v>
      </x:c>
      <x:c r="AH62" s="39" t="n">
        <x:v>-0.0175889707</x:v>
      </x:c>
      <x:c r="AI62" s="39" t="n">
        <x:v>-0.0060205179</x:v>
      </x:c>
      <x:c r="AJ62" s="39" t="n">
        <x:v>-0.0332304821</x:v>
      </x:c>
      <x:c r="AK62" s="39" t="n">
        <x:v>-0.0094052828</x:v>
      </x:c>
      <x:c r="AL62" s="39" t="n">
        <x:v>-0.0122945182</x:v>
      </x:c>
      <x:c r="AM62" s="39" t="n">
        <x:v>-0.0185344777</x:v>
      </x:c>
      <x:c r="AN62" s="39" t="n">
        <x:v>0.0029795194</x:v>
      </x:c>
      <x:c r="AO62" s="39" t="n">
        <x:v>-0.0134453919</x:v>
      </x:c>
      <x:c r="AP62" s="39" t="n">
        <x:v>0.0039898711</x:v>
      </x:c>
      <x:c r="AQ62" s="39" t="n">
        <x:v>-0.001685372</x:v>
      </x:c>
      <x:c r="AR62" s="39" t="n">
        <x:v>0.0003181046</x:v>
      </x:c>
    </x:row>
    <x:row r="63" ht="19" customHeight="1">
      <x:c r="A63" s="40" t="d">
        <x:v>2025-09-08T00:00:00.000Z</x:v>
      </x:c>
      <x:c r="B63" s="39" t="n">
        <x:v>-0.4386213428</x:v>
      </x:c>
      <x:c r="C63" s="39" t="n">
        <x:v>-0.1811946023</x:v>
      </x:c>
      <x:c r="D63" s="39" t="n">
        <x:v>0.2518800507</x:v>
      </x:c>
      <x:c r="E63" s="39" t="n">
        <x:v>-0.1873216599</x:v>
      </x:c>
      <x:c r="F63" s="39" t="n">
        <x:v>-0.383071808</x:v>
      </x:c>
      <x:c r="G63" s="39" t="n">
        <x:v>0.2809932915</x:v>
      </x:c>
      <x:c r="H63" s="39" t="n">
        <x:v>-0.3857808725</x:v>
      </x:c>
      <x:c r="I63" s="39" t="n">
        <x:v>0.1727556697</x:v>
      </x:c>
      <x:c r="J63" s="39" t="n">
        <x:v>-0.0070866541</x:v>
      </x:c>
      <x:c r="K63" s="39" t="n">
        <x:v>-0.0355833642</x:v>
      </x:c>
      <x:c r="L63" s="39" t="n">
        <x:v>-0.0070308948</x:v>
      </x:c>
      <x:c r="M63" s="39" t="n">
        <x:v>-0.0292166743</x:v>
      </x:c>
      <x:c r="N63" s="39" t="n">
        <x:v>-0.1076326908</x:v>
      </x:c>
      <x:c r="O63" s="39" t="n">
        <x:v>0.0572356665</x:v>
      </x:c>
      <x:c r="P63" s="39" t="n">
        <x:v>-0.11804039</x:v>
      </x:c>
      <x:c r="Q63" s="39" t="n">
        <x:v>0.0407934721</x:v>
      </x:c>
      <x:c r="R63" s="39" t="n">
        <x:v>0.0023264567</x:v>
      </x:c>
      <x:c r="S63" s="39" t="n">
        <x:v>0.016287496</x:v>
      </x:c>
      <x:c r="T63" s="39" t="n">
        <x:v>0.0218648041</x:v>
      </x:c>
      <x:c r="U63" s="39" t="n">
        <x:v>0.0734609443</x:v>
      </x:c>
      <x:c r="V63" s="39" t="n">
        <x:v>-0.0486275574</x:v>
      </x:c>
      <x:c r="W63" s="39" t="n">
        <x:v>0.0465161119</x:v>
      </x:c>
      <x:c r="X63" s="39" t="n">
        <x:v>0.0121099368</x:v>
      </x:c>
      <x:c r="Y63" s="39" t="n">
        <x:v>0.0256654708</x:v>
      </x:c>
      <x:c r="Z63" s="39" t="n">
        <x:v>0.0524408191</x:v>
      </x:c>
      <x:c r="AA63" s="39" t="n">
        <x:v>0.0236419523</x:v>
      </x:c>
      <x:c r="AB63" s="39" t="n">
        <x:v>0.0192491543</x:v>
      </x:c>
      <x:c r="AC63" s="39" t="n">
        <x:v>-0.0095367147</x:v>
      </x:c>
      <x:c r="AD63" s="39" t="n">
        <x:v>0.044171182</x:v>
      </x:c>
      <x:c r="AE63" s="39" t="n">
        <x:v>-0.029994169</x:v>
      </x:c>
      <x:c r="AF63" s="39" t="n">
        <x:v>0.0105877597</x:v>
      </x:c>
      <x:c r="AG63" s="39" t="n">
        <x:v>-0.0508290691</x:v>
      </x:c>
      <x:c r="AH63" s="39" t="n">
        <x:v>0.0501856059</x:v>
      </x:c>
      <x:c r="AI63" s="39" t="n">
        <x:v>0.0362859777</x:v>
      </x:c>
      <x:c r="AJ63" s="39" t="n">
        <x:v>0.0092218531</x:v>
      </x:c>
      <x:c r="AK63" s="39" t="n">
        <x:v>-0.0291362156</x:v>
      </x:c>
      <x:c r="AL63" s="39" t="n">
        <x:v>0.0371399056</x:v>
      </x:c>
      <x:c r="AM63" s="39" t="n">
        <x:v>0.0112102931</x:v>
      </x:c>
      <x:c r="AN63" s="39" t="n">
        <x:v>-0.0184953064</x:v>
      </x:c>
      <x:c r="AO63" s="39" t="n">
        <x:v>0.0196622977</x:v>
      </x:c>
      <x:c r="AP63" s="39" t="n">
        <x:v>0.0093812732</x:v>
      </x:c>
      <x:c r="AQ63" s="39" t="n">
        <x:v>-0.0163524101</x:v>
      </x:c>
      <x:c r="AR63" s="39" t="n">
        <x:v>-0.0093669345</x:v>
      </x:c>
    </x:row>
    <x:row r="64" ht="19" customHeight="1">
      <x:c r="A64" s="40" t="d">
        <x:v>2025-10-06T00:00:00.000Z</x:v>
      </x:c>
      <x:c r="B64" s="39" t="n">
        <x:v>-0.3577483356</x:v>
      </x:c>
      <x:c r="C64" s="39" t="n">
        <x:v>0.5022534398</x:v>
      </x:c>
      <x:c r="D64" s="39" t="n">
        <x:v>0.0184230402</x:v>
      </x:c>
      <x:c r="E64" s="39" t="n">
        <x:v>-0.2202910072</x:v>
      </x:c>
      <x:c r="F64" s="39" t="n">
        <x:v>0.3161349024</x:v>
      </x:c>
      <x:c r="G64" s="39" t="n">
        <x:v>0.1113043726</x:v>
      </x:c>
      <x:c r="H64" s="39" t="n">
        <x:v>0.2555373488</x:v>
      </x:c>
      <x:c r="I64" s="39" t="n">
        <x:v>0.0754823744</x:v>
      </x:c>
      <x:c r="J64" s="39" t="n">
        <x:v>-0.0050277707</x:v>
      </x:c>
      <x:c r="K64" s="39" t="n">
        <x:v>0.1343266169</x:v>
      </x:c>
      <x:c r="L64" s="39" t="n">
        <x:v>-0.0822283063</x:v>
      </x:c>
      <x:c r="M64" s="39" t="n">
        <x:v>-0.0537394155</x:v>
      </x:c>
      <x:c r="N64" s="39" t="n">
        <x:v>-0.0156706036</x:v>
      </x:c>
      <x:c r="O64" s="39" t="n">
        <x:v>-0.0944304968</x:v>
      </x:c>
      <x:c r="P64" s="39" t="n">
        <x:v>0.0981122024</x:v>
      </x:c>
      <x:c r="Q64" s="39" t="n">
        <x:v>0.0397364521</x:v>
      </x:c>
      <x:c r="R64" s="39" t="n">
        <x:v>-0.1059664943</x:v>
      </x:c>
      <x:c r="S64" s="39" t="n">
        <x:v>0.054975199</x:v>
      </x:c>
      <x:c r="T64" s="39" t="n">
        <x:v>0.1261028768</x:v>
      </x:c>
      <x:c r="U64" s="39" t="n">
        <x:v>-0.027853118</x:v>
      </x:c>
      <x:c r="V64" s="39" t="n">
        <x:v>0.0112058818</x:v>
      </x:c>
      <x:c r="W64" s="39" t="n">
        <x:v>-0.0447744211</x:v>
      </x:c>
      <x:c r="X64" s="39" t="n">
        <x:v>0.0147641586</x:v>
      </x:c>
      <x:c r="Y64" s="39" t="n">
        <x:v>0.0097702406</x:v>
      </x:c>
      <x:c r="Z64" s="39" t="n">
        <x:v>0.0281770984</x:v>
      </x:c>
      <x:c r="AA64" s="39" t="n">
        <x:v>-0.1137842667</x:v>
      </x:c>
      <x:c r="AB64" s="39" t="n">
        <x:v>0.1130338438</x:v>
      </x:c>
      <x:c r="AC64" s="39" t="n">
        <x:v>0.0011736599</x:v>
      </x:c>
      <x:c r="AD64" s="39" t="n">
        <x:v>-0.0075400607</x:v>
      </x:c>
      <x:c r="AE64" s="39" t="n">
        <x:v>-0.0019642494</x:v>
      </x:c>
      <x:c r="AF64" s="39" t="n">
        <x:v>-0.025866987</x:v>
      </x:c>
      <x:c r="AG64" s="39" t="n">
        <x:v>-0.0409191695</x:v>
      </x:c>
      <x:c r="AH64" s="39" t="n">
        <x:v>0.0425535973</x:v>
      </x:c>
      <x:c r="AI64" s="39" t="n">
        <x:v>0.014641464</x:v>
      </x:c>
      <x:c r="AJ64" s="39" t="n">
        <x:v>0.0029168887</x:v>
      </x:c>
      <x:c r="AK64" s="39" t="n">
        <x:v>0.0194845925</x:v>
      </x:c>
      <x:c r="AL64" s="39" t="n">
        <x:v>0.0316412337</x:v>
      </x:c>
      <x:c r="AM64" s="39" t="n">
        <x:v>0.0041214024</x:v>
      </x:c>
      <x:c r="AN64" s="39" t="n">
        <x:v>0.0164782783</x:v>
      </x:c>
      <x:c r="AO64" s="39" t="n">
        <x:v>0.0000180682</x:v>
      </x:c>
      <x:c r="AP64" s="39" t="n">
        <x:v>0.0021046149</x:v>
      </x:c>
      <x:c r="AQ64" s="39" t="n">
        <x:v>0.0083541357</x:v>
      </x:c>
      <x:c r="AR64" s="39" t="n">
        <x:v>-0.004962611</x:v>
      </x:c>
    </x:row>
    <x:row r="65" ht="19" customHeight="1">
      <x:c r="A65" s="40" t="d">
        <x:v>2025-11-03T00:00:00.000Z</x:v>
      </x:c>
      <x:c r="B65" s="39" t="n">
        <x:v>-0.8802169179</x:v>
      </x:c>
      <x:c r="C65" s="39" t="n">
        <x:v>-0.2452439917</x:v>
      </x:c>
      <x:c r="D65" s="39" t="n">
        <x:v>0.3401747144</x:v>
      </x:c>
      <x:c r="E65" s="39" t="n">
        <x:v>-0.3897599785</x:v>
      </x:c>
      <x:c r="F65" s="39" t="n">
        <x:v>-0.0117623867</x:v>
      </x:c>
      <x:c r="G65" s="39" t="n">
        <x:v>-0.0051651527</x:v>
      </x:c>
      <x:c r="H65" s="39" t="n">
        <x:v>0.2698901773</x:v>
      </x:c>
      <x:c r="I65" s="39" t="n">
        <x:v>-0.0306162125</x:v>
      </x:c>
      <x:c r="J65" s="39" t="n">
        <x:v>-0.0489137726</x:v>
      </x:c>
      <x:c r="K65" s="39" t="n">
        <x:v>-0.0477672226</x:v>
      </x:c>
      <x:c r="L65" s="39" t="n">
        <x:v>0.0044705436</x:v>
      </x:c>
      <x:c r="M65" s="39" t="n">
        <x:v>-0.2138860558</x:v>
      </x:c>
      <x:c r="N65" s="39" t="n">
        <x:v>0.1143303308</x:v>
      </x:c>
      <x:c r="O65" s="39" t="n">
        <x:v>0.0244160874</x:v>
      </x:c>
      <x:c r="P65" s="39" t="n">
        <x:v>-0.1201448756</x:v>
      </x:c>
      <x:c r="Q65" s="39" t="n">
        <x:v>-0.0399817777</x:v>
      </x:c>
      <x:c r="R65" s="39" t="n">
        <x:v>0.2082617366</x:v>
      </x:c>
      <x:c r="S65" s="39" t="n">
        <x:v>-0.0459661293</x:v>
      </x:c>
      <x:c r="T65" s="39" t="n">
        <x:v>-0.1666388062</x:v>
      </x:c>
      <x:c r="U65" s="39" t="n">
        <x:v>0.0919772057</x:v>
      </x:c>
      <x:c r="V65" s="39" t="n">
        <x:v>0.0360466646</x:v>
      </x:c>
      <x:c r="W65" s="39" t="n">
        <x:v>0.0072403339</x:v>
      </x:c>
      <x:c r="X65" s="39" t="n">
        <x:v>-0.0137042525</x:v>
      </x:c>
      <x:c r="Y65" s="39" t="n">
        <x:v>-0.0021217857</x:v>
      </x:c>
      <x:c r="Z65" s="39" t="n">
        <x:v>0.0526619542</x:v>
      </x:c>
      <x:c r="AA65" s="39" t="n">
        <x:v>0.0571018469</x:v>
      </x:c>
      <x:c r="AB65" s="39" t="n">
        <x:v>0.0330095747</x:v>
      </x:c>
      <x:c r="AC65" s="39" t="n">
        <x:v>0.0452618</x:v>
      </x:c>
      <x:c r="AD65" s="39" t="n">
        <x:v>-0.0288382919</x:v>
      </x:c>
      <x:c r="AE65" s="39" t="n">
        <x:v>0.0133418395</x:v>
      </x:c>
      <x:c r="AF65" s="39" t="n">
        <x:v>0.0240594695</x:v>
      </x:c>
      <x:c r="AG65" s="39" t="n">
        <x:v>-0.0531352376</x:v>
      </x:c>
      <x:c r="AH65" s="39" t="n">
        <x:v>-0.0231603859</x:v>
      </x:c>
      <x:c r="AI65" s="39" t="n">
        <x:v>-0.0187940215</x:v>
      </x:c>
      <x:c r="AJ65" s="39" t="n">
        <x:v>0.004072872</x:v>
      </x:c>
      <x:c r="AK65" s="39" t="n">
        <x:v>0.0247879738</x:v>
      </x:c>
      <x:c r="AL65" s="39" t="n">
        <x:v>-0.0142988245</x:v>
      </x:c>
      <x:c r="AM65" s="39" t="n">
        <x:v>0.0057847359</x:v>
      </x:c>
      <x:c r="AN65" s="39" t="n">
        <x:v>0.0112384857</x:v>
      </x:c>
      <x:c r="AO65" s="39" t="n">
        <x:v>0.0010118833</x:v>
      </x:c>
      <x:c r="AP65" s="39" t="n">
        <x:v>-0.0069440115</x:v>
      </x:c>
      <x:c r="AQ65" s="39" t="n">
        <x:v>0.0052785424</x:v>
      </x:c>
      <x:c r="AR65" s="39" t="n">
        <x:v>0.0020173255</x:v>
      </x:c>
    </x:row>
    <x:row r="66" ht="19" customHeight="1">
      <x:c r="A66" s="40" t="d">
        <x:v>2025-12-01T00:00:00.000Z</x:v>
      </x:c>
      <x:c r="B66" s="39" t="n">
        <x:v>0.2337492149</x:v>
      </x:c>
      <x:c r="C66" s="39" t="n">
        <x:v>0.3829813572</x:v>
      </x:c>
      <x:c r="D66" s="39" t="n">
        <x:v>0.2809328842</x:v>
      </x:c>
      <x:c r="E66" s="39" t="n">
        <x:v>0.0076792001</x:v>
      </x:c>
      <x:c r="F66" s="39" t="n">
        <x:v>-0.1777630413</x:v>
      </x:c>
      <x:c r="G66" s="39" t="n">
        <x:v>-0.2745592175</x:v>
      </x:c>
      <x:c r="H66" s="39" t="n">
        <x:v>-0.1471465104</x:v>
      </x:c>
      <x:c r="I66" s="39" t="n">
        <x:v>-0.1351990218</x:v>
      </x:c>
      <x:c r="J66" s="39" t="n">
        <x:v>-0.0015964304</x:v>
      </x:c>
      <x:c r="K66" s="39" t="n">
        <x:v>-0.0123382849</x:v>
      </x:c>
      <x:c r="L66" s="39" t="n">
        <x:v>0.0152501078</x:v>
      </x:c>
      <x:c r="M66" s="39" t="n">
        <x:v>-0.0264775105</x:v>
      </x:c>
      <x:c r="N66" s="39" t="n">
        <x:v>0.0104825092</x:v>
      </x:c>
      <x:c r="O66" s="39" t="n">
        <x:v>-0.163760684</x:v>
      </x:c>
      <x:c r="P66" s="39" t="n">
        <x:v>-0.1261055335</x:v>
      </x:c>
      <x:c r="Q66" s="39" t="n">
        <x:v>-0.0239827999</x:v>
      </x:c>
      <x:c r="R66" s="39" t="n">
        <x:v>-0.1422350157</x:v>
      </x:c>
      <x:c r="S66" s="39" t="n">
        <x:v>-0.0598089593</x:v>
      </x:c>
      <x:c r="T66" s="39" t="n">
        <x:v>0.1016031053</x:v>
      </x:c>
      <x:c r="U66" s="39" t="n">
        <x:v>0.0753741014</x:v>
      </x:c>
      <x:c r="V66" s="39" t="n">
        <x:v>0.1012835238</x:v>
      </x:c>
      <x:c r="W66" s="39" t="n">
        <x:v>0.1002999477</x:v>
      </x:c>
      <x:c r="X66" s="39" t="n">
        <x:v>0.0330590565</x:v>
      </x:c>
      <x:c r="Y66" s="39" t="n">
        <x:v>0.044225193</x:v>
      </x:c>
      <x:c r="Z66" s="39" t="n">
        <x:v>0.0585426285</x:v>
      </x:c>
      <x:c r="AA66" s="39" t="n">
        <x:v>-0.0412926461</x:v>
      </x:c>
      <x:c r="AB66" s="39" t="n">
        <x:v>0.0141871003</x:v>
      </x:c>
      <x:c r="AC66" s="39" t="n">
        <x:v>-0.0196686673</x:v>
      </x:c>
      <x:c r="AD66" s="39" t="n">
        <x:v>-0.0215434201</x:v>
      </x:c>
      <x:c r="AE66" s="39" t="n">
        <x:v>0.0242088553</x:v>
      </x:c>
      <x:c r="AF66" s="39" t="n">
        <x:v>-0.0209802965</x:v>
      </x:c>
      <x:c r="AG66" s="39" t="n">
        <x:v>-0.0269051231</x:v>
      </x:c>
      <x:c r="AH66" s="39" t="n">
        <x:v>0.0240351527</x:v>
      </x:c>
      <x:c r="AI66" s="39" t="n">
        <x:v>-0.0300246687</x:v>
      </x:c>
      <x:c r="AJ66" s="39" t="n">
        <x:v>-0.0194586543</x:v>
      </x:c>
      <x:c r="AK66" s="39" t="n">
        <x:v>0.0186491148</x:v>
      </x:c>
      <x:c r="AL66" s="39" t="n">
        <x:v>-0.0181262546</x:v>
      </x:c>
      <x:c r="AM66" s="39" t="n">
        <x:v>0.0026560863</x:v>
      </x:c>
      <x:c r="AN66" s="39" t="n">
        <x:v>0.0110661865</x:v>
      </x:c>
      <x:c r="AO66" s="39" t="n">
        <x:v>-0.0184592427</x:v>
      </x:c>
      <x:c r="AP66" s="39" t="n">
        <x:v>0.0006855037</x:v>
      </x:c>
      <x:c r="AQ66" s="39" t="n">
        <x:v>-0.0246136658</x:v>
      </x:c>
      <x:c r="AR66" s="39" t="n">
        <x:v>0.0165181645</x:v>
      </x:c>
    </x:row>
    <x:row r="67" ht="19" customHeight="1">
      <x:c r="A67" s="40" t="d">
        <x:v>2025-12-29T00:00:00.000Z</x:v>
      </x:c>
      <x:c r="B67" s="39" t="n">
        <x:v>-0.2530588061</x:v>
      </x:c>
      <x:c r="C67" s="39" t="n">
        <x:v>-0.0840455176</x:v>
      </x:c>
      <x:c r="D67" s="39" t="n">
        <x:v>0.1635086209</x:v>
      </x:c>
      <x:c r="E67" s="39" t="n">
        <x:v>0.2208889054</x:v>
      </x:c>
      <x:c r="F67" s="39" t="n">
        <x:v>-0.1135590236</x:v>
      </x:c>
      <x:c r="G67" s="39" t="n">
        <x:v>0.0467505683</x:v>
      </x:c>
      <x:c r="H67" s="39" t="n">
        <x:v>0.170589114</x:v>
      </x:c>
      <x:c r="I67" s="39" t="n">
        <x:v>0.0341554663</x:v>
      </x:c>
      <x:c r="J67" s="39" t="n">
        <x:v>0.0717851613</x:v>
      </x:c>
      <x:c r="K67" s="39" t="n">
        <x:v>0.0539977459</x:v>
      </x:c>
      <x:c r="L67" s="39" t="n">
        <x:v>-0.2287715614</x:v>
      </x:c>
      <x:c r="M67" s="39" t="n">
        <x:v>0.2512753499</x:v>
      </x:c>
      <x:c r="N67" s="39" t="n">
        <x:v>-0.155022235</x:v>
      </x:c>
      <x:c r="O67" s="39" t="n">
        <x:v>0.0611818995</x:v>
      </x:c>
      <x:c r="P67" s="39" t="n">
        <x:v>0.1580466756</x:v>
      </x:c>
      <x:c r="Q67" s="39" t="n">
        <x:v>-0.0574984594</x:v>
      </x:c>
      <x:c r="R67" s="39" t="n">
        <x:v>-0.0280622639</x:v>
      </x:c>
      <x:c r="S67" s="39" t="n">
        <x:v>0.0587283906</x:v>
      </x:c>
      <x:c r="T67" s="39" t="n">
        <x:v>-0.0215286552</x:v>
      </x:c>
      <x:c r="U67" s="39" t="n">
        <x:v>0.1213562053</x:v>
      </x:c>
      <x:c r="V67" s="39" t="n">
        <x:v>0.0292475123</x:v>
      </x:c>
      <x:c r="W67" s="39" t="n">
        <x:v>-0.0233729792</x:v>
      </x:c>
      <x:c r="X67" s="39" t="n">
        <x:v>-0.0555029514</x:v>
      </x:c>
      <x:c r="Y67" s="39" t="n">
        <x:v>0.0025975011</x:v>
      </x:c>
      <x:c r="Z67" s="39" t="n">
        <x:v>0.0510240962</x:v>
      </x:c>
      <x:c r="AA67" s="39" t="n">
        <x:v>0.0037598765</x:v>
      </x:c>
      <x:c r="AB67" s="39" t="n">
        <x:v>-0.0639958038</x:v>
      </x:c>
      <x:c r="AC67" s="39" t="n">
        <x:v>-0.0437544818</x:v>
      </x:c>
      <x:c r="AD67" s="39" t="n">
        <x:v>0.0261614561</x:v>
      </x:c>
      <x:c r="AE67" s="39" t="n">
        <x:v>0.0534905339</x:v>
      </x:c>
      <x:c r="AF67" s="39" t="n">
        <x:v>0.0184730117</x:v>
      </x:c>
      <x:c r="AG67" s="39" t="n">
        <x:v>-0.0443080603</x:v>
      </x:c>
      <x:c r="AH67" s="39" t="n">
        <x:v>-0.0108827449</x:v>
      </x:c>
      <x:c r="AI67" s="39" t="n">
        <x:v>0.0174941018</x:v>
      </x:c>
      <x:c r="AJ67" s="39" t="n">
        <x:v>-0.0350182157</x:v>
      </x:c>
      <x:c r="AK67" s="39" t="n">
        <x:v>0.0221701652</x:v>
      </x:c>
      <x:c r="AL67" s="39" t="n">
        <x:v>0.0081338992</x:v>
      </x:c>
      <x:c r="AM67" s="39" t="n">
        <x:v>-0.0338466202</x:v>
      </x:c>
      <x:c r="AN67" s="39" t="n">
        <x:v>-0.0362446452</x:v>
      </x:c>
      <x:c r="AO67" s="39" t="n">
        <x:v>0.0028732071</x:v>
      </x:c>
      <x:c r="AP67" s="39" t="n">
        <x:v>-0.0162523267</x:v>
      </x:c>
      <x:c r="AQ67" s="39" t="n">
        <x:v>-0.0000551813</x:v>
      </x:c>
      <x:c r="AR67" s="39" t="n">
        <x:v>-0.008417627</x:v>
      </x:c>
    </x:row>
    <x:row r="68" ht="19" customHeight="1">
      <x:c r="A68" s="40" t="d">
        <x:v>2026-01-26T00:00:00.000Z</x:v>
      </x:c>
      <x:c r="B68" s="39" t="n">
        <x:v>-0.6689864465</x:v>
      </x:c>
      <x:c r="C68" s="39" t="n">
        <x:v>0.32635199</x:v>
      </x:c>
      <x:c r="D68" s="39" t="n">
        <x:v>0.3794875844</x:v>
      </x:c>
      <x:c r="E68" s="39" t="n">
        <x:v>0.1260779672</x:v>
      </x:c>
      <x:c r="F68" s="39" t="n">
        <x:v>0.1170346658</x:v>
      </x:c>
      <x:c r="G68" s="39" t="n">
        <x:v>-0.1299680149</x:v>
      </x:c>
      <x:c r="H68" s="39" t="n">
        <x:v>0.0700412001</x:v>
      </x:c>
      <x:c r="I68" s="39" t="n">
        <x:v>-0.1386050797</x:v>
      </x:c>
      <x:c r="J68" s="39" t="n">
        <x:v>0.0217239788</x:v>
      </x:c>
      <x:c r="K68" s="39" t="n">
        <x:v>-0.1686560854</x:v>
      </x:c>
      <x:c r="L68" s="39" t="n">
        <x:v>0.0357719496</x:v>
      </x:c>
      <x:c r="M68" s="39" t="n">
        <x:v>0.0482849967</x:v>
      </x:c>
      <x:c r="N68" s="39" t="n">
        <x:v>-0.2394002141</x:v>
      </x:c>
      <x:c r="O68" s="39" t="n">
        <x:v>-0.1687518924</x:v>
      </x:c>
      <x:c r="P68" s="39" t="n">
        <x:v>-0.0018954331</x:v>
      </x:c>
      <x:c r="Q68" s="39" t="n">
        <x:v>-0.1258152013</x:v>
      </x:c>
      <x:c r="R68" s="39" t="n">
        <x:v>0.037010838</x:v>
      </x:c>
      <x:c r="S68" s="39" t="n">
        <x:v>-0.0149652255</x:v>
      </x:c>
      <x:c r="T68" s="39" t="n">
        <x:v>0.0516101264</x:v>
      </x:c>
      <x:c r="U68" s="39" t="n">
        <x:v>0.0081778108</x:v>
      </x:c>
      <x:c r="V68" s="39" t="n">
        <x:v>-0.0942013431</x:v>
      </x:c>
      <x:c r="W68" s="39" t="n">
        <x:v>0.1287409362</x:v>
      </x:c>
      <x:c r="X68" s="39" t="n">
        <x:v>-0.0420405263</x:v>
      </x:c>
      <x:c r="Y68" s="39" t="n">
        <x:v>-0.0788336155</x:v>
      </x:c>
      <x:c r="Z68" s="39" t="n">
        <x:v>-0.0136409616</x:v>
      </x:c>
      <x:c r="AA68" s="39" t="n">
        <x:v>0.053931569</x:v>
      </x:c>
      <x:c r="AB68" s="39" t="n">
        <x:v>0.0386944923</x:v>
      </x:c>
      <x:c r="AC68" s="39" t="n">
        <x:v>-0.0665730382</x:v>
      </x:c>
      <x:c r="AD68" s="39" t="n">
        <x:v>-0.004065148</x:v>
      </x:c>
      <x:c r="AE68" s="39" t="n">
        <x:v>0.013707056</x:v>
      </x:c>
      <x:c r="AF68" s="39" t="n">
        <x:v>-0.0608111465</x:v>
      </x:c>
      <x:c r="AG68" s="39" t="n">
        <x:v>0.0482921456</x:v>
      </x:c>
      <x:c r="AH68" s="39" t="n">
        <x:v>0.0142160609</x:v>
      </x:c>
      <x:c r="AI68" s="39" t="n">
        <x:v>0.0077062568</x:v>
      </x:c>
      <x:c r="AJ68" s="39" t="n">
        <x:v>0.0240679391</x:v>
      </x:c>
      <x:c r="AK68" s="39" t="n">
        <x:v>0.00572637</x:v>
      </x:c>
      <x:c r="AL68" s="39" t="n">
        <x:v>-0.0114313539</x:v>
      </x:c>
      <x:c r="AM68" s="39" t="n">
        <x:v>-0.0099466274</x:v>
      </x:c>
      <x:c r="AN68" s="39" t="n">
        <x:v>-0.0101478347</x:v>
      </x:c>
      <x:c r="AO68" s="39" t="n">
        <x:v>0.0078303893</x:v>
      </x:c>
      <x:c r="AP68" s="39" t="n">
        <x:v>0.0041833441</x:v>
      </x:c>
      <x:c r="AQ68" s="39" t="n">
        <x:v>0.0028996967</x:v>
      </x:c>
      <x:c r="AR68" s="39" t="n">
        <x:v>-0.004755861</x:v>
      </x:c>
    </x:row>
    <x:row r="69" ht="19" customHeight="1">
      <x:c r="A69" s="40" t="d">
        <x:v>2026-02-23T00:00:00.000Z</x:v>
      </x:c>
      <x:c r="B69" s="39" t="n">
        <x:v>-0.246253372</x:v>
      </x:c>
      <x:c r="C69" s="39" t="n">
        <x:v>-0.1353598752</x:v>
      </x:c>
      <x:c r="D69" s="39" t="n">
        <x:v>-0.1749682889</x:v>
      </x:c>
      <x:c r="E69" s="39" t="n">
        <x:v>0.061190782</x:v>
      </x:c>
      <x:c r="F69" s="39" t="n">
        <x:v>0.1859282561</x:v>
      </x:c>
      <x:c r="G69" s="39" t="n">
        <x:v>-0.0367120174</x:v>
      </x:c>
      <x:c r="H69" s="39" t="n">
        <x:v>-0.2444739355</x:v>
      </x:c>
      <x:c r="I69" s="39" t="n">
        <x:v>0.2888132649</x:v>
      </x:c>
      <x:c r="J69" s="39" t="n">
        <x:v>-0.0769435279</x:v>
      </x:c>
      <x:c r="K69" s="39" t="n">
        <x:v>0.2242178173</x:v>
      </x:c>
      <x:c r="L69" s="39" t="n">
        <x:v>0.0486530129</x:v>
      </x:c>
      <x:c r="M69" s="39" t="n">
        <x:v>-0.1315569997</x:v>
      </x:c>
      <x:c r="N69" s="39" t="n">
        <x:v>0.0080983358</x:v>
      </x:c>
      <x:c r="O69" s="39" t="n">
        <x:v>-0.0302989868</x:v>
      </x:c>
      <x:c r="P69" s="39" t="n">
        <x:v>0.0309230648</x:v>
      </x:c>
      <x:c r="Q69" s="39" t="n">
        <x:v>0.1387237123</x:v>
      </x:c>
      <x:c r="R69" s="39" t="n">
        <x:v>0.0942449686</x:v>
      </x:c>
      <x:c r="S69" s="39" t="n">
        <x:v>-0.0184438564</x:v>
      </x:c>
      <x:c r="T69" s="39" t="n">
        <x:v>0.085342003</x:v>
      </x:c>
      <x:c r="U69" s="39" t="n">
        <x:v>0.0870935411</x:v>
      </x:c>
      <x:c r="V69" s="39" t="n">
        <x:v>0.0156224229</x:v>
      </x:c>
      <x:c r="W69" s="39" t="n">
        <x:v>0.0003083045</x:v>
      </x:c>
      <x:c r="X69" s="39" t="n">
        <x:v>-0.1128530067</x:v>
      </x:c>
      <x:c r="Y69" s="39" t="n">
        <x:v>-0.0251073224</x:v>
      </x:c>
      <x:c r="Z69" s="39" t="n">
        <x:v>-0.0565810052</x:v>
      </x:c>
      <x:c r="AA69" s="39" t="n">
        <x:v>-0.0067520903</x:v>
      </x:c>
      <x:c r="AB69" s="39" t="n">
        <x:v>-0.0465312701</x:v>
      </x:c>
      <x:c r="AC69" s="39" t="n">
        <x:v>0.0068953171</x:v>
      </x:c>
      <x:c r="AD69" s="39" t="n">
        <x:v>-0.0346294118</x:v>
      </x:c>
      <x:c r="AE69" s="39" t="n">
        <x:v>0.0156822347</x:v>
      </x:c>
      <x:c r="AF69" s="39" t="n">
        <x:v>-0.0104290153</x:v>
      </x:c>
      <x:c r="AG69" s="39" t="n">
        <x:v>0.0546781496</x:v>
      </x:c>
      <x:c r="AH69" s="39" t="n">
        <x:v>0.026397649</x:v>
      </x:c>
      <x:c r="AI69" s="39" t="n">
        <x:v>-0.0127007217</x:v>
      </x:c>
      <x:c r="AJ69" s="39" t="n">
        <x:v>-0.0181425473</x:v>
      </x:c>
      <x:c r="AK69" s="39" t="n">
        <x:v>-0.0151276585</x:v>
      </x:c>
      <x:c r="AL69" s="39" t="n">
        <x:v>0.0049191633</x:v>
      </x:c>
      <x:c r="AM69" s="39" t="n">
        <x:v>0.0136838188</x:v>
      </x:c>
      <x:c r="AN69" s="39" t="n">
        <x:v>-0.0063271176</x:v>
      </x:c>
      <x:c r="AO69" s="39" t="n">
        <x:v>-0.0176052253</x:v>
      </x:c>
      <x:c r="AP69" s="39" t="n">
        <x:v>-0.0196257474</x:v>
      </x:c>
      <x:c r="AQ69" s="39" t="n">
        <x:v>0.0040187694</x:v>
      </x:c>
      <x:c r="AR69" s="39" t="n">
        <x:v>0.0025177103</x:v>
      </x:c>
    </x:row>
    <x:row r="70" ht="19" customHeight="1">
      <x:c r="A70" s="40" t="d">
        <x:v>2026-03-23T00:00:00.000Z</x:v>
      </x:c>
      <x:c r="B70" s="39" t="n">
        <x:v>-0.0374905741</x:v>
      </x:c>
      <x:c r="C70" s="39" t="n">
        <x:v>0.0534141492</x:v>
      </x:c>
      <x:c r="D70" s="39" t="n">
        <x:v>0.3341644719</x:v>
      </x:c>
      <x:c r="E70" s="39" t="n">
        <x:v>-0.3225464036</x:v>
      </x:c>
      <x:c r="F70" s="39" t="n">
        <x:v>0.6328896018</x:v>
      </x:c>
      <x:c r="G70" s="39" t="n">
        <x:v>0.109741398</x:v>
      </x:c>
      <x:c r="H70" s="39" t="n">
        <x:v>-0.2185283883</x:v>
      </x:c>
      <x:c r="I70" s="39" t="n">
        <x:v>-0.0301192071</x:v>
      </x:c>
      <x:c r="J70" s="39" t="n">
        <x:v>-0.0816952453</x:v>
      </x:c>
      <x:c r="K70" s="39" t="n">
        <x:v>-0.1636968917</x:v>
      </x:c>
      <x:c r="L70" s="39" t="n">
        <x:v>0.1430620647</x:v>
      </x:c>
      <x:c r="M70" s="39" t="n">
        <x:v>-0.031859008</x:v>
      </x:c>
      <x:c r="N70" s="39" t="n">
        <x:v>0.0667628978</x:v>
      </x:c>
      <x:c r="O70" s="39" t="n">
        <x:v>-0.05559652</x:v>
      </x:c>
      <x:c r="P70" s="39" t="n">
        <x:v>0.1044284158</x:v>
      </x:c>
      <x:c r="Q70" s="39" t="n">
        <x:v>-0.1100305096</x:v>
      </x:c>
      <x:c r="R70" s="39" t="n">
        <x:v>-0.0196053105</x:v>
      </x:c>
      <x:c r="S70" s="39" t="n">
        <x:v>0.118904169</x:v>
      </x:c>
      <x:c r="T70" s="39" t="n">
        <x:v>-0.0636359034</x:v>
      </x:c>
      <x:c r="U70" s="39" t="n">
        <x:v>0.0137797944</x:v>
      </x:c>
      <x:c r="V70" s="39" t="n">
        <x:v>-0.013854595</x:v>
      </x:c>
      <x:c r="W70" s="39" t="n">
        <x:v>-0.1354141983</x:v>
      </x:c>
      <x:c r="X70" s="39" t="n">
        <x:v>0.0471453962</x:v>
      </x:c>
      <x:c r="Y70" s="39" t="n">
        <x:v>-0.0106453913</x:v>
      </x:c>
      <x:c r="Z70" s="39" t="n">
        <x:v>0.0229849705</x:v>
      </x:c>
      <x:c r="AA70" s="39" t="n">
        <x:v>0.0513777813</x:v>
      </x:c>
      <x:c r="AB70" s="39" t="n">
        <x:v>-0.1068302067</x:v>
      </x:c>
      <x:c r="AC70" s="39" t="n">
        <x:v>-0.0186298338</x:v>
      </x:c>
      <x:c r="AD70" s="39" t="n">
        <x:v>-0.0156601888</x:v>
      </x:c>
      <x:c r="AE70" s="39" t="n">
        <x:v>0.0342211448</x:v>
      </x:c>
      <x:c r="AF70" s="39" t="n">
        <x:v>-0.0066970878</x:v>
      </x:c>
      <x:c r="AG70" s="39" t="n">
        <x:v>0.0256921702</x:v>
      </x:c>
      <x:c r="AH70" s="39" t="n">
        <x:v>0.0111836658</x:v>
      </x:c>
      <x:c r="AI70" s="39" t="n">
        <x:v>0.0157858939</x:v>
      </x:c>
      <x:c r="AJ70" s="39" t="n">
        <x:v>-0.0157503366</x:v>
      </x:c>
      <x:c r="AK70" s="39" t="n">
        <x:v>-0.0036952259</x:v>
      </x:c>
      <x:c r="AL70" s="39" t="n">
        <x:v>-0.000368018</x:v>
      </x:c>
      <x:c r="AM70" s="39" t="n">
        <x:v>-0.0028877682</x:v>
      </x:c>
      <x:c r="AN70" s="39" t="n">
        <x:v>0.0096085485</x:v>
      </x:c>
      <x:c r="AO70" s="39" t="n">
        <x:v>0.0032321395</x:v>
      </x:c>
      <x:c r="AP70" s="39" t="n">
        <x:v>-0.0082751166</x:v>
      </x:c>
      <x:c r="AQ70" s="39" t="n">
        <x:v>-0.0081612623</x:v>
      </x:c>
      <x:c r="AR70" s="39" t="n">
        <x:v>-0.0021985861</x:v>
      </x:c>
    </x:row>
    <x:row r="71" ht="19" customHeight="1">
      <x:c r="A71" s="40" t="d">
        <x:v>2026-04-20T00:00:00.000Z</x:v>
      </x:c>
      <x:c r="B71" s="39" t="n">
        <x:v>-0.2483786662</x:v>
      </x:c>
      <x:c r="C71" s="39" t="n">
        <x:v>0.4709559938</x:v>
      </x:c>
      <x:c r="D71" s="39" t="n">
        <x:v>0.0667408385</x:v>
      </x:c>
      <x:c r="E71" s="39" t="n">
        <x:v>-0.4020200268</x:v>
      </x:c>
      <x:c r="F71" s="39" t="n">
        <x:v>-0.0295997503</x:v>
      </x:c>
      <x:c r="G71" s="39" t="n">
        <x:v>-0.1269180604</x:v>
      </x:c>
      <x:c r="H71" s="39" t="n">
        <x:v>-0.0324516012</x:v>
      </x:c>
      <x:c r="I71" s="39" t="n">
        <x:v>-0.0929316368</x:v>
      </x:c>
      <x:c r="J71" s="39" t="n">
        <x:v>0.0809766536</x:v>
      </x:c>
      <x:c r="K71" s="39" t="n">
        <x:v>0.0734202923</x:v>
      </x:c>
      <x:c r="L71" s="39" t="n">
        <x:v>0.023095444</x:v>
      </x:c>
      <x:c r="M71" s="39" t="n">
        <x:v>-0.0532514936</x:v>
      </x:c>
      <x:c r="N71" s="39" t="n">
        <x:v>-0.1088068913</x:v>
      </x:c>
      <x:c r="O71" s="39" t="n">
        <x:v>-0.0103778597</x:v>
      </x:c>
      <x:c r="P71" s="39" t="n">
        <x:v>0.1966218351</x:v>
      </x:c>
      <x:c r="Q71" s="39" t="n">
        <x:v>0.0607850644</x:v>
      </x:c>
      <x:c r="R71" s="39" t="n">
        <x:v>-0.0991148454</x:v>
      </x:c>
      <x:c r="S71" s="39" t="n">
        <x:v>0.0340856755</x:v>
      </x:c>
      <x:c r="T71" s="39" t="n">
        <x:v>-0.0898184478</x:v>
      </x:c>
      <x:c r="U71" s="39" t="n">
        <x:v>0.038669765</x:v>
      </x:c>
      <x:c r="V71" s="39" t="n">
        <x:v>0.0142220443</x:v>
      </x:c>
      <x:c r="W71" s="39" t="n">
        <x:v>-0.0548080169</x:v>
      </x:c>
      <x:c r="X71" s="39" t="n">
        <x:v>0.0234513341</x:v>
      </x:c>
      <x:c r="Y71" s="39" t="n">
        <x:v>0.0277014958</x:v>
      </x:c>
      <x:c r="Z71" s="39" t="n">
        <x:v>-0.1078999467</x:v>
      </x:c>
      <x:c r="AA71" s="39" t="n">
        <x:v>0.0106582837</x:v>
      </x:c>
      <x:c r="AB71" s="39" t="n">
        <x:v>-0.0402791889</x:v>
      </x:c>
      <x:c r="AC71" s="39" t="n">
        <x:v>0.000030182</x:v>
      </x:c>
      <x:c r="AD71" s="39" t="n">
        <x:v>-0.0197381592</x:v>
      </x:c>
      <x:c r="AE71" s="39" t="n">
        <x:v>-0.0365910053</x:v>
      </x:c>
      <x:c r="AF71" s="39" t="n">
        <x:v>0.0556032621</x:v>
      </x:c>
      <x:c r="AG71" s="39" t="n">
        <x:v>0.0442927642</x:v>
      </x:c>
      <x:c r="AH71" s="39" t="n">
        <x:v>-0.042136348</x:v>
      </x:c>
      <x:c r="AI71" s="39" t="n">
        <x:v>-0.0139472978</x:v>
      </x:c>
      <x:c r="AJ71" s="39" t="n">
        <x:v>0.0149170445</x:v>
      </x:c>
      <x:c r="AK71" s="39" t="n">
        <x:v>0.0034697216</x:v>
      </x:c>
      <x:c r="AL71" s="39" t="n">
        <x:v>0.0142991719</x:v>
      </x:c>
      <x:c r="AM71" s="39" t="n">
        <x:v>0.0122285456</x:v>
      </x:c>
      <x:c r="AN71" s="39" t="n">
        <x:v>-0.0244954718</x:v>
      </x:c>
      <x:c r="AO71" s="39" t="n">
        <x:v>-0.0195233688</x:v>
      </x:c>
      <x:c r="AP71" s="39" t="n">
        <x:v>0.0045610586</x:v>
      </x:c>
      <x:c r="AQ71" s="39" t="n">
        <x:v>-0.0065966597</x:v>
      </x:c>
      <x:c r="AR71" s="39" t="n">
        <x:v>-0.0073419688</x:v>
      </x:c>
    </x:row>
    <x:row r="72" ht="19" customHeight="1">
      <x:c r="A72" s="40" t="d">
        <x:v>2026-05-18T00:00:00.000Z</x:v>
      </x:c>
      <x:c r="B72" s="39" t="n">
        <x:v>-0.3565418442</x:v>
      </x:c>
      <x:c r="C72" s="39" t="n">
        <x:v>-0.6304562916</x:v>
      </x:c>
      <x:c r="D72" s="39" t="n">
        <x:v>0.1406267438</x:v>
      </x:c>
      <x:c r="E72" s="39" t="n">
        <x:v>-0.1461742457</x:v>
      </x:c>
      <x:c r="F72" s="39" t="n">
        <x:v>0.1847414511</x:v>
      </x:c>
      <x:c r="G72" s="39" t="n">
        <x:v>-0.0041045225</x:v>
      </x:c>
      <x:c r="H72" s="39" t="n">
        <x:v>-0.1303518633</x:v>
      </x:c>
      <x:c r="I72" s="39" t="n">
        <x:v>-0.1221555469</x:v>
      </x:c>
      <x:c r="J72" s="39" t="n">
        <x:v>0.0399716712</x:v>
      </x:c>
      <x:c r="K72" s="39" t="n">
        <x:v>0.2052752401</x:v>
      </x:c>
      <x:c r="L72" s="39" t="n">
        <x:v>-0.3801566035</x:v>
      </x:c>
      <x:c r="M72" s="39" t="n">
        <x:v>0.064952883</x:v>
      </x:c>
      <x:c r="N72" s="39" t="n">
        <x:v>0.1421236042</x:v>
      </x:c>
      <x:c r="O72" s="39" t="n">
        <x:v>0.0564820389</x:v>
      </x:c>
      <x:c r="P72" s="39" t="n">
        <x:v>-0.0646882037</x:v>
      </x:c>
      <x:c r="Q72" s="39" t="n">
        <x:v>-0.0298625339</x:v>
      </x:c>
      <x:c r="R72" s="39" t="n">
        <x:v>-0.1194725711</x:v>
      </x:c>
      <x:c r="S72" s="39" t="n">
        <x:v>0.1344796508</x:v>
      </x:c>
      <x:c r="T72" s="39" t="n">
        <x:v>0.056868653</x:v>
      </x:c>
      <x:c r="U72" s="39" t="n">
        <x:v>-0.0051214654</x:v>
      </x:c>
      <x:c r="V72" s="39" t="n">
        <x:v>-0.0369568219</x:v>
      </x:c>
      <x:c r="W72" s="39" t="n">
        <x:v>0.0432024734</x:v>
      </x:c>
      <x:c r="X72" s="39" t="n">
        <x:v>0.003247207</x:v>
      </x:c>
      <x:c r="Y72" s="39" t="n">
        <x:v>-0.018990103</x:v>
      </x:c>
      <x:c r="Z72" s="39" t="n">
        <x:v>0.0609816528</x:v>
      </x:c>
      <x:c r="AA72" s="39" t="n">
        <x:v>-0.0103223336</x:v>
      </x:c>
      <x:c r="AB72" s="39" t="n">
        <x:v>0.0181841241</x:v>
      </x:c>
      <x:c r="AC72" s="39" t="n">
        <x:v>0.0028993922</x:v>
      </x:c>
      <x:c r="AD72" s="39" t="n">
        <x:v>-0.0270754192</x:v>
      </x:c>
      <x:c r="AE72" s="39" t="n">
        <x:v>-0.0059064948</x:v>
      </x:c>
      <x:c r="AF72" s="39" t="n">
        <x:v>-0.0312668629</x:v>
      </x:c>
      <x:c r="AG72" s="39" t="n">
        <x:v>0.0309397665</x:v>
      </x:c>
      <x:c r="AH72" s="39" t="n">
        <x:v>-0.0131576832</x:v>
      </x:c>
      <x:c r="AI72" s="39" t="n">
        <x:v>-0.0338988724</x:v>
      </x:c>
      <x:c r="AJ72" s="39" t="n">
        <x:v>0.0212282988</x:v>
      </x:c>
      <x:c r="AK72" s="39" t="n">
        <x:v>-0.0293230387</x:v>
      </x:c>
      <x:c r="AL72" s="39" t="n">
        <x:v>-0.0191675443</x:v>
      </x:c>
      <x:c r="AM72" s="39" t="n">
        <x:v>0.0046836662</x:v>
      </x:c>
      <x:c r="AN72" s="39" t="n">
        <x:v>0.0268238596</x:v>
      </x:c>
      <x:c r="AO72" s="39" t="n">
        <x:v>-0.0112703664</x:v>
      </x:c>
      <x:c r="AP72" s="39" t="n">
        <x:v>0.0016874459</x:v>
      </x:c>
      <x:c r="AQ72" s="39" t="n">
        <x:v>-0.0109287426</x:v>
      </x:c>
      <x:c r="AR72" s="39" t="n">
        <x:v>0.0020219271</x:v>
      </x:c>
    </x:row>
    <x:row r="73" ht="19" customHeight="1">
      <x:c r="A73" s="40" t="d">
        <x:v>2026-06-15T00:00:00.000Z</x:v>
      </x:c>
      <x:c r="B73" s="39" t="n">
        <x:v>-0.4201785408</x:v>
      </x:c>
      <x:c r="C73" s="39" t="n">
        <x:v>0.2363685621</x:v>
      </x:c>
      <x:c r="D73" s="39" t="n">
        <x:v>0.5012567535</x:v>
      </x:c>
      <x:c r="E73" s="39" t="n">
        <x:v>0.6269588216</x:v>
      </x:c>
      <x:c r="F73" s="39" t="n">
        <x:v>-0.0056943419</x:v>
      </x:c>
      <x:c r="G73" s="39" t="n">
        <x:v>0.3046178286</x:v>
      </x:c>
      <x:c r="H73" s="39" t="n">
        <x:v>-0.226222311</x:v>
      </x:c>
      <x:c r="I73" s="39" t="n">
        <x:v>0.0210666084</x:v>
      </x:c>
      <x:c r="J73" s="39" t="n">
        <x:v>0.0254480476</x:v>
      </x:c>
      <x:c r="K73" s="39" t="n">
        <x:v>-0.1621357788</x:v>
      </x:c>
      <x:c r="L73" s="39" t="n">
        <x:v>0.0770701866</x:v>
      </x:c>
      <x:c r="M73" s="39" t="n">
        <x:v>0.0672918849</x:v>
      </x:c>
      <x:c r="N73" s="39" t="n">
        <x:v>0.2284453644</x:v>
      </x:c>
      <x:c r="O73" s="39" t="n">
        <x:v>-0.0161777448</x:v>
      </x:c>
      <x:c r="P73" s="39" t="n">
        <x:v>-0.0227236034</x:v>
      </x:c>
      <x:c r="Q73" s="39" t="n">
        <x:v>-0.0113917751</x:v>
      </x:c>
      <x:c r="R73" s="39" t="n">
        <x:v>-0.0261392135</x:v>
      </x:c>
      <x:c r="S73" s="39" t="n">
        <x:v>-0.0915392161</x:v>
      </x:c>
      <x:c r="T73" s="39" t="n">
        <x:v>-0.067210943</x:v>
      </x:c>
      <x:c r="U73" s="39" t="n">
        <x:v>0.0099249107</x:v>
      </x:c>
      <x:c r="V73" s="39" t="n">
        <x:v>-0.0350751974</x:v>
      </x:c>
      <x:c r="W73" s="39" t="n">
        <x:v>0.0057667089</x:v>
      </x:c>
      <x:c r="X73" s="39" t="n">
        <x:v>-0.049452075</x:v>
      </x:c>
      <x:c r="Y73" s="39" t="n">
        <x:v>0.0194805641</x:v>
      </x:c>
      <x:c r="Z73" s="39" t="n">
        <x:v>-0.0787058855</x:v>
      </x:c>
      <x:c r="AA73" s="39" t="n">
        <x:v>-0.1285436223</x:v>
      </x:c>
      <x:c r="AB73" s="39" t="n">
        <x:v>0.0293758836</x:v>
      </x:c>
      <x:c r="AC73" s="39" t="n">
        <x:v>0.0418107806</x:v>
      </x:c>
      <x:c r="AD73" s="39" t="n">
        <x:v>0.009544791</x:v>
      </x:c>
      <x:c r="AE73" s="39" t="n">
        <x:v>0.020055441</x:v>
      </x:c>
      <x:c r="AF73" s="39" t="n">
        <x:v>0.0396567617</x:v>
      </x:c>
      <x:c r="AG73" s="39" t="n">
        <x:v>0.0185253436</x:v>
      </x:c>
      <x:c r="AH73" s="39" t="n">
        <x:v>-0.0048817089</x:v>
      </x:c>
      <x:c r="AI73" s="39" t="n">
        <x:v>0.000004913</x:v>
      </x:c>
      <x:c r="AJ73" s="39" t="n">
        <x:v>0.0352501677</x:v>
      </x:c>
      <x:c r="AK73" s="39" t="n">
        <x:v>0.0019572351</x:v>
      </x:c>
      <x:c r="AL73" s="39" t="n">
        <x:v>0.0103514721</x:v>
      </x:c>
      <x:c r="AM73" s="39" t="n">
        <x:v>-0.0062624647</x:v>
      </x:c>
      <x:c r="AN73" s="39" t="n">
        <x:v>0.0014912118</x:v>
      </x:c>
      <x:c r="AO73" s="39" t="n">
        <x:v>-0.0044617427</x:v>
      </x:c>
      <x:c r="AP73" s="39" t="n">
        <x:v>-0.0035072526</x:v>
      </x:c>
      <x:c r="AQ73" s="39" t="n">
        <x:v>0.0075181111</x:v>
      </x:c>
      <x:c r="AR73" s="39" t="n">
        <x:v>0.0001307475</x:v>
      </x:c>
    </x:row>
    <x:row r="74" ht="19" customHeight="1">
      <x:c r="A74" s="40" t="d">
        <x:v>2026-07-13T00:00:00.000Z</x:v>
      </x:c>
      <x:c r="B74" s="39" t="n">
        <x:v>0.461158705</x:v>
      </x:c>
      <x:c r="C74" s="39" t="n">
        <x:v>0.6121925782</x:v>
      </x:c>
      <x:c r="D74" s="39" t="n">
        <x:v>-0.5097974014</x:v>
      </x:c>
      <x:c r="E74" s="39" t="n">
        <x:v>-0.0753607644</x:v>
      </x:c>
      <x:c r="F74" s="39" t="n">
        <x:v>0.2717981805</x:v>
      </x:c>
      <x:c r="G74" s="39" t="n">
        <x:v>0.5440974871</x:v>
      </x:c>
      <x:c r="H74" s="39" t="n">
        <x:v>-0.100176514</x:v>
      </x:c>
      <x:c r="I74" s="39" t="n">
        <x:v>-0.265371756</x:v>
      </x:c>
      <x:c r="J74" s="39" t="n">
        <x:v>0.0873951172</x:v>
      </x:c>
      <x:c r="K74" s="39" t="n">
        <x:v>-0.0299807071</x:v>
      </x:c>
      <x:c r="L74" s="39" t="n">
        <x:v>-0.17017846</x:v>
      </x:c>
      <x:c r="M74" s="39" t="n">
        <x:v>-0.0169494011</x:v>
      </x:c>
      <x:c r="N74" s="39" t="n">
        <x:v>0.0784094188</x:v>
      </x:c>
      <x:c r="O74" s="39" t="n">
        <x:v>0.1186028351</x:v>
      </x:c>
      <x:c r="P74" s="39" t="n">
        <x:v>-0.1195522035</x:v>
      </x:c>
      <x:c r="Q74" s="39" t="n">
        <x:v>-0.0307803195</x:v>
      </x:c>
      <x:c r="R74" s="39" t="n">
        <x:v>0.0417348094</x:v>
      </x:c>
      <x:c r="S74" s="39" t="n">
        <x:v>0.0451727752</x:v>
      </x:c>
      <x:c r="T74" s="39" t="n">
        <x:v>-0.0310154082</x:v>
      </x:c>
      <x:c r="U74" s="39" t="n">
        <x:v>0.0790209773</x:v>
      </x:c>
      <x:c r="V74" s="39" t="n">
        <x:v>0.0207137433</x:v>
      </x:c>
      <x:c r="W74" s="39" t="n">
        <x:v>0.0085145432</x:v>
      </x:c>
      <x:c r="X74" s="39" t="n">
        <x:v>-0.0032425456</x:v>
      </x:c>
      <x:c r="Y74" s="39" t="n">
        <x:v>-0.0248443924</x:v>
      </x:c>
      <x:c r="Z74" s="39" t="n">
        <x:v>0.0092916931</x:v>
      </x:c>
      <x:c r="AA74" s="39" t="n">
        <x:v>0.0731498166</x:v>
      </x:c>
      <x:c r="AB74" s="39" t="n">
        <x:v>0.1145689291</x:v>
      </x:c>
      <x:c r="AC74" s="39" t="n">
        <x:v>-0.0596893058</x:v>
      </x:c>
      <x:c r="AD74" s="39" t="n">
        <x:v>-0.0050083074</x:v>
      </x:c>
      <x:c r="AE74" s="39" t="n">
        <x:v>-0.031916393</x:v>
      </x:c>
      <x:c r="AF74" s="39" t="n">
        <x:v>0.0200820141</x:v>
      </x:c>
      <x:c r="AG74" s="39" t="n">
        <x:v>0.0122111308</x:v>
      </x:c>
      <x:c r="AH74" s="39" t="n">
        <x:v>0.0001415921</x:v>
      </x:c>
      <x:c r="AI74" s="39" t="n">
        <x:v>-0.0102808146</x:v>
      </x:c>
      <x:c r="AJ74" s="39" t="n">
        <x:v>0.0069233354</x:v>
      </x:c>
      <x:c r="AK74" s="39" t="n">
        <x:v>0.0282790098</x:v>
      </x:c>
      <x:c r="AL74" s="39" t="n">
        <x:v>-0.0050936362</x:v>
      </x:c>
      <x:c r="AM74" s="39" t="n">
        <x:v>0.0002209164</x:v>
      </x:c>
      <x:c r="AN74" s="39" t="n">
        <x:v>-0.0186554709</x:v>
      </x:c>
      <x:c r="AO74" s="39" t="n">
        <x:v>-0.0037020783</x:v>
      </x:c>
      <x:c r="AP74" s="39" t="n">
        <x:v>-0.0070350678</x:v>
      </x:c>
      <x:c r="AQ74" s="39" t="n">
        <x:v>0.0049495581</x:v>
      </x:c>
      <x:c r="AR74" s="39" t="n">
        <x:v>-0.001241603</x:v>
      </x:c>
    </x:row>
    <x:row r="75" ht="19" customHeight="1">
      <x:c r="A75" s="40" t="d">
        <x:v>2026-08-10T00:00:00.000Z</x:v>
      </x:c>
      <x:c r="B75" s="39" t="n">
        <x:v>0.1871149958</x:v>
      </x:c>
      <x:c r="C75" s="39" t="n">
        <x:v>0.1890587914</x:v>
      </x:c>
      <x:c r="D75" s="39" t="n">
        <x:v>-0.2673716937</x:v>
      </x:c>
      <x:c r="E75" s="39" t="n">
        <x:v>-0.0697977829</x:v>
      </x:c>
      <x:c r="F75" s="39" t="n">
        <x:v>-0.1384879422</x:v>
      </x:c>
      <x:c r="G75" s="39" t="n">
        <x:v>0.0658218268</x:v>
      </x:c>
      <x:c r="H75" s="39" t="n">
        <x:v>0.1621924423</x:v>
      </x:c>
      <x:c r="I75" s="39" t="n">
        <x:v>0.6550670289</x:v>
      </x:c>
      <x:c r="J75" s="39" t="n">
        <x:v>0.1023413194</x:v>
      </x:c>
      <x:c r="K75" s="39" t="n">
        <x:v>-0.2042156459</x:v>
      </x:c>
      <x:c r="L75" s="39" t="n">
        <x:v>-0.0375028251</x:v>
      </x:c>
      <x:c r="M75" s="39" t="n">
        <x:v>0.0922313897</x:v>
      </x:c>
      <x:c r="N75" s="39" t="n">
        <x:v>0.0656169581</x:v>
      </x:c>
      <x:c r="O75" s="39" t="n">
        <x:v>-0.0233665152</x:v>
      </x:c>
      <x:c r="P75" s="39" t="n">
        <x:v>0.0144342393</x:v>
      </x:c>
      <x:c r="Q75" s="39" t="n">
        <x:v>-0.0813560946</x:v>
      </x:c>
      <x:c r="R75" s="39" t="n">
        <x:v>0.0939488304</x:v>
      </x:c>
      <x:c r="S75" s="39" t="n">
        <x:v>0.0737805895</x:v>
      </x:c>
      <x:c r="T75" s="39" t="n">
        <x:v>-0.0172104041</x:v>
      </x:c>
      <x:c r="U75" s="39" t="n">
        <x:v>-0.0031827121</x:v>
      </x:c>
      <x:c r="V75" s="39" t="n">
        <x:v>-0.0273609487</x:v>
      </x:c>
      <x:c r="W75" s="39" t="n">
        <x:v>0.0286892645</x:v>
      </x:c>
      <x:c r="X75" s="39" t="n">
        <x:v>-0.0316779507</x:v>
      </x:c>
      <x:c r="Y75" s="39" t="n">
        <x:v>0.0490782237</x:v>
      </x:c>
      <x:c r="Z75" s="39" t="n">
        <x:v>0.0594415046</x:v>
      </x:c>
      <x:c r="AA75" s="39" t="n">
        <x:v>0.0276096898</x:v>
      </x:c>
      <x:c r="AB75" s="39" t="n">
        <x:v>0.0032392205</x:v>
      </x:c>
      <x:c r="AC75" s="39" t="n">
        <x:v>-0.0755941872</x:v>
      </x:c>
      <x:c r="AD75" s="39" t="n">
        <x:v>-0.0034075578</x:v>
      </x:c>
      <x:c r="AE75" s="39" t="n">
        <x:v>-0.011286254</x:v>
      </x:c>
      <x:c r="AF75" s="39" t="n">
        <x:v>-0.0256845251</x:v>
      </x:c>
      <x:c r="AG75" s="39" t="n">
        <x:v>0.0243361998</x:v>
      </x:c>
      <x:c r="AH75" s="39" t="n">
        <x:v>-0.0193177923</x:v>
      </x:c>
      <x:c r="AI75" s="39" t="n">
        <x:v>0.0041718805</x:v>
      </x:c>
      <x:c r="AJ75" s="39" t="n">
        <x:v>0.0012014988</x:v>
      </x:c>
      <x:c r="AK75" s="39" t="n">
        <x:v>0.0181115981</x:v>
      </x:c>
      <x:c r="AL75" s="39" t="n">
        <x:v>-0.005173364</x:v>
      </x:c>
      <x:c r="AM75" s="39" t="n">
        <x:v>0.0193125714</x:v>
      </x:c>
      <x:c r="AN75" s="39" t="n">
        <x:v>0.0221372717</x:v>
      </x:c>
      <x:c r="AO75" s="39" t="n">
        <x:v>-0.016809742</x:v>
      </x:c>
      <x:c r="AP75" s="39" t="n">
        <x:v>0.0002134536</x:v>
      </x:c>
      <x:c r="AQ75" s="39" t="n">
        <x:v>0.0001029741</x:v>
      </x:c>
      <x:c r="AR75" s="39" t="n">
        <x:v>0.0076241152</x:v>
      </x:c>
    </x:row>
  </x:sheetData>
  <x:pageMargins left="0.7" right="0.7" top="0.75" bottom="0.75" header="0.3" footer="0.3"/>
</x:worksheet>
</file>

<file path=xl/worksheets/sheet10.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s>
  <x:sheetData>
    <x:row r="1" ht="19" customHeight="1">
      <x:c r="A1" s="24"/>
      <x:c r="B1" s="24"/>
      <x:c r="C1" s="24"/>
      <x:c r="D1" s="24"/>
      <x:c r="E1" s="24"/>
      <x:c r="F1" s="24"/>
      <x:c r="G1" s="24"/>
      <x:c r="H1" s="24"/>
      <x:c r="I1" s="24"/>
      <x:c r="J1" s="24"/>
    </x:row>
    <x:row r="2" ht="19" customHeight="1">
      <x:c r="A2" s="35" t="str">
        <x:v>Retained regression coefficients</x:v>
      </x:c>
      <x:c r="B2" s="24"/>
      <x:c r="C2" s="24"/>
      <x:c r="D2" s="24"/>
      <x:c r="E2" s="24"/>
      <x:c r="F2" s="24"/>
      <x:c r="G2" s="24"/>
      <x:c r="H2" s="24"/>
      <x:c r="I2" s="24"/>
      <x:c r="J2" s="24"/>
    </x:row>
    <x:row r="3" ht="19" customHeight="1">
      <x:c r="A3" s="28"/>
      <x:c r="B3" s="24"/>
      <x:c r="C3" s="24"/>
      <x:c r="D3" s="24"/>
      <x:c r="E3" s="24"/>
      <x:c r="F3" s="24"/>
      <x:c r="G3" s="24"/>
      <x:c r="H3" s="24"/>
      <x:c r="I3" s="24"/>
      <x:c r="J3" s="24"/>
    </x:row>
    <x:row r="4" ht="19" customHeight="1">
      <x:c r="A4" s="24"/>
      <x:c r="B4" s="24"/>
      <x:c r="C4" s="24"/>
      <x:c r="D4" s="24"/>
      <x:c r="E4" s="24"/>
      <x:c r="F4" s="24"/>
      <x:c r="G4" s="24"/>
      <x:c r="H4" s="24"/>
      <x:c r="I4" s="24"/>
      <x:c r="J4" s="24"/>
    </x:row>
    <x:row r="5" ht="42" customHeight="1">
      <x:c r="A5" s="36" t="str">
        <x:v>stagger</x:v>
      </x:c>
      <x:c r="B5" s="36" t="str">
        <x:v>ticker</x:v>
      </x:c>
      <x:c r="C5" s="36" t="str">
        <x:v>stage</x:v>
      </x:c>
      <x:c r="D5" s="36" t="str">
        <x:v>factor</x:v>
      </x:c>
      <x:c r="E5" s="36" t="str">
        <x:v>alpha</x:v>
      </x:c>
      <x:c r="F5" s="36" t="str">
        <x:v>beta</x:v>
      </x:c>
      <x:c r="G5" s="36" t="str">
        <x:v>t_stat</x:v>
      </x:c>
      <x:c r="H5" s="36" t="str">
        <x:v>p_value</x:v>
      </x:c>
      <x:c r="I5" s="36" t="str">
        <x:v>observations</x:v>
      </x:c>
      <x:c r="J5" s="36" t="str">
        <x:v>r_squared</x:v>
      </x:c>
    </x:row>
    <x:row r="6" ht="19" customHeight="1">
      <x:c r="A6" s="30" t="str">
        <x:v>stagger_1</x:v>
      </x:c>
      <x:c r="B6" s="39" t="str">
        <x:v>VST</x:v>
      </x:c>
      <x:c r="C6" s="39" t="str">
        <x:v>SPY</x:v>
      </x:c>
      <x:c r="D6" s="39" t="str">
        <x:v>SPY</x:v>
      </x:c>
      <x:c r="E6" s="39" t="n">
        <x:v>0.0135364232</x:v>
      </x:c>
      <x:c r="F6" s="39" t="n">
        <x:v>1.080769288</x:v>
      </x:c>
      <x:c r="G6" s="39" t="n">
        <x:v>3.6206419526</x:v>
      </x:c>
      <x:c r="H6" s="39" t="n">
        <x:v>0.0005205007</x:v>
      </x:c>
      <x:c r="I6" s="31" t="n">
        <x:v>80</x:v>
      </x:c>
      <x:c r="J6" s="39" t="n">
        <x:v>0.1438830546</x:v>
      </x:c>
    </x:row>
    <x:row r="7" ht="19" customHeight="1">
      <x:c r="A7" s="30" t="str">
        <x:v>stagger_1</x:v>
      </x:c>
      <x:c r="B7" s="39" t="str">
        <x:v>VST</x:v>
      </x:c>
      <x:c r="C7" s="39" t="str">
        <x:v>Primary sector</x:v>
      </x:c>
      <x:c r="D7" s="39" t="str">
        <x:v>XLU</x:v>
      </x:c>
      <x:c r="E7" s="39" t="n">
        <x:v>-5.204170428e-18</x:v>
      </x:c>
      <x:c r="F7" s="39" t="n">
        <x:v>0.7739386244</x:v>
      </x:c>
      <x:c r="G7" s="39" t="n">
        <x:v>2.7610867324</x:v>
      </x:c>
      <x:c r="H7" s="39" t="n">
        <x:v>0.0071793045</x:v>
      </x:c>
      <x:c r="I7" s="31" t="n">
        <x:v>80</x:v>
      </x:c>
      <x:c r="J7" s="39" t="n">
        <x:v>0.0890361997</x:v>
      </x:c>
    </x:row>
    <x:row r="8" ht="19" customHeight="1">
      <x:c r="A8" s="30" t="str">
        <x:v>stagger_1</x:v>
      </x:c>
      <x:c r="B8" s="39" t="str">
        <x:v>VST</x:v>
      </x:c>
      <x:c r="C8" s="39" t="str">
        <x:v>Other sectors</x:v>
      </x:c>
      <x:c r="D8" s="39" t="str">
        <x:v>XLV</x:v>
      </x:c>
      <x:c r="E8" s="39" t="n">
        <x:v>-1.734723476e-18</x:v>
      </x:c>
      <x:c r="F8" s="39" t="n">
        <x:v>-1.0068874921</x:v>
      </x:c>
      <x:c r="G8" s="39" t="n">
        <x:v>-3.2281813581</x:v>
      </x:c>
      <x:c r="H8" s="39" t="n">
        <x:v>0.0018231864</x:v>
      </x:c>
      <x:c r="I8" s="31" t="n">
        <x:v>80</x:v>
      </x:c>
      <x:c r="J8" s="39" t="n">
        <x:v>0.117858163</x:v>
      </x:c>
    </x:row>
    <x:row r="9" ht="19" customHeight="1">
      <x:c r="A9" s="30" t="str">
        <x:v>stagger_1</x:v>
      </x:c>
      <x:c r="B9" s="39" t="str">
        <x:v>VIST</x:v>
      </x:c>
      <x:c r="C9" s="39" t="str">
        <x:v>Home FX</x:v>
      </x:c>
      <x:c r="D9" s="39" t="str">
        <x:v>MXN/USD</x:v>
      </x:c>
      <x:c r="E9" s="39" t="n">
        <x:v>0.0354775212</x:v>
      </x:c>
      <x:c r="F9" s="39" t="n">
        <x:v>0.0958171985</x:v>
      </x:c>
      <x:c r="G9" s="39" t="n">
        <x:v>0.1865068823</x:v>
      </x:c>
      <x:c r="H9" s="39" t="n">
        <x:v>0.8525315127</x:v>
      </x:c>
      <x:c r="I9" s="31" t="n">
        <x:v>80</x:v>
      </x:c>
      <x:c r="J9" s="39" t="n">
        <x:v>0.0004457604</x:v>
      </x:c>
    </x:row>
    <x:row r="10" ht="19" customHeight="1">
      <x:c r="A10" s="30" t="str">
        <x:v>stagger_1</x:v>
      </x:c>
      <x:c r="B10" s="39" t="str">
        <x:v>VIST</x:v>
      </x:c>
      <x:c r="C10" s="39" t="str">
        <x:v>SPY</x:v>
      </x:c>
      <x:c r="D10" s="39" t="str">
        <x:v>SPY</x:v>
      </x:c>
      <x:c r="E10" s="39" t="n">
        <x:v>0.0013795149</x:v>
      </x:c>
      <x:c r="F10" s="39" t="n">
        <x:v>-0.105158732</x:v>
      </x:c>
      <x:c r="G10" s="39" t="n">
        <x:v>-0.3111086784</x:v>
      </x:c>
      <x:c r="H10" s="39" t="n">
        <x:v>0.7565479348</x:v>
      </x:c>
      <x:c r="I10" s="31" t="n">
        <x:v>80</x:v>
      </x:c>
      <x:c r="J10" s="39" t="n">
        <x:v>0.0012393417</x:v>
      </x:c>
    </x:row>
    <x:row r="11" ht="19" customHeight="1">
      <x:c r="A11" s="30" t="str">
        <x:v>stagger_1</x:v>
      </x:c>
      <x:c r="B11" s="39" t="str">
        <x:v>VIST</x:v>
      </x:c>
      <x:c r="C11" s="39" t="str">
        <x:v>Primary sector</x:v>
      </x:c>
      <x:c r="D11" s="39" t="str">
        <x:v>XLE</x:v>
      </x:c>
      <x:c r="E11" s="39" t="n">
        <x:v>-1.734723476e-18</x:v>
      </x:c>
      <x:c r="F11" s="39" t="n">
        <x:v>0.9012884373</x:v>
      </x:c>
      <x:c r="G11" s="39" t="n">
        <x:v>5.5233755998</x:v>
      </x:c>
      <x:c r="H11" s="39" t="n">
        <x:v>4.225e-7</x:v>
      </x:c>
      <x:c r="I11" s="31" t="n">
        <x:v>80</x:v>
      </x:c>
      <x:c r="J11" s="39" t="n">
        <x:v>0.2811568598</x:v>
      </x:c>
    </x:row>
    <x:row r="12" ht="19" customHeight="1">
      <x:c r="A12" s="30" t="str">
        <x:v>stagger_1</x:v>
      </x:c>
      <x:c r="B12" s="39" t="str">
        <x:v>VIST</x:v>
      </x:c>
      <x:c r="C12" s="39" t="str">
        <x:v>Other sectors</x:v>
      </x:c>
      <x:c r="D12" s="39" t="str">
        <x:v>XLV</x:v>
      </x:c>
      <x:c r="E12" s="39" t="n">
        <x:v>0</x:v>
      </x:c>
      <x:c r="F12" s="39" t="n">
        <x:v>-0.8508837427</x:v>
      </x:c>
      <x:c r="G12" s="39" t="n">
        <x:v>-2.6602517451</x:v>
      </x:c>
      <x:c r="H12" s="39" t="n">
        <x:v>0.0094745546</x:v>
      </x:c>
      <x:c r="I12" s="31" t="n">
        <x:v>80</x:v>
      </x:c>
      <x:c r="J12" s="39" t="n">
        <x:v>0.0831828155</x:v>
      </x:c>
    </x:row>
    <x:row r="13" ht="19" customHeight="1">
      <x:c r="A13" s="30" t="str">
        <x:v>stagger_1</x:v>
      </x:c>
      <x:c r="B13" s="39" t="str">
        <x:v>AEP</x:v>
      </x:c>
      <x:c r="C13" s="39" t="str">
        <x:v>Other FX</x:v>
      </x:c>
      <x:c r="D13" s="39" t="str">
        <x:v>AUD/USD</x:v>
      </x:c>
      <x:c r="E13" s="39" t="n">
        <x:v>0.0088336266</x:v>
      </x:c>
      <x:c r="F13" s="39" t="n">
        <x:v>0.8672050187</x:v>
      </x:c>
      <x:c r="G13" s="39" t="n">
        <x:v>3.1868719083</x:v>
      </x:c>
      <x:c r="H13" s="39" t="n">
        <x:v>0.0020694539</x:v>
      </x:c>
      <x:c r="I13" s="31" t="n">
        <x:v>80</x:v>
      </x:c>
      <x:c r="J13" s="39" t="n">
        <x:v>0.1152063953</x:v>
      </x:c>
    </x:row>
    <x:row r="14" ht="19" customHeight="1">
      <x:c r="A14" s="30" t="str">
        <x:v>stagger_1</x:v>
      </x:c>
      <x:c r="B14" s="39" t="str">
        <x:v>AEP</x:v>
      </x:c>
      <x:c r="C14" s="39" t="str">
        <x:v>SPY</x:v>
      </x:c>
      <x:c r="D14" s="39" t="str">
        <x:v>SPY</x:v>
      </x:c>
      <x:c r="E14" s="39" t="n">
        <x:v>-0.0011881242</x:v>
      </x:c>
      <x:c r="F14" s="39" t="n">
        <x:v>0.0905692549</x:v>
      </x:c>
      <x:c r="G14" s="39" t="n">
        <x:v>0.6190347076</x:v>
      </x:c>
      <x:c r="H14" s="39" t="n">
        <x:v>0.5376973321</x:v>
      </x:c>
      <x:c r="I14" s="31" t="n">
        <x:v>80</x:v>
      </x:c>
      <x:c r="J14" s="39" t="n">
        <x:v>0.0048888531</x:v>
      </x:c>
    </x:row>
    <x:row r="15" ht="19" customHeight="1">
      <x:c r="A15" s="30" t="str">
        <x:v>stagger_1</x:v>
      </x:c>
      <x:c r="B15" s="39" t="str">
        <x:v>AEP</x:v>
      </x:c>
      <x:c r="C15" s="39" t="str">
        <x:v>Primary sector</x:v>
      </x:c>
      <x:c r="D15" s="39" t="str">
        <x:v>XLU</x:v>
      </x:c>
      <x:c r="E15" s="39" t="n">
        <x:v>9.215718466e-19</x:v>
      </x:c>
      <x:c r="F15" s="39" t="n">
        <x:v>0.9779296963</x:v>
      </x:c>
      <x:c r="G15" s="39" t="n">
        <x:v>10.6327539185</x:v>
      </x:c>
      <x:c r="H15" s="39" t="n">
        <x:v>7.784594122e-17</x:v>
      </x:c>
      <x:c r="I15" s="31" t="n">
        <x:v>80</x:v>
      </x:c>
      <x:c r="J15" s="39" t="n">
        <x:v>0.5917415724</x:v>
      </x:c>
    </x:row>
    <x:row r="16" ht="19" customHeight="1">
      <x:c r="A16" s="30" t="str">
        <x:v>stagger_1</x:v>
      </x:c>
      <x:c r="B16" s="39" t="str">
        <x:v>AEP</x:v>
      </x:c>
      <x:c r="C16" s="39" t="str">
        <x:v>Other sectors</x:v>
      </x:c>
      <x:c r="D16" s="39" t="str">
        <x:v>XLRE</x:v>
      </x:c>
      <x:c r="E16" s="39" t="n">
        <x:v>-1.19262239e-18</x:v>
      </x:c>
      <x:c r="F16" s="39" t="n">
        <x:v>0.2145328454</x:v>
      </x:c>
      <x:c r="G16" s="39" t="n">
        <x:v>2.0374753593</x:v>
      </x:c>
      <x:c r="H16" s="39" t="n">
        <x:v>0.0449937452</x:v>
      </x:c>
      <x:c r="I16" s="31" t="n">
        <x:v>80</x:v>
      </x:c>
      <x:c r="J16" s="39" t="n">
        <x:v>0.0505324389</x:v>
      </x:c>
    </x:row>
    <x:row r="17" ht="19" customHeight="1">
      <x:c r="A17" s="30" t="str">
        <x:v>stagger_1</x:v>
      </x:c>
      <x:c r="B17" s="39" t="str">
        <x:v>AEP</x:v>
      </x:c>
      <x:c r="C17" s="39" t="str">
        <x:v>Other sectors</x:v>
      </x:c>
      <x:c r="D17" s="39" t="str">
        <x:v>XLI</x:v>
      </x:c>
      <x:c r="E17" s="39" t="n">
        <x:v>-2.168404345e-19</x:v>
      </x:c>
      <x:c r="F17" s="39" t="n">
        <x:v>-0.2676907531</x:v>
      </x:c>
      <x:c r="G17" s="39" t="n">
        <x:v>-2.1290657521</x:v>
      </x:c>
      <x:c r="H17" s="39" t="n">
        <x:v>0.0364040401</x:v>
      </x:c>
      <x:c r="I17" s="31" t="n">
        <x:v>80</x:v>
      </x:c>
      <x:c r="J17" s="39" t="n">
        <x:v>0.0549225803</x:v>
      </x:c>
    </x:row>
    <x:row r="18" ht="19" customHeight="1">
      <x:c r="A18" s="30" t="str">
        <x:v>stagger_1</x:v>
      </x:c>
      <x:c r="B18" s="39" t="str">
        <x:v>ETR</x:v>
      </x:c>
      <x:c r="C18" s="39" t="str">
        <x:v>SPY</x:v>
      </x:c>
      <x:c r="D18" s="39" t="str">
        <x:v>SPY</x:v>
      </x:c>
      <x:c r="E18" s="39" t="n">
        <x:v>0.0104151732</x:v>
      </x:c>
      <x:c r="F18" s="39" t="n">
        <x:v>0.355562464</x:v>
      </x:c>
      <x:c r="G18" s="39" t="n">
        <x:v>2.5068435338</x:v>
      </x:c>
      <x:c r="H18" s="39" t="n">
        <x:v>0.0142608024</x:v>
      </x:c>
      <x:c r="I18" s="31" t="n">
        <x:v>80</x:v>
      </x:c>
      <x:c r="J18" s="39" t="n">
        <x:v>0.0745603529</x:v>
      </x:c>
    </x:row>
    <x:row r="19" ht="19" customHeight="1">
      <x:c r="A19" s="30" t="str">
        <x:v>stagger_1</x:v>
      </x:c>
      <x:c r="B19" s="39" t="str">
        <x:v>ETR</x:v>
      </x:c>
      <x:c r="C19" s="39" t="str">
        <x:v>Primary sector</x:v>
      </x:c>
      <x:c r="D19" s="39" t="str">
        <x:v>XLU</x:v>
      </x:c>
      <x:c r="E19" s="39" t="n">
        <x:v>4.33680869e-19</x:v>
      </x:c>
      <x:c r="F19" s="39" t="n">
        <x:v>0.9424741936</x:v>
      </x:c>
      <x:c r="G19" s="39" t="n">
        <x:v>10.4815488246</x:v>
      </x:c>
      <x:c r="H19" s="39" t="n">
        <x:v>1.5104769e-16</x:v>
      </x:c>
      <x:c r="I19" s="31" t="n">
        <x:v>80</x:v>
      </x:c>
      <x:c r="J19" s="39" t="n">
        <x:v>0.5848035231</x:v>
      </x:c>
    </x:row>
    <x:row r="20" ht="19" customHeight="1">
      <x:c r="A20" s="30" t="str">
        <x:v>stagger_1</x:v>
      </x:c>
      <x:c r="B20" s="39" t="str">
        <x:v>DIS</x:v>
      </x:c>
      <x:c r="C20" s="39" t="str">
        <x:v>Other FX</x:v>
      </x:c>
      <x:c r="D20" s="39" t="str">
        <x:v>AUD/USD</x:v>
      </x:c>
      <x:c r="E20" s="39" t="n">
        <x:v>-0.0008654436</x:v>
      </x:c>
      <x:c r="F20" s="39" t="n">
        <x:v>0.9479898522</x:v>
      </x:c>
      <x:c r="G20" s="39" t="n">
        <x:v>2.2948408947</x:v>
      </x:c>
      <x:c r="H20" s="39" t="n">
        <x:v>0.0244313624</x:v>
      </x:c>
      <x:c r="I20" s="31" t="n">
        <x:v>80</x:v>
      </x:c>
      <x:c r="J20" s="39" t="n">
        <x:v>0.0632464162</x:v>
      </x:c>
    </x:row>
    <x:row r="21" ht="19" customHeight="1">
      <x:c r="A21" s="30" t="str">
        <x:v>stagger_1</x:v>
      </x:c>
      <x:c r="B21" s="39" t="str">
        <x:v>DIS</x:v>
      </x:c>
      <x:c r="C21" s="39" t="str">
        <x:v>SPY</x:v>
      </x:c>
      <x:c r="D21" s="39" t="str">
        <x:v>SPY</x:v>
      </x:c>
      <x:c r="E21" s="39" t="n">
        <x:v>-0.0140890588</x:v>
      </x:c>
      <x:c r="F21" s="39" t="n">
        <x:v>1.073991686</x:v>
      </x:c>
      <x:c r="G21" s="39" t="n">
        <x:v>5.7584095289</x:v>
      </x:c>
      <x:c r="H21" s="39" t="n">
        <x:v>1.603e-7</x:v>
      </x:c>
      <x:c r="I21" s="31" t="n">
        <x:v>80</x:v>
      </x:c>
      <x:c r="J21" s="39" t="n">
        <x:v>0.2983042011</x:v>
      </x:c>
    </x:row>
    <x:row r="22" ht="19" customHeight="1">
      <x:c r="A22" s="30" t="str">
        <x:v>stagger_1</x:v>
      </x:c>
      <x:c r="B22" s="39" t="str">
        <x:v>DIS</x:v>
      </x:c>
      <x:c r="C22" s="39" t="str">
        <x:v>Primary sector</x:v>
      </x:c>
      <x:c r="D22" s="39" t="str">
        <x:v>XLC</x:v>
      </x:c>
      <x:c r="E22" s="39" t="n">
        <x:v>3.469446952e-18</x:v>
      </x:c>
      <x:c r="F22" s="39" t="n">
        <x:v>0.4737290522</x:v>
      </x:c>
      <x:c r="G22" s="39" t="n">
        <x:v>1.7994931935</x:v>
      </x:c>
      <x:c r="H22" s="39" t="n">
        <x:v>0.0758079548</x:v>
      </x:c>
      <x:c r="I22" s="31" t="n">
        <x:v>80</x:v>
      </x:c>
      <x:c r="J22" s="39" t="n">
        <x:v>0.0398602716</x:v>
      </x:c>
    </x:row>
    <x:row r="23" ht="19" customHeight="1">
      <x:c r="A23" s="30" t="str">
        <x:v>stagger_1</x:v>
      </x:c>
      <x:c r="B23" s="39" t="str">
        <x:v>DIS</x:v>
      </x:c>
      <x:c r="C23" s="39" t="str">
        <x:v>Other sectors</x:v>
      </x:c>
      <x:c r="D23" s="39" t="str">
        <x:v>XLV</x:v>
      </x:c>
      <x:c r="E23" s="39" t="n">
        <x:v>-8.67361738e-19</x:v>
      </x:c>
      <x:c r="F23" s="39" t="n">
        <x:v>-0.5348522321</x:v>
      </x:c>
      <x:c r="G23" s="39" t="n">
        <x:v>-2.6188619169</x:v>
      </x:c>
      <x:c r="H23" s="39" t="n">
        <x:v>0.0105963209</x:v>
      </x:c>
      <x:c r="I23" s="31" t="n">
        <x:v>80</x:v>
      </x:c>
      <x:c r="J23" s="39" t="n">
        <x:v>0.0808221071</x:v>
      </x:c>
    </x:row>
    <x:row r="24" ht="19" customHeight="1">
      <x:c r="A24" s="30" t="str">
        <x:v>stagger_1</x:v>
      </x:c>
      <x:c r="B24" s="39" t="str">
        <x:v>DIS</x:v>
      </x:c>
      <x:c r="C24" s="39" t="str">
        <x:v>Other sectors</x:v>
      </x:c>
      <x:c r="D24" s="39" t="str">
        <x:v>XLF</x:v>
      </x:c>
      <x:c r="E24" s="39" t="n">
        <x:v>1.734723476e-18</x:v>
      </x:c>
      <x:c r="F24" s="39" t="n">
        <x:v>0.5308730159</x:v>
      </x:c>
      <x:c r="G24" s="39" t="n">
        <x:v>2.323750586</x:v>
      </x:c>
      <x:c r="H24" s="39" t="n">
        <x:v>0.0227442355</x:v>
      </x:c>
      <x:c r="I24" s="31" t="n">
        <x:v>80</x:v>
      </x:c>
      <x:c r="J24" s="39" t="n">
        <x:v>0.0647461469</x:v>
      </x:c>
    </x:row>
    <x:row r="25" ht="19" customHeight="1">
      <x:c r="A25" s="30" t="str">
        <x:v>stagger_1</x:v>
      </x:c>
      <x:c r="B25" s="39" t="str">
        <x:v>CMG</x:v>
      </x:c>
      <x:c r="C25" s="39" t="str">
        <x:v>Other FX</x:v>
      </x:c>
      <x:c r="D25" s="39" t="str">
        <x:v>AUD/USD</x:v>
      </x:c>
      <x:c r="E25" s="39" t="n">
        <x:v>0.0002701715</x:v>
      </x:c>
      <x:c r="F25" s="39" t="n">
        <x:v>1.0424836686</x:v>
      </x:c>
      <x:c r="G25" s="39" t="n">
        <x:v>2.0309716661</x:v>
      </x:c>
      <x:c r="H25" s="39" t="n">
        <x:v>0.0456650824</x:v>
      </x:c>
      <x:c r="I25" s="31" t="n">
        <x:v>80</x:v>
      </x:c>
      <x:c r="J25" s="39" t="n">
        <x:v>0.0502265284</x:v>
      </x:c>
    </x:row>
    <x:row r="26" ht="19" customHeight="1">
      <x:c r="A26" s="30" t="str">
        <x:v>stagger_1</x:v>
      </x:c>
      <x:c r="B26" s="39" t="str">
        <x:v>CMG</x:v>
      </x:c>
      <x:c r="C26" s="39" t="str">
        <x:v>SPY</x:v>
      </x:c>
      <x:c r="D26" s="39" t="str">
        <x:v>SPY</x:v>
      </x:c>
      <x:c r="E26" s="39" t="n">
        <x:v>-0.0086322204</x:v>
      </x:c>
      <x:c r="F26" s="39" t="n">
        <x:v>0.6580235836</x:v>
      </x:c>
      <x:c r="G26" s="39" t="n">
        <x:v>2.4697504651</x:v>
      </x:c>
      <x:c r="H26" s="39" t="n">
        <x:v>0.0157048213</x:v>
      </x:c>
      <x:c r="I26" s="31" t="n">
        <x:v>80</x:v>
      </x:c>
      <x:c r="J26" s="39" t="n">
        <x:v>0.0725290308</x:v>
      </x:c>
    </x:row>
    <x:row r="27" ht="19" customHeight="1">
      <x:c r="A27" s="30" t="str">
        <x:v>stagger_1</x:v>
      </x:c>
      <x:c r="B27" s="39" t="str">
        <x:v>CMG</x:v>
      </x:c>
      <x:c r="C27" s="39" t="str">
        <x:v>Primary sector</x:v>
      </x:c>
      <x:c r="D27" s="39" t="str">
        <x:v>XLY</x:v>
      </x:c>
      <x:c r="E27" s="39" t="n">
        <x:v>3.469446952e-18</x:v>
      </x:c>
      <x:c r="F27" s="39" t="n">
        <x:v>0.531742343</x:v>
      </x:c>
      <x:c r="G27" s="39" t="n">
        <x:v>1.4592011345</x:v>
      </x:c>
      <x:c r="H27" s="39" t="n">
        <x:v>0.1485253512</x:v>
      </x:c>
      <x:c r="I27" s="31" t="n">
        <x:v>80</x:v>
      </x:c>
      <x:c r="J27" s="39" t="n">
        <x:v>0.0265729116</x:v>
      </x:c>
    </x:row>
    <x:row r="28" ht="19" customHeight="1">
      <x:c r="A28" s="30" t="str">
        <x:v>stagger_1</x:v>
      </x:c>
      <x:c r="B28" s="39" t="str">
        <x:v>CMG</x:v>
      </x:c>
      <x:c r="C28" s="39" t="str">
        <x:v>Other sectors</x:v>
      </x:c>
      <x:c r="D28" s="39" t="str">
        <x:v>XLE</x:v>
      </x:c>
      <x:c r="E28" s="39" t="n">
        <x:v>8.67361738e-19</x:v>
      </x:c>
      <x:c r="F28" s="39" t="n">
        <x:v>-0.3247562354</x:v>
      </x:c>
      <x:c r="G28" s="39" t="n">
        <x:v>-2.2383440814</x:v>
      </x:c>
      <x:c r="H28" s="39" t="n">
        <x:v>0.0280501307</x:v>
      </x:c>
      <x:c r="I28" s="31" t="n">
        <x:v>80</x:v>
      </x:c>
      <x:c r="J28" s="39" t="n">
        <x:v>0.0603562596</x:v>
      </x:c>
    </x:row>
    <x:row r="29" ht="19" customHeight="1">
      <x:c r="A29" s="30" t="str">
        <x:v>stagger_1</x:v>
      </x:c>
      <x:c r="B29" s="39" t="str">
        <x:v>AMZN</x:v>
      </x:c>
      <x:c r="C29" s="39" t="str">
        <x:v>SPY</x:v>
      </x:c>
      <x:c r="D29" s="39" t="str">
        <x:v>SPY</x:v>
      </x:c>
      <x:c r="E29" s="39" t="n">
        <x:v>-0.0109944072</x:v>
      </x:c>
      <x:c r="F29" s="39" t="n">
        <x:v>1.619582955</x:v>
      </x:c>
      <x:c r="G29" s="39" t="n">
        <x:v>9.1820265138</x:v>
      </x:c>
      <x:c r="H29" s="39" t="n">
        <x:v>0</x:v>
      </x:c>
      <x:c r="I29" s="31" t="n">
        <x:v>80</x:v>
      </x:c>
      <x:c r="J29" s="39" t="n">
        <x:v>0.5194369602</x:v>
      </x:c>
    </x:row>
    <x:row r="30" ht="19" customHeight="1">
      <x:c r="A30" s="30" t="str">
        <x:v>stagger_1</x:v>
      </x:c>
      <x:c r="B30" s="39" t="str">
        <x:v>AMZN</x:v>
      </x:c>
      <x:c r="C30" s="39" t="str">
        <x:v>Primary sector</x:v>
      </x:c>
      <x:c r="D30" s="39" t="str">
        <x:v>XLY</x:v>
      </x:c>
      <x:c r="E30" s="39" t="n">
        <x:v>4.33680869e-19</x:v>
      </x:c>
      <x:c r="F30" s="39" t="n">
        <x:v>1.0478558483</x:v>
      </x:c>
      <x:c r="G30" s="39" t="n">
        <x:v>4.9010166723</x:v>
      </x:c>
      <x:c r="H30" s="39" t="n">
        <x:v>0.0000050742</x:v>
      </x:c>
      <x:c r="I30" s="31" t="n">
        <x:v>80</x:v>
      </x:c>
      <x:c r="J30" s="39" t="n">
        <x:v>0.235443764</x:v>
      </x:c>
    </x:row>
    <x:row r="31" ht="19" customHeight="1">
      <x:c r="A31" s="30" t="str">
        <x:v>stagger_1</x:v>
      </x:c>
      <x:c r="B31" s="39" t="str">
        <x:v>AMZN</x:v>
      </x:c>
      <x:c r="C31" s="39" t="str">
        <x:v>Other sectors</x:v>
      </x:c>
      <x:c r="D31" s="39" t="str">
        <x:v>XLB</x:v>
      </x:c>
      <x:c r="E31" s="39" t="n">
        <x:v>2.168404345e-18</x:v>
      </x:c>
      <x:c r="F31" s="39" t="n">
        <x:v>-0.7565963893</x:v>
      </x:c>
      <x:c r="G31" s="39" t="n">
        <x:v>-5.4751388885</x:v>
      </x:c>
      <x:c r="H31" s="39" t="n">
        <x:v>5.145e-7</x:v>
      </x:c>
      <x:c r="I31" s="31" t="n">
        <x:v>80</x:v>
      </x:c>
      <x:c r="J31" s="39" t="n">
        <x:v>0.2776249142</x:v>
      </x:c>
    </x:row>
    <x:row r="32" ht="19" customHeight="1">
      <x:c r="A32" s="30" t="str">
        <x:v>stagger_1</x:v>
      </x:c>
      <x:c r="B32" s="39" t="str">
        <x:v>FIX</x:v>
      </x:c>
      <x:c r="C32" s="39" t="str">
        <x:v>Other FX</x:v>
      </x:c>
      <x:c r="D32" s="39" t="str">
        <x:v>AUD/USD</x:v>
      </x:c>
      <x:c r="E32" s="39" t="n">
        <x:v>0.0507456924</x:v>
      </x:c>
      <x:c r="F32" s="39" t="n">
        <x:v>1.5698075109</x:v>
      </x:c>
      <x:c r="G32" s="39" t="n">
        <x:v>2.7081551403</x:v>
      </x:c>
      <x:c r="H32" s="39" t="n">
        <x:v>0.0083117249</x:v>
      </x:c>
      <x:c r="I32" s="31" t="n">
        <x:v>80</x:v>
      </x:c>
      <x:c r="J32" s="39" t="n">
        <x:v>0.0859457579</x:v>
      </x:c>
    </x:row>
    <x:row r="33" ht="19" customHeight="1">
      <x:c r="A33" s="30" t="str">
        <x:v>stagger_1</x:v>
      </x:c>
      <x:c r="B33" s="39" t="str">
        <x:v>FIX</x:v>
      </x:c>
      <x:c r="C33" s="39" t="str">
        <x:v>SPY</x:v>
      </x:c>
      <x:c r="D33" s="39" t="str">
        <x:v>SPY</x:v>
      </x:c>
      <x:c r="E33" s="39" t="n">
        <x:v>-0.0152747568</x:v>
      </x:c>
      <x:c r="F33" s="39" t="n">
        <x:v>1.1643759965</x:v>
      </x:c>
      <x:c r="G33" s="39" t="n">
        <x:v>4.1108458883</x:v>
      </x:c>
      <x:c r="H33" s="39" t="n">
        <x:v>0.0000967009</x:v>
      </x:c>
      <x:c r="I33" s="31" t="n">
        <x:v>80</x:v>
      </x:c>
      <x:c r="J33" s="39" t="n">
        <x:v>0.1780739978</x:v>
      </x:c>
    </x:row>
    <x:row r="34" ht="19" customHeight="1">
      <x:c r="A34" s="30" t="str">
        <x:v>stagger_1</x:v>
      </x:c>
      <x:c r="B34" s="39" t="str">
        <x:v>FIX</x:v>
      </x:c>
      <x:c r="C34" s="39" t="str">
        <x:v>Primary sector</x:v>
      </x:c>
      <x:c r="D34" s="39" t="str">
        <x:v>XLI</x:v>
      </x:c>
      <x:c r="E34" s="39" t="n">
        <x:v>5.204170428e-18</x:v>
      </x:c>
      <x:c r="F34" s="39" t="n">
        <x:v>0.6939572444</x:v>
      </x:c>
      <x:c r="G34" s="39" t="n">
        <x:v>1.7594840809</x:v>
      </x:c>
      <x:c r="H34" s="39" t="n">
        <x:v>0.0824164644</x:v>
      </x:c>
      <x:c r="I34" s="31" t="n">
        <x:v>80</x:v>
      </x:c>
      <x:c r="J34" s="39" t="n">
        <x:v>0.0381744163</x:v>
      </x:c>
    </x:row>
    <x:row r="35" ht="19" customHeight="1">
      <x:c r="A35" s="30" t="str">
        <x:v>stagger_1</x:v>
      </x:c>
      <x:c r="B35" s="39" t="str">
        <x:v>FIX</x:v>
      </x:c>
      <x:c r="C35" s="39" t="str">
        <x:v>Other sectors</x:v>
      </x:c>
      <x:c r="D35" s="39" t="str">
        <x:v>XLRE</x:v>
      </x:c>
      <x:c r="E35" s="39" t="n">
        <x:v>-1.734723476e-18</x:v>
      </x:c>
      <x:c r="F35" s="39" t="n">
        <x:v>-1.0520538314</x:v>
      </x:c>
      <x:c r="G35" s="39" t="n">
        <x:v>-3.5281926555</x:v>
      </x:c>
      <x:c r="H35" s="39" t="n">
        <x:v>0.0007048511</x:v>
      </x:c>
      <x:c r="I35" s="31" t="n">
        <x:v>80</x:v>
      </x:c>
      <x:c r="J35" s="39" t="n">
        <x:v>0.1376274067</x:v>
      </x:c>
    </x:row>
    <x:row r="36" ht="19" customHeight="1">
      <x:c r="A36" s="30" t="str">
        <x:v>stagger_1</x:v>
      </x:c>
      <x:c r="B36" s="39" t="str">
        <x:v>FIX</x:v>
      </x:c>
      <x:c r="C36" s="39" t="str">
        <x:v>Other sectors</x:v>
      </x:c>
      <x:c r="D36" s="39" t="str">
        <x:v>XLF</x:v>
      </x:c>
      <x:c r="E36" s="39" t="n">
        <x:v>1.301042607e-18</x:v>
      </x:c>
      <x:c r="F36" s="39" t="n">
        <x:v>-0.7893127305</x:v>
      </x:c>
      <x:c r="G36" s="39" t="n">
        <x:v>-2.3483029644</x:v>
      </x:c>
      <x:c r="H36" s="39" t="n">
        <x:v>0.0213932859</x:v>
      </x:c>
      <x:c r="I36" s="31" t="n">
        <x:v>80</x:v>
      </x:c>
      <x:c r="J36" s="39" t="n">
        <x:v>0.0660307497</x:v>
      </x:c>
    </x:row>
    <x:row r="37" ht="19" customHeight="1">
      <x:c r="A37" s="30" t="str">
        <x:v>stagger_1</x:v>
      </x:c>
      <x:c r="B37" s="39" t="str">
        <x:v>STX</x:v>
      </x:c>
      <x:c r="C37" s="39" t="str">
        <x:v>Home FX</x:v>
      </x:c>
      <x:c r="D37" s="39" t="str">
        <x:v>SGD/USD</x:v>
      </x:c>
      <x:c r="E37" s="39" t="n">
        <x:v>0.0473441236</x:v>
      </x:c>
      <x:c r="F37" s="39" t="n">
        <x:v>3.8723524064</x:v>
      </x:c>
      <x:c r="G37" s="39" t="n">
        <x:v>2.4009868198</x:v>
      </x:c>
      <x:c r="H37" s="39" t="n">
        <x:v>0.0187323289</x:v>
      </x:c>
      <x:c r="I37" s="31" t="n">
        <x:v>80</x:v>
      </x:c>
      <x:c r="J37" s="39" t="n">
        <x:v>0.0688205785</x:v>
      </x:c>
    </x:row>
    <x:row r="38" ht="19" customHeight="1">
      <x:c r="A38" s="30" t="str">
        <x:v>stagger_1</x:v>
      </x:c>
      <x:c r="B38" s="39" t="str">
        <x:v>STX</x:v>
      </x:c>
      <x:c r="C38" s="39" t="str">
        <x:v>SPY</x:v>
      </x:c>
      <x:c r="D38" s="39" t="str">
        <x:v>SPY</x:v>
      </x:c>
      <x:c r="E38" s="39" t="n">
        <x:v>-0.0275072495</x:v>
      </x:c>
      <x:c r="F38" s="39" t="n">
        <x:v>2.0968439244</x:v>
      </x:c>
      <x:c r="G38" s="39" t="n">
        <x:v>5.3348926549</x:v>
      </x:c>
      <x:c r="H38" s="39" t="n">
        <x:v>9.087e-7</x:v>
      </x:c>
      <x:c r="I38" s="31" t="n">
        <x:v>80</x:v>
      </x:c>
      <x:c r="J38" s="39" t="n">
        <x:v>0.2673378829</x:v>
      </x:c>
    </x:row>
    <x:row r="39" ht="19" customHeight="1">
      <x:c r="A39" s="30" t="str">
        <x:v>stagger_1</x:v>
      </x:c>
      <x:c r="B39" s="39" t="str">
        <x:v>STX</x:v>
      </x:c>
      <x:c r="C39" s="39" t="str">
        <x:v>Primary sector</x:v>
      </x:c>
      <x:c r="D39" s="39" t="str">
        <x:v>XLK</x:v>
      </x:c>
      <x:c r="E39" s="39" t="n">
        <x:v>0</x:v>
      </x:c>
      <x:c r="F39" s="39" t="n">
        <x:v>2.5292281295</x:v>
      </x:c>
      <x:c r="G39" s="39" t="n">
        <x:v>6.2281690876</x:v>
      </x:c>
      <x:c r="H39" s="39" t="n">
        <x:v>2.22e-8</x:v>
      </x:c>
      <x:c r="I39" s="31" t="n">
        <x:v>80</x:v>
      </x:c>
      <x:c r="J39" s="39" t="n">
        <x:v>0.3321351163</x:v>
      </x:c>
    </x:row>
    <x:row r="40" ht="19" customHeight="1">
      <x:c r="A40" s="30" t="str">
        <x:v>stagger_1</x:v>
      </x:c>
      <x:c r="B40" s="39" t="str">
        <x:v>STX</x:v>
      </x:c>
      <x:c r="C40" s="39" t="str">
        <x:v>Other sectors</x:v>
      </x:c>
      <x:c r="D40" s="39" t="str">
        <x:v>XLE</x:v>
      </x:c>
      <x:c r="E40" s="39" t="n">
        <x:v>-6.505213035e-18</x:v>
      </x:c>
      <x:c r="F40" s="39" t="n">
        <x:v>0.4248873268</x:v>
      </x:c>
      <x:c r="G40" s="39" t="n">
        <x:v>2.4079663841</x:v>
      </x:c>
      <x:c r="H40" s="39" t="n">
        <x:v>0.018402898</x:v>
      </x:c>
      <x:c r="I40" s="31" t="n">
        <x:v>80</x:v>
      </x:c>
      <x:c r="J40" s="39" t="n">
        <x:v>0.0691935512</x:v>
      </x:c>
    </x:row>
    <x:row r="41" ht="19" customHeight="1">
      <x:c r="A41" s="30" t="str">
        <x:v>stagger_1</x:v>
      </x:c>
      <x:c r="B41" s="39" t="str">
        <x:v>VLO</x:v>
      </x:c>
      <x:c r="C41" s="39" t="str">
        <x:v>SPY</x:v>
      </x:c>
      <x:c r="D41" s="39" t="str">
        <x:v>SPY</x:v>
      </x:c>
      <x:c r="E41" s="39" t="n">
        <x:v>0.0294052553</x:v>
      </x:c>
      <x:c r="F41" s="39" t="n">
        <x:v>-0.076131771</x:v>
      </x:c>
      <x:c r="G41" s="39" t="n">
        <x:v>-0.2497983861</x:v>
      </x:c>
      <x:c r="H41" s="39" t="n">
        <x:v>0.8033999766</x:v>
      </x:c>
      <x:c r="I41" s="31" t="n">
        <x:v>80</x:v>
      </x:c>
      <x:c r="J41" s="39" t="n">
        <x:v>0.0007993507</x:v>
      </x:c>
    </x:row>
    <x:row r="42" ht="19" customHeight="1">
      <x:c r="A42" s="30" t="str">
        <x:v>stagger_1</x:v>
      </x:c>
      <x:c r="B42" s="39" t="str">
        <x:v>VLO</x:v>
      </x:c>
      <x:c r="C42" s="39" t="str">
        <x:v>Primary sector</x:v>
      </x:c>
      <x:c r="D42" s="39" t="str">
        <x:v>XLE</x:v>
      </x:c>
      <x:c r="E42" s="39" t="n">
        <x:v>-4.33680869e-18</x:v>
      </x:c>
      <x:c r="F42" s="39" t="n">
        <x:v>1.1936531674</x:v>
      </x:c>
      <x:c r="G42" s="39" t="n">
        <x:v>10.9664762889</x:v>
      </x:c>
      <x:c r="H42" s="39" t="n">
        <x:v>1.814737822e-17</x:v>
      </x:c>
      <x:c r="I42" s="31" t="n">
        <x:v>80</x:v>
      </x:c>
      <x:c r="J42" s="39" t="n">
        <x:v>0.6065843698</x:v>
      </x:c>
    </x:row>
    <x:row r="43" ht="19" customHeight="1">
      <x:c r="A43" s="30" t="str">
        <x:v>stagger_1</x:v>
      </x:c>
      <x:c r="B43" s="39" t="str">
        <x:v>CF</x:v>
      </x:c>
      <x:c r="C43" s="39" t="str">
        <x:v>SPY</x:v>
      </x:c>
      <x:c r="D43" s="39" t="str">
        <x:v>SPY</x:v>
      </x:c>
      <x:c r="E43" s="39" t="n">
        <x:v>0.0244497447</x:v>
      </x:c>
      <x:c r="F43" s="39" t="n">
        <x:v>-0.5471035191</x:v>
      </x:c>
      <x:c r="G43" s="39" t="n">
        <x:v>-1.9013366418</x:v>
      </x:c>
      <x:c r="H43" s="39" t="n">
        <x:v>0.0609510862</x:v>
      </x:c>
      <x:c r="I43" s="31" t="n">
        <x:v>80</x:v>
      </x:c>
      <x:c r="J43" s="39" t="n">
        <x:v>0.0442942772</x:v>
      </x:c>
    </x:row>
    <x:row r="44" ht="19" customHeight="1">
      <x:c r="A44" s="30" t="str">
        <x:v>stagger_1</x:v>
      </x:c>
      <x:c r="B44" s="39" t="str">
        <x:v>CF</x:v>
      </x:c>
      <x:c r="C44" s="39" t="str">
        <x:v>Primary sector</x:v>
      </x:c>
      <x:c r="D44" s="39" t="str">
        <x:v>XLB</x:v>
      </x:c>
      <x:c r="E44" s="39" t="n">
        <x:v>-8.67361738e-19</x:v>
      </x:c>
      <x:c r="F44" s="39" t="n">
        <x:v>0.542818749</x:v>
      </x:c>
      <x:c r="G44" s="39" t="n">
        <x:v>1.8273803121</x:v>
      </x:c>
      <x:c r="H44" s="39" t="n">
        <x:v>0.0714672652</x:v>
      </x:c>
      <x:c r="I44" s="31" t="n">
        <x:v>80</x:v>
      </x:c>
      <x:c r="J44" s="39" t="n">
        <x:v>0.0410541772</x:v>
      </x:c>
    </x:row>
    <x:row r="45" ht="19" customHeight="1">
      <x:c r="A45" s="30" t="str">
        <x:v>stagger_1</x:v>
      </x:c>
      <x:c r="B45" s="39" t="str">
        <x:v>CF</x:v>
      </x:c>
      <x:c r="C45" s="39" t="str">
        <x:v>Other sectors</x:v>
      </x:c>
      <x:c r="D45" s="39" t="str">
        <x:v>XLE</x:v>
      </x:c>
      <x:c r="E45" s="39" t="n">
        <x:v>-1.734723476e-18</x:v>
      </x:c>
      <x:c r="F45" s="39" t="n">
        <x:v>0.7883357645</x:v>
      </x:c>
      <x:c r="G45" s="39" t="n">
        <x:v>5.9131732161</x:v>
      </x:c>
      <x:c r="H45" s="39" t="n">
        <x:v>8.41e-8</x:v>
      </x:c>
      <x:c r="I45" s="31" t="n">
        <x:v>80</x:v>
      </x:c>
      <x:c r="J45" s="39" t="n">
        <x:v>0.3095244222</x:v>
      </x:c>
    </x:row>
    <x:row r="46" ht="19" customHeight="1">
      <x:c r="A46" s="30" t="str">
        <x:v>stagger_1</x:v>
      </x:c>
      <x:c r="B46" s="39" t="str">
        <x:v>CF</x:v>
      </x:c>
      <x:c r="C46" s="39" t="str">
        <x:v>Other sectors</x:v>
      </x:c>
      <x:c r="D46" s="39" t="str">
        <x:v>XLY</x:v>
      </x:c>
      <x:c r="E46" s="39" t="n">
        <x:v>3.252606517e-18</x:v>
      </x:c>
      <x:c r="F46" s="39" t="n">
        <x:v>0.7381341388</x:v>
      </x:c>
      <x:c r="G46" s="39" t="n">
        <x:v>2.3534457301</x:v>
      </x:c>
      <x:c r="H46" s="39" t="n">
        <x:v>0.0211195059</x:v>
      </x:c>
      <x:c r="I46" s="31" t="n">
        <x:v>80</x:v>
      </x:c>
      <x:c r="J46" s="39" t="n">
        <x:v>0.0663010838</x:v>
      </x:c>
    </x:row>
    <x:row r="47" ht="19" customHeight="1">
      <x:c r="A47" s="30" t="str">
        <x:v>stagger_1</x:v>
      </x:c>
      <x:c r="B47" s="39" t="str">
        <x:v>NTR</x:v>
      </x:c>
      <x:c r="C47" s="39" t="str">
        <x:v>Home FX</x:v>
      </x:c>
      <x:c r="D47" s="39" t="str">
        <x:v>CAD/USD</x:v>
      </x:c>
      <x:c r="E47" s="39" t="n">
        <x:v>0.0101899771</x:v>
      </x:c>
      <x:c r="F47" s="39" t="n">
        <x:v>1.8947299428</x:v>
      </x:c>
      <x:c r="G47" s="39" t="n">
        <x:v>3.5271035928</x:v>
      </x:c>
      <x:c r="H47" s="39" t="n">
        <x:v>0.0007073531</x:v>
      </x:c>
      <x:c r="I47" s="31" t="n">
        <x:v>80</x:v>
      </x:c>
      <x:c r="J47" s="39" t="n">
        <x:v>0.137554141</x:v>
      </x:c>
    </x:row>
    <x:row r="48" ht="19" customHeight="1">
      <x:c r="A48" s="30" t="str">
        <x:v>stagger_1</x:v>
      </x:c>
      <x:c r="B48" s="39" t="str">
        <x:v>NTR</x:v>
      </x:c>
      <x:c r="C48" s="39" t="str">
        <x:v>Other FX</x:v>
      </x:c>
      <x:c r="D48" s="39" t="str">
        <x:v>AUD/USD</x:v>
      </x:c>
      <x:c r="E48" s="39" t="n">
        <x:v>-0.0005025642</x:v>
      </x:c>
      <x:c r="F48" s="39" t="n">
        <x:v>0.692553488</x:v>
      </x:c>
      <x:c r="G48" s="39" t="n">
        <x:v>2.0019461167</x:v>
      </x:c>
      <x:c r="H48" s="39" t="n">
        <x:v>0.0487670578</x:v>
      </x:c>
      <x:c r="I48" s="31" t="n">
        <x:v>80</x:v>
      </x:c>
      <x:c r="J48" s="39" t="n">
        <x:v>0.0488708248</x:v>
      </x:c>
    </x:row>
    <x:row r="49" ht="19" customHeight="1">
      <x:c r="A49" s="30" t="str">
        <x:v>stagger_1</x:v>
      </x:c>
      <x:c r="B49" s="39" t="str">
        <x:v>NTR</x:v>
      </x:c>
      <x:c r="C49" s="39" t="str">
        <x:v>SPY</x:v>
      </x:c>
      <x:c r="D49" s="39" t="str">
        <x:v>SPY</x:v>
      </x:c>
      <x:c r="E49" s="39" t="n">
        <x:v>0.0033682057</x:v>
      </x:c>
      <x:c r="F49" s="39" t="n">
        <x:v>-0.2567541963</x:v>
      </x:c>
      <x:c r="G49" s="39" t="n">
        <x:v>-1.3940808483</x:v>
      </x:c>
      <x:c r="H49" s="39" t="n">
        <x:v>0.1672519204</x:v>
      </x:c>
      <x:c r="I49" s="31" t="n">
        <x:v>80</x:v>
      </x:c>
      <x:c r="J49" s="39" t="n">
        <x:v>0.0243104486</x:v>
      </x:c>
    </x:row>
    <x:row r="50" ht="19" customHeight="1">
      <x:c r="A50" s="30" t="str">
        <x:v>stagger_1</x:v>
      </x:c>
      <x:c r="B50" s="39" t="str">
        <x:v>NTR</x:v>
      </x:c>
      <x:c r="C50" s="39" t="str">
        <x:v>Primary sector</x:v>
      </x:c>
      <x:c r="D50" s="39" t="str">
        <x:v>XLB</x:v>
      </x:c>
      <x:c r="E50" s="39" t="n">
        <x:v>0</x:v>
      </x:c>
      <x:c r="F50" s="39" t="n">
        <x:v>0.4135667199</x:v>
      </x:c>
      <x:c r="G50" s="39" t="n">
        <x:v>2.1948831833</x:v>
      </x:c>
      <x:c r="H50" s="39" t="n">
        <x:v>0.0311463786</x:v>
      </x:c>
      <x:c r="I50" s="31" t="n">
        <x:v>80</x:v>
      </x:c>
      <x:c r="J50" s="39" t="n">
        <x:v>0.0581702114</x:v>
      </x:c>
    </x:row>
    <x:row r="51" ht="19" customHeight="1">
      <x:c r="A51" s="30" t="str">
        <x:v>stagger_1</x:v>
      </x:c>
      <x:c r="B51" s="39" t="str">
        <x:v>NTR</x:v>
      </x:c>
      <x:c r="C51" s="39" t="str">
        <x:v>Other sectors</x:v>
      </x:c>
      <x:c r="D51" s="39" t="str">
        <x:v>XLE</x:v>
      </x:c>
      <x:c r="E51" s="39" t="n">
        <x:v>0</x:v>
      </x:c>
      <x:c r="F51" s="39" t="n">
        <x:v>0.2836153616</x:v>
      </x:c>
      <x:c r="G51" s="39" t="n">
        <x:v>2.9368333707</x:v>
      </x:c>
      <x:c r="H51" s="39" t="n">
        <x:v>0.0043567813</x:v>
      </x:c>
      <x:c r="I51" s="31" t="n">
        <x:v>80</x:v>
      </x:c>
      <x:c r="J51" s="39" t="n">
        <x:v>0.0995669982</x:v>
      </x:c>
    </x:row>
    <x:row r="52" ht="19" customHeight="1">
      <x:c r="A52" s="30" t="str">
        <x:v>stagger_1</x:v>
      </x:c>
      <x:c r="B52" s="39" t="str">
        <x:v>LNN</x:v>
      </x:c>
      <x:c r="C52" s="39" t="str">
        <x:v>Other FX</x:v>
      </x:c>
      <x:c r="D52" s="39" t="str">
        <x:v>AUD/USD</x:v>
      </x:c>
      <x:c r="E52" s="39" t="n">
        <x:v>0.0005106254</x:v>
      </x:c>
      <x:c r="F52" s="39" t="n">
        <x:v>1.0972713827</x:v>
      </x:c>
      <x:c r="G52" s="39" t="n">
        <x:v>3.0161724944</x:v>
      </x:c>
      <x:c r="H52" s="39" t="n">
        <x:v>0.0034547407</x:v>
      </x:c>
      <x:c r="I52" s="31" t="n">
        <x:v>80</x:v>
      </x:c>
      <x:c r="J52" s="39" t="n">
        <x:v>0.1044498151</x:v>
      </x:c>
    </x:row>
    <x:row r="53" ht="19" customHeight="1">
      <x:c r="A53" s="30" t="str">
        <x:v>stagger_1</x:v>
      </x:c>
      <x:c r="B53" s="39" t="str">
        <x:v>LNN</x:v>
      </x:c>
      <x:c r="C53" s="39" t="str">
        <x:v>SPY</x:v>
      </x:c>
      <x:c r="D53" s="39" t="str">
        <x:v>SPY</x:v>
      </x:c>
      <x:c r="E53" s="39" t="n">
        <x:v>-0.002114733</x:v>
      </x:c>
      <x:c r="F53" s="39" t="n">
        <x:v>0.1612035091</x:v>
      </x:c>
      <x:c r="G53" s="39" t="n">
        <x:v>0.8257216565</x:v>
      </x:c>
      <x:c r="H53" s="39" t="n">
        <x:v>0.4114804605</x:v>
      </x:c>
      <x:c r="I53" s="31" t="n">
        <x:v>80</x:v>
      </x:c>
      <x:c r="J53" s="39" t="n">
        <x:v>0.008665487</x:v>
      </x:c>
    </x:row>
    <x:row r="54" ht="19" customHeight="1">
      <x:c r="A54" s="30" t="str">
        <x:v>stagger_1</x:v>
      </x:c>
      <x:c r="B54" s="39" t="str">
        <x:v>LNN</x:v>
      </x:c>
      <x:c r="C54" s="39" t="str">
        <x:v>Primary sector</x:v>
      </x:c>
      <x:c r="D54" s="39" t="str">
        <x:v>XLI</x:v>
      </x:c>
      <x:c r="E54" s="39" t="n">
        <x:v>2.168404345e-18</x:v>
      </x:c>
      <x:c r="F54" s="39" t="n">
        <x:v>0.8872330192</x:v>
      </x:c>
      <x:c r="G54" s="39" t="n">
        <x:v>3.4342895638</x:v>
      </x:c>
      <x:c r="H54" s="39" t="n">
        <x:v>0.0009543642</x:v>
      </x:c>
      <x:c r="I54" s="31" t="n">
        <x:v>80</x:v>
      </x:c>
      <x:c r="J54" s="39" t="n">
        <x:v>0.1313484144</x:v>
      </x:c>
    </x:row>
    <x:row r="55" ht="19" customHeight="1">
      <x:c r="A55" s="30" t="str">
        <x:v>stagger_1</x:v>
      </x:c>
      <x:c r="B55" s="39" t="str">
        <x:v>WDC</x:v>
      </x:c>
      <x:c r="C55" s="39" t="str">
        <x:v>Other FX</x:v>
      </x:c>
      <x:c r="D55" s="39" t="str">
        <x:v>AUD/USD</x:v>
      </x:c>
      <x:c r="E55" s="39" t="n">
        <x:v>0.0465843048</x:v>
      </x:c>
      <x:c r="F55" s="39" t="n">
        <x:v>1.8996132701</x:v>
      </x:c>
      <x:c r="G55" s="39" t="n">
        <x:v>2.0854923087</x:v>
      </x:c>
      <x:c r="H55" s="39" t="n">
        <x:v>0.0402948244</x:v>
      </x:c>
      <x:c r="I55" s="31" t="n">
        <x:v>80</x:v>
      </x:c>
      <x:c r="J55" s="39" t="n">
        <x:v>0.0528150127</x:v>
      </x:c>
    </x:row>
    <x:row r="56" ht="19" customHeight="1">
      <x:c r="A56" s="30" t="str">
        <x:v>stagger_1</x:v>
      </x:c>
      <x:c r="B56" s="39" t="str">
        <x:v>WDC</x:v>
      </x:c>
      <x:c r="C56" s="39" t="str">
        <x:v>SPY</x:v>
      </x:c>
      <x:c r="D56" s="39" t="str">
        <x:v>SPY</x:v>
      </x:c>
      <x:c r="E56" s="39" t="n">
        <x:v>-0.0208820274</x:v>
      </x:c>
      <x:c r="F56" s="39" t="n">
        <x:v>1.5918113638</x:v>
      </x:c>
      <x:c r="G56" s="39" t="n">
        <x:v>3.4857740506</x:v>
      </x:c>
      <x:c r="H56" s="39" t="n">
        <x:v>0.0008087627</x:v>
      </x:c>
      <x:c r="I56" s="31" t="n">
        <x:v>80</x:v>
      </x:c>
      <x:c r="J56" s="39" t="n">
        <x:v>0.1347813319</x:v>
      </x:c>
    </x:row>
    <x:row r="57" ht="19" customHeight="1">
      <x:c r="A57" s="30" t="str">
        <x:v>stagger_1</x:v>
      </x:c>
      <x:c r="B57" s="39" t="str">
        <x:v>WDC</x:v>
      </x:c>
      <x:c r="C57" s="39" t="str">
        <x:v>Primary sector</x:v>
      </x:c>
      <x:c r="D57" s="39" t="str">
        <x:v>XLK</x:v>
      </x:c>
      <x:c r="E57" s="39" t="n">
        <x:v>5.204170428e-18</x:v>
      </x:c>
      <x:c r="F57" s="39" t="n">
        <x:v>2.5892410487</x:v>
      </x:c>
      <x:c r="G57" s="39" t="n">
        <x:v>5.2058733224</x:v>
      </x:c>
      <x:c r="H57" s="39" t="n">
        <x:v>0.0000015253</x:v>
      </x:c>
      <x:c r="I57" s="31" t="n">
        <x:v>80</x:v>
      </x:c>
      <x:c r="J57" s="39" t="n">
        <x:v>0.2578575548</x:v>
      </x:c>
    </x:row>
    <x:row r="58" ht="19" customHeight="1">
      <x:c r="A58" s="30" t="str">
        <x:v>stagger_1</x:v>
      </x:c>
      <x:c r="B58" s="39" t="str">
        <x:v>WDC</x:v>
      </x:c>
      <x:c r="C58" s="39" t="str">
        <x:v>Other sectors</x:v>
      </x:c>
      <x:c r="D58" s="39" t="str">
        <x:v>XLI</x:v>
      </x:c>
      <x:c r="E58" s="39" t="n">
        <x:v>-7.806255642e-18</x:v>
      </x:c>
      <x:c r="F58" s="39" t="n">
        <x:v>1.735408514</x:v>
      </x:c>
      <x:c r="G58" s="39" t="n">
        <x:v>3.3190650583</x:v>
      </x:c>
      <x:c r="H58" s="39" t="n">
        <x:v>0.0013747052</x:v>
      </x:c>
      <x:c r="I58" s="31" t="n">
        <x:v>80</x:v>
      </x:c>
      <x:c r="J58" s="39" t="n">
        <x:v>0.1237549316</x:v>
      </x:c>
    </x:row>
    <x:row r="59" ht="19" customHeight="1">
      <x:c r="A59" s="30" t="str">
        <x:v>stagger_1</x:v>
      </x:c>
      <x:c r="B59" s="39" t="str">
        <x:v>ASND</x:v>
      </x:c>
      <x:c r="C59" s="39" t="str">
        <x:v>Home FX</x:v>
      </x:c>
      <x:c r="D59" s="39" t="str">
        <x:v>DKK/USD</x:v>
      </x:c>
      <x:c r="E59" s="39" t="n">
        <x:v>0.0105050814</x:v>
      </x:c>
      <x:c r="F59" s="39" t="n">
        <x:v>0.7807794261</x:v>
      </x:c>
      <x:c r="G59" s="39" t="n">
        <x:v>1.2526086607</x:v>
      </x:c>
      <x:c r="H59" s="39" t="n">
        <x:v>0.2140906941</x:v>
      </x:c>
      <x:c r="I59" s="31" t="n">
        <x:v>80</x:v>
      </x:c>
      <x:c r="J59" s="39" t="n">
        <x:v>0.0197190853</x:v>
      </x:c>
    </x:row>
    <x:row r="60" ht="19" customHeight="1">
      <x:c r="A60" s="30" t="str">
        <x:v>stagger_1</x:v>
      </x:c>
      <x:c r="B60" s="39" t="str">
        <x:v>ASND</x:v>
      </x:c>
      <x:c r="C60" s="39" t="str">
        <x:v>SPY</x:v>
      </x:c>
      <x:c r="D60" s="39" t="str">
        <x:v>SPY</x:v>
      </x:c>
      <x:c r="E60" s="39" t="n">
        <x:v>-0.0039953106</x:v>
      </x:c>
      <x:c r="F60" s="39" t="n">
        <x:v>0.3045576325</x:v>
      </x:c>
      <x:c r="G60" s="39" t="n">
        <x:v>1.0752010747</x:v>
      </x:c>
      <x:c r="H60" s="39" t="n">
        <x:v>0.2855994088</x:v>
      </x:c>
      <x:c r="I60" s="31" t="n">
        <x:v>80</x:v>
      </x:c>
      <x:c r="J60" s="39" t="n">
        <x:v>0.0146047869</x:v>
      </x:c>
    </x:row>
    <x:row r="61" ht="19" customHeight="1">
      <x:c r="A61" s="30" t="str">
        <x:v>stagger_1</x:v>
      </x:c>
      <x:c r="B61" s="39" t="str">
        <x:v>ASND</x:v>
      </x:c>
      <x:c r="C61" s="39" t="str">
        <x:v>Primary sector</x:v>
      </x:c>
      <x:c r="D61" s="39" t="str">
        <x:v>XLV</x:v>
      </x:c>
      <x:c r="E61" s="39" t="n">
        <x:v>5.204170428e-18</x:v>
      </x:c>
      <x:c r="F61" s="39" t="n">
        <x:v>0.3183935032</x:v>
      </x:c>
      <x:c r="G61" s="39" t="n">
        <x:v>0.9701369141</x:v>
      </x:c>
      <x:c r="H61" s="39" t="n">
        <x:v>0.3349770062</x:v>
      </x:c>
      <x:c r="I61" s="31" t="n">
        <x:v>80</x:v>
      </x:c>
      <x:c r="J61" s="39" t="n">
        <x:v>0.0119223681</x:v>
      </x:c>
    </x:row>
    <x:row r="62" ht="19" customHeight="1">
      <x:c r="A62" s="30" t="str">
        <x:v>stagger_1</x:v>
      </x:c>
      <x:c r="B62" s="39" t="str">
        <x:v>DOCN</x:v>
      </x:c>
      <x:c r="C62" s="39" t="str">
        <x:v>SPY</x:v>
      </x:c>
      <x:c r="D62" s="39" t="str">
        <x:v>SPY</x:v>
      </x:c>
      <x:c r="E62" s="39" t="n">
        <x:v>0.0060362455</x:v>
      </x:c>
      <x:c r="F62" s="39" t="n">
        <x:v>1.5461896107</x:v>
      </x:c>
      <x:c r="G62" s="39" t="n">
        <x:v>2.8133153202</x:v>
      </x:c>
      <x:c r="H62" s="39" t="n">
        <x:v>0.0064050057</x:v>
      </x:c>
      <x:c r="I62" s="31" t="n">
        <x:v>70</x:v>
      </x:c>
      <x:c r="J62" s="39" t="n">
        <x:v>0.1042583136</x:v>
      </x:c>
    </x:row>
    <x:row r="63" ht="19" customHeight="1">
      <x:c r="A63" s="30" t="str">
        <x:v>stagger_1</x:v>
      </x:c>
      <x:c r="B63" s="39" t="str">
        <x:v>DOCN</x:v>
      </x:c>
      <x:c r="C63" s="39" t="str">
        <x:v>Primary sector</x:v>
      </x:c>
      <x:c r="D63" s="39" t="str">
        <x:v>XLK</x:v>
      </x:c>
      <x:c r="E63" s="39" t="n">
        <x:v>-0.0026277209</x:v>
      </x:c>
      <x:c r="F63" s="39" t="n">
        <x:v>2.4233237917</x:v>
      </x:c>
      <x:c r="G63" s="39" t="n">
        <x:v>3.8126466071</x:v>
      </x:c>
      <x:c r="H63" s="39" t="n">
        <x:v>0.0002986713</x:v>
      </x:c>
      <x:c r="I63" s="31" t="n">
        <x:v>70</x:v>
      </x:c>
      <x:c r="J63" s="39" t="n">
        <x:v>0.1761198249</x:v>
      </x:c>
    </x:row>
    <x:row r="64" ht="19" customHeight="1">
      <x:c r="A64" s="30" t="str">
        <x:v>stagger_1</x:v>
      </x:c>
      <x:c r="B64" s="39" t="str">
        <x:v>DOCN</x:v>
      </x:c>
      <x:c r="C64" s="39" t="str">
        <x:v>Other sectors</x:v>
      </x:c>
      <x:c r="D64" s="39" t="str">
        <x:v>XLE</x:v>
      </x:c>
      <x:c r="E64" s="39" t="n">
        <x:v>0.0006369668</x:v>
      </x:c>
      <x:c r="F64" s="39" t="n">
        <x:v>0.7941591511</x:v>
      </x:c>
      <x:c r="G64" s="39" t="n">
        <x:v>2.8559634173</x:v>
      </x:c>
      <x:c r="H64" s="39" t="n">
        <x:v>0.0056855704</x:v>
      </x:c>
      <x:c r="I64" s="31" t="n">
        <x:v>70</x:v>
      </x:c>
      <x:c r="J64" s="39" t="n">
        <x:v>0.1071021403</x:v>
      </x:c>
    </x:row>
    <x:row r="65" ht="19" customHeight="1">
      <x:c r="A65" s="30" t="str">
        <x:v>stagger_1</x:v>
      </x:c>
      <x:c r="B65" s="39" t="str">
        <x:v>CME</x:v>
      </x:c>
      <x:c r="C65" s="39" t="str">
        <x:v>Other FX</x:v>
      </x:c>
      <x:c r="D65" s="39" t="str">
        <x:v>AUD/USD</x:v>
      </x:c>
      <x:c r="E65" s="39" t="n">
        <x:v>0.0084624809</x:v>
      </x:c>
      <x:c r="F65" s="39" t="n">
        <x:v>0.686428376</x:v>
      </x:c>
      <x:c r="G65" s="39" t="n">
        <x:v>2.393136201</x:v>
      </x:c>
      <x:c r="H65" s="39" t="n">
        <x:v>0.0191091476</x:v>
      </x:c>
      <x:c r="I65" s="31" t="n">
        <x:v>80</x:v>
      </x:c>
      <x:c r="J65" s="39" t="n">
        <x:v>0.0684019967</x:v>
      </x:c>
    </x:row>
    <x:row r="66" ht="19" customHeight="1">
      <x:c r="A66" s="30" t="str">
        <x:v>stagger_1</x:v>
      </x:c>
      <x:c r="B66" s="39" t="str">
        <x:v>CME</x:v>
      </x:c>
      <x:c r="C66" s="39" t="str">
        <x:v>SPY</x:v>
      </x:c>
      <x:c r="D66" s="39" t="str">
        <x:v>SPY</x:v>
      </x:c>
      <x:c r="E66" s="39" t="n">
        <x:v>0.0006175089</x:v>
      </x:c>
      <x:c r="F66" s="39" t="n">
        <x:v>-0.0470719436</x:v>
      </x:c>
      <x:c r="G66" s="39" t="n">
        <x:v>-0.3046630205</x:v>
      </x:c>
      <x:c r="H66" s="39" t="n">
        <x:v>0.7614342252</x:v>
      </x:c>
      <x:c r="I66" s="31" t="n">
        <x:v>80</x:v>
      </x:c>
      <x:c r="J66" s="39" t="n">
        <x:v>0.0011885799</x:v>
      </x:c>
    </x:row>
    <x:row r="67" ht="19" customHeight="1">
      <x:c r="A67" s="30" t="str">
        <x:v>stagger_1</x:v>
      </x:c>
      <x:c r="B67" s="39" t="str">
        <x:v>CME</x:v>
      </x:c>
      <x:c r="C67" s="39" t="str">
        <x:v>Primary sector</x:v>
      </x:c>
      <x:c r="D67" s="39" t="str">
        <x:v>XLF</x:v>
      </x:c>
      <x:c r="E67" s="39" t="n">
        <x:v>2.602085214e-18</x:v>
      </x:c>
      <x:c r="F67" s="39" t="n">
        <x:v>-0.209276036</x:v>
      </x:c>
      <x:c r="G67" s="39" t="n">
        <x:v>-1.0111933834</x:v>
      </x:c>
      <x:c r="H67" s="39" t="n">
        <x:v>0.3150504497</x:v>
      </x:c>
      <x:c r="I67" s="31" t="n">
        <x:v>80</x:v>
      </x:c>
      <x:c r="J67" s="39" t="n">
        <x:v>0.0129395033</x:v>
      </x:c>
    </x:row>
    <x:row r="68" ht="19" customHeight="1">
      <x:c r="A68" s="30" t="str">
        <x:v>stagger_1</x:v>
      </x:c>
      <x:c r="B68" s="39" t="str">
        <x:v>CME</x:v>
      </x:c>
      <x:c r="C68" s="39" t="str">
        <x:v>Other sectors</x:v>
      </x:c>
      <x:c r="D68" s="39" t="str">
        <x:v>XLP</x:v>
      </x:c>
      <x:c r="E68" s="39" t="n">
        <x:v>-4.33680869e-19</x:v>
      </x:c>
      <x:c r="F68" s="39" t="n">
        <x:v>0.4999942678</x:v>
      </x:c>
      <x:c r="G68" s="39" t="n">
        <x:v>2.655901176</x:v>
      </x:c>
      <x:c r="H68" s="39" t="n">
        <x:v>0.0095871699</x:v>
      </x:c>
      <x:c r="I68" s="31" t="n">
        <x:v>80</x:v>
      </x:c>
      <x:c r="J68" s="39" t="n">
        <x:v>0.0829335096</x:v>
      </x:c>
    </x:row>
    <x:row r="69" ht="19" customHeight="1">
      <x:c r="A69" s="30" t="str">
        <x:v>stagger_1</x:v>
      </x:c>
      <x:c r="B69" s="39" t="str">
        <x:v>CME</x:v>
      </x:c>
      <x:c r="C69" s="39" t="str">
        <x:v>Other sectors</x:v>
      </x:c>
      <x:c r="D69" s="39" t="str">
        <x:v>XLE</x:v>
      </x:c>
      <x:c r="E69" s="39" t="n">
        <x:v>-8.67361738e-19</x:v>
      </x:c>
      <x:c r="F69" s="39" t="n">
        <x:v>0.1893777611</x:v>
      </x:c>
      <x:c r="G69" s="39" t="n">
        <x:v>2.34070342</x:v>
      </x:c>
      <x:c r="H69" s="39" t="n">
        <x:v>0.0218036222</x:v>
      </x:c>
      <x:c r="I69" s="31" t="n">
        <x:v>80</x:v>
      </x:c>
      <x:c r="J69" s="39" t="n">
        <x:v>0.0656320698</x:v>
      </x:c>
    </x:row>
    <x:row r="70" ht="19" customHeight="1">
      <x:c r="A70" s="30" t="str">
        <x:v>stagger_1</x:v>
      </x:c>
      <x:c r="B70" s="39" t="str">
        <x:v>NET</x:v>
      </x:c>
      <x:c r="C70" s="39" t="str">
        <x:v>SPY</x:v>
      </x:c>
      <x:c r="D70" s="39" t="str">
        <x:v>SPY</x:v>
      </x:c>
      <x:c r="E70" s="39" t="n">
        <x:v>0.0115212812</x:v>
      </x:c>
      <x:c r="F70" s="39" t="n">
        <x:v>1.4112480817</x:v>
      </x:c>
      <x:c r="G70" s="39" t="n">
        <x:v>3.6605656417</x:v>
      </x:c>
      <x:c r="H70" s="39" t="n">
        <x:v>0.0004559598</x:v>
      </x:c>
      <x:c r="I70" s="31" t="n">
        <x:v>80</x:v>
      </x:c>
      <x:c r="J70" s="39" t="n">
        <x:v>0.1466058951</x:v>
      </x:c>
    </x:row>
    <x:row r="71" ht="19" customHeight="1">
      <x:c r="A71" s="30" t="str">
        <x:v>stagger_1</x:v>
      </x:c>
      <x:c r="B71" s="39" t="str">
        <x:v>NET</x:v>
      </x:c>
      <x:c r="C71" s="39" t="str">
        <x:v>Primary sector</x:v>
      </x:c>
      <x:c r="D71" s="39" t="str">
        <x:v>XLK</x:v>
      </x:c>
      <x:c r="E71" s="39" t="n">
        <x:v>5.204170428e-18</x:v>
      </x:c>
      <x:c r="F71" s="39" t="n">
        <x:v>0.1615574261</x:v>
      </x:c>
      <x:c r="G71" s="39" t="n">
        <x:v>0.3316919625</x:v>
      </x:c>
      <x:c r="H71" s="39" t="n">
        <x:v>0.7410114625</x:v>
      </x:c>
      <x:c r="I71" s="31" t="n">
        <x:v>80</x:v>
      </x:c>
      <x:c r="J71" s="39" t="n">
        <x:v>0.0014085204</x:v>
      </x:c>
    </x:row>
    <x:row r="72" ht="19" customHeight="1">
      <x:c r="A72" s="30" t="str">
        <x:v>stagger_1</x:v>
      </x:c>
      <x:c r="B72" s="39" t="str">
        <x:v>NET</x:v>
      </x:c>
      <x:c r="C72" s="39" t="str">
        <x:v>Other sectors</x:v>
      </x:c>
      <x:c r="D72" s="39" t="str">
        <x:v>XLY</x:v>
      </x:c>
      <x:c r="E72" s="39" t="n">
        <x:v>-1.734723476e-18</x:v>
      </x:c>
      <x:c r="F72" s="39" t="n">
        <x:v>1.460140591</x:v>
      </x:c>
      <x:c r="G72" s="39" t="n">
        <x:v>2.8752440185</x:v>
      </x:c>
      <x:c r="H72" s="39" t="n">
        <x:v>0.0052020344</x:v>
      </x:c>
      <x:c r="I72" s="31" t="n">
        <x:v>80</x:v>
      </x:c>
      <x:c r="J72" s="39" t="n">
        <x:v>0.0958306823</x:v>
      </x:c>
    </x:row>
    <x:row r="73" ht="19" customHeight="1">
      <x:c r="A73" s="30" t="str">
        <x:v>stagger_1</x:v>
      </x:c>
      <x:c r="B73" s="39" t="str">
        <x:v>NET</x:v>
      </x:c>
      <x:c r="C73" s="39" t="str">
        <x:v>Other sectors</x:v>
      </x:c>
      <x:c r="D73" s="39" t="str">
        <x:v>XLP</x:v>
      </x:c>
      <x:c r="E73" s="39" t="n">
        <x:v>-1.734723476e-18</x:v>
      </x:c>
      <x:c r="F73" s="39" t="n">
        <x:v>-0.9366118657</x:v>
      </x:c>
      <x:c r="G73" s="39" t="n">
        <x:v>-2.0494459114</x:v>
      </x:c>
      <x:c r="H73" s="39" t="n">
        <x:v>0.043780257</x:v>
      </x:c>
      <x:c r="I73" s="31" t="n">
        <x:v>80</x:v>
      </x:c>
      <x:c r="J73" s="39" t="n">
        <x:v>0.0510975288</x:v>
      </x:c>
    </x:row>
    <x:row r="74" ht="19" customHeight="1">
      <x:c r="A74" s="30" t="str">
        <x:v>stagger_1</x:v>
      </x:c>
      <x:c r="B74" s="39" t="str">
        <x:v>NET</x:v>
      </x:c>
      <x:c r="C74" s="39" t="str">
        <x:v>Other sectors</x:v>
      </x:c>
      <x:c r="D74" s="39" t="str">
        <x:v>XLE</x:v>
      </x:c>
      <x:c r="E74" s="39" t="n">
        <x:v>6.938893904e-18</x:v>
      </x:c>
      <x:c r="F74" s="39" t="n">
        <x:v>0.4220604667</x:v>
      </x:c>
      <x:c r="G74" s="39" t="n">
        <x:v>2.1371655923</x:v>
      </x:c>
      <x:c r="H74" s="39" t="n">
        <x:v>0.0357179157</x:v>
      </x:c>
      <x:c r="I74" s="31" t="n">
        <x:v>80</x:v>
      </x:c>
      <x:c r="J74" s="39" t="n">
        <x:v>0.0553181101</x:v>
      </x:c>
    </x:row>
    <x:row r="75" ht="19" customHeight="1">
      <x:c r="A75" s="30" t="str">
        <x:v>stagger_1</x:v>
      </x:c>
      <x:c r="B75" s="39" t="str">
        <x:v>MRNA</x:v>
      </x:c>
      <x:c r="C75" s="39" t="str">
        <x:v>Other FX</x:v>
      </x:c>
      <x:c r="D75" s="39" t="str">
        <x:v>AUD/USD</x:v>
      </x:c>
      <x:c r="E75" s="39" t="n">
        <x:v>-0.0046078604</x:v>
      </x:c>
      <x:c r="F75" s="39" t="n">
        <x:v>2.6742103247</x:v>
      </x:c>
      <x:c r="G75" s="39" t="n">
        <x:v>2.8814021463</x:v>
      </x:c>
      <x:c r="H75" s="39" t="n">
        <x:v>0.0051111804</x:v>
      </x:c>
      <x:c r="I75" s="31" t="n">
        <x:v>80</x:v>
      </x:c>
      <x:c r="J75" s="39" t="n">
        <x:v>0.0962020847</x:v>
      </x:c>
    </x:row>
    <x:row r="76" ht="19" customHeight="1">
      <x:c r="A76" s="30" t="str">
        <x:v>stagger_1</x:v>
      </x:c>
      <x:c r="B76" s="39" t="str">
        <x:v>MRNA</x:v>
      </x:c>
      <x:c r="C76" s="39" t="str">
        <x:v>SPY</x:v>
      </x:c>
      <x:c r="D76" s="39" t="str">
        <x:v>SPY</x:v>
      </x:c>
      <x:c r="E76" s="39" t="n">
        <x:v>-0.0002322537</x:v>
      </x:c>
      <x:c r="F76" s="39" t="n">
        <x:v>0.0177044129</x:v>
      </x:c>
      <x:c r="G76" s="39" t="n">
        <x:v>0.035393255</x:v>
      </x:c>
      <x:c r="H76" s="39" t="n">
        <x:v>0.9718565841</x:v>
      </x:c>
      <x:c r="I76" s="31" t="n">
        <x:v>80</x:v>
      </x:c>
      <x:c r="J76" s="39" t="n">
        <x:v>0.0000160598</x:v>
      </x:c>
    </x:row>
    <x:row r="77" ht="19" customHeight="1">
      <x:c r="A77" s="30" t="str">
        <x:v>stagger_1</x:v>
      </x:c>
      <x:c r="B77" s="39" t="str">
        <x:v>MRNA</x:v>
      </x:c>
      <x:c r="C77" s="39" t="str">
        <x:v>Primary sector</x:v>
      </x:c>
      <x:c r="D77" s="39" t="str">
        <x:v>XLV</x:v>
      </x:c>
      <x:c r="E77" s="39" t="n">
        <x:v>-3.469446952e-18</x:v>
      </x:c>
      <x:c r="F77" s="39" t="n">
        <x:v>0.5614454448</x:v>
      </x:c>
      <x:c r="G77" s="39" t="n">
        <x:v>0.9686959504</x:v>
      </x:c>
      <x:c r="H77" s="39" t="n">
        <x:v>0.3356910947</x:v>
      </x:c>
      <x:c r="I77" s="31" t="n">
        <x:v>80</x:v>
      </x:c>
      <x:c r="J77" s="39" t="n">
        <x:v>0.011887398</x:v>
      </x:c>
    </x:row>
    <x:row r="78" ht="19" customHeight="1">
      <x:c r="A78" s="30" t="str">
        <x:v>stagger_1</x:v>
      </x:c>
      <x:c r="B78" s="39" t="str">
        <x:v>AXON</x:v>
      </x:c>
      <x:c r="C78" s="39" t="str">
        <x:v>SPY</x:v>
      </x:c>
      <x:c r="D78" s="39" t="str">
        <x:v>SPY</x:v>
      </x:c>
      <x:c r="E78" s="39" t="n">
        <x:v>0.0099829132</x:v>
      </x:c>
      <x:c r="F78" s="39" t="n">
        <x:v>0.9661221578</x:v>
      </x:c>
      <x:c r="G78" s="39" t="n">
        <x:v>2.7407095662</x:v>
      </x:c>
      <x:c r="H78" s="39" t="n">
        <x:v>0.0075974083</x:v>
      </x:c>
      <x:c r="I78" s="31" t="n">
        <x:v>80</x:v>
      </x:c>
      <x:c r="J78" s="39" t="n">
        <x:v>0.087841868</x:v>
      </x:c>
    </x:row>
    <x:row r="79" ht="19" customHeight="1">
      <x:c r="A79" s="30" t="str">
        <x:v>stagger_1</x:v>
      </x:c>
      <x:c r="B79" s="39" t="str">
        <x:v>AXON</x:v>
      </x:c>
      <x:c r="C79" s="39" t="str">
        <x:v>Primary sector</x:v>
      </x:c>
      <x:c r="D79" s="39" t="str">
        <x:v>XLI</x:v>
      </x:c>
      <x:c r="E79" s="39" t="n">
        <x:v>0</x:v>
      </x:c>
      <x:c r="F79" s="39" t="n">
        <x:v>1.4632267417</x:v>
      </x:c>
      <x:c r="G79" s="39" t="n">
        <x:v>3.0981829814</x:v>
      </x:c>
      <x:c r="H79" s="39" t="n">
        <x:v>0.0027068597</x:v>
      </x:c>
      <x:c r="I79" s="31" t="n">
        <x:v>80</x:v>
      </x:c>
      <x:c r="J79" s="39" t="n">
        <x:v>0.1095762111</x:v>
      </x:c>
    </x:row>
    <x:row r="80" ht="19" customHeight="1">
      <x:c r="A80" s="30" t="str">
        <x:v>stagger_1</x:v>
      </x:c>
      <x:c r="B80" s="39" t="str">
        <x:v>AXON</x:v>
      </x:c>
      <x:c r="C80" s="39" t="str">
        <x:v>Other sectors</x:v>
      </x:c>
      <x:c r="D80" s="39" t="str">
        <x:v>XLY</x:v>
      </x:c>
      <x:c r="E80" s="39" t="n">
        <x:v>-1.734723476e-18</x:v>
      </x:c>
      <x:c r="F80" s="39" t="n">
        <x:v>0.9069166273</x:v>
      </x:c>
      <x:c r="G80" s="39" t="n">
        <x:v>2.0174323194</x:v>
      </x:c>
      <x:c r="H80" s="39" t="n">
        <x:v>0.0470903035</x:v>
      </x:c>
      <x:c r="I80" s="31" t="n">
        <x:v>80</x:v>
      </x:c>
      <x:c r="J80" s="39" t="n">
        <x:v>0.0495921959</x:v>
      </x:c>
    </x:row>
    <x:row r="81" ht="19" customHeight="1">
      <x:c r="A81" s="30" t="str">
        <x:v>stagger_1</x:v>
      </x:c>
      <x:c r="B81" s="39" t="str">
        <x:v>NFLX</x:v>
      </x:c>
      <x:c r="C81" s="39" t="str">
        <x:v>SPY</x:v>
      </x:c>
      <x:c r="D81" s="39" t="str">
        <x:v>SPY</x:v>
      </x:c>
      <x:c r="E81" s="39" t="n">
        <x:v>-0.0067501931</x:v>
      </x:c>
      <x:c r="F81" s="39" t="n">
        <x:v>1.0663640408</x:v>
      </x:c>
      <x:c r="G81" s="39" t="n">
        <x:v>3.6238181667</x:v>
      </x:c>
      <x:c r="H81" s="39" t="n">
        <x:v>0.0005150638</x:v>
      </x:c>
      <x:c r="I81" s="31" t="n">
        <x:v>80</x:v>
      </x:c>
      <x:c r="J81" s="39" t="n">
        <x:v>0.1440992158</x:v>
      </x:c>
    </x:row>
    <x:row r="82" ht="19" customHeight="1">
      <x:c r="A82" s="30" t="str">
        <x:v>stagger_1</x:v>
      </x:c>
      <x:c r="B82" s="39" t="str">
        <x:v>NFLX</x:v>
      </x:c>
      <x:c r="C82" s="39" t="str">
        <x:v>Primary sector</x:v>
      </x:c>
      <x:c r="D82" s="39" t="str">
        <x:v>XLC</x:v>
      </x:c>
      <x:c r="E82" s="39" t="n">
        <x:v>4.33680869e-18</x:v>
      </x:c>
      <x:c r="F82" s="39" t="n">
        <x:v>1.1105102517</x:v>
      </x:c>
      <x:c r="G82" s="39" t="n">
        <x:v>2.7432789419</x:v>
      </x:c>
      <x:c r="H82" s="39" t="n">
        <x:v>0.0075434903</x:v>
      </x:c>
      <x:c r="I82" s="31" t="n">
        <x:v>80</x:v>
      </x:c>
      <x:c r="J82" s="39" t="n">
        <x:v>0.087992147</x:v>
      </x:c>
    </x:row>
    <x:row r="83" ht="19" customHeight="1">
      <x:c r="A83" s="30" t="str">
        <x:v>stagger_1</x:v>
      </x:c>
      <x:c r="B83" s="39" t="str">
        <x:v>NFLX</x:v>
      </x:c>
      <x:c r="C83" s="39" t="str">
        <x:v>Other sectors</x:v>
      </x:c>
      <x:c r="D83" s="39" t="str">
        <x:v>XLU</x:v>
      </x:c>
      <x:c r="E83" s="39" t="n">
        <x:v>-5.204170428e-18</x:v>
      </x:c>
      <x:c r="F83" s="39" t="n">
        <x:v>0.5817997911</x:v>
      </x:c>
      <x:c r="G83" s="39" t="n">
        <x:v>2.1666954667</x:v>
      </x:c>
      <x:c r="H83" s="39" t="n">
        <x:v>0.0333108299</x:v>
      </x:c>
      <x:c r="I83" s="31" t="n">
        <x:v>80</x:v>
      </x:c>
      <x:c r="J83" s="39" t="n">
        <x:v>0.0567699825</x:v>
      </x:c>
    </x:row>
    <x:row r="84" ht="19" customHeight="1">
      <x:c r="A84" s="30" t="str">
        <x:v>stagger_1</x:v>
      </x:c>
      <x:c r="B84" s="39" t="str">
        <x:v>NFLX</x:v>
      </x:c>
      <x:c r="C84" s="39" t="str">
        <x:v>Other sectors</x:v>
      </x:c>
      <x:c r="D84" s="39" t="str">
        <x:v>XLK</x:v>
      </x:c>
      <x:c r="E84" s="39" t="n">
        <x:v>-1.734723476e-18</x:v>
      </x:c>
      <x:c r="F84" s="39" t="n">
        <x:v>0.7763186822</x:v>
      </x:c>
      <x:c r="G84" s="39" t="n">
        <x:v>2.3265884598</x:v>
      </x:c>
      <x:c r="H84" s="39" t="n">
        <x:v>0.0225843164</x:v>
      </x:c>
      <x:c r="I84" s="31" t="n">
        <x:v>80</x:v>
      </x:c>
      <x:c r="J84" s="39" t="n">
        <x:v>0.0648941168</x:v>
      </x:c>
    </x:row>
    <x:row r="85" ht="19" customHeight="1">
      <x:c r="A85" s="30" t="str">
        <x:v>stagger_1</x:v>
      </x:c>
      <x:c r="B85" s="39" t="str">
        <x:v>CMCSA</x:v>
      </x:c>
      <x:c r="C85" s="39" t="str">
        <x:v>Other FX</x:v>
      </x:c>
      <x:c r="D85" s="39" t="str">
        <x:v>AUD/USD</x:v>
      </x:c>
      <x:c r="E85" s="39" t="n">
        <x:v>-0.0050186503</x:v>
      </x:c>
      <x:c r="F85" s="39" t="n">
        <x:v>1.39722225</x:v>
      </x:c>
      <x:c r="G85" s="39" t="n">
        <x:v>4.2389390903</x:v>
      </x:c>
      <x:c r="H85" s="39" t="n">
        <x:v>0.0000610813</x:v>
      </x:c>
      <x:c r="I85" s="31" t="n">
        <x:v>80</x:v>
      </x:c>
      <x:c r="J85" s="39" t="n">
        <x:v>0.1872341969</x:v>
      </x:c>
    </x:row>
    <x:row r="86" ht="19" customHeight="1">
      <x:c r="A86" s="30" t="str">
        <x:v>stagger_1</x:v>
      </x:c>
      <x:c r="B86" s="39" t="str">
        <x:v>CMCSA</x:v>
      </x:c>
      <x:c r="C86" s="39" t="str">
        <x:v>SPY</x:v>
      </x:c>
      <x:c r="D86" s="39" t="str">
        <x:v>SPY</x:v>
      </x:c>
      <x:c r="E86" s="39" t="n">
        <x:v>-0.0016069546</x:v>
      </x:c>
      <x:c r="F86" s="39" t="n">
        <x:v>0.1224961828</x:v>
      </x:c>
      <x:c r="G86" s="39" t="n">
        <x:v>0.6916223515</x:v>
      </x:c>
      <x:c r="H86" s="39" t="n">
        <x:v>0.4912280673</x:v>
      </x:c>
      <x:c r="I86" s="31" t="n">
        <x:v>80</x:v>
      </x:c>
      <x:c r="J86" s="39" t="n">
        <x:v>0.0060952037</x:v>
      </x:c>
    </x:row>
    <x:row r="87" ht="19" customHeight="1">
      <x:c r="A87" s="30" t="str">
        <x:v>stagger_1</x:v>
      </x:c>
      <x:c r="B87" s="39" t="str">
        <x:v>CMCSA</x:v>
      </x:c>
      <x:c r="C87" s="39" t="str">
        <x:v>Primary sector</x:v>
      </x:c>
      <x:c r="D87" s="39" t="str">
        <x:v>XLC</x:v>
      </x:c>
      <x:c r="E87" s="39" t="n">
        <x:v>0</x:v>
      </x:c>
      <x:c r="F87" s="39" t="n">
        <x:v>1.0423479818</x:v>
      </x:c>
      <x:c r="G87" s="39" t="n">
        <x:v>4.6081986636</x:v>
      </x:c>
      <x:c r="H87" s="39" t="n">
        <x:v>0.0000155916</x:v>
      </x:c>
      <x:c r="I87" s="31" t="n">
        <x:v>80</x:v>
      </x:c>
      <x:c r="J87" s="39" t="n">
        <x:v>0.2139909207</x:v>
      </x:c>
    </x:row>
    <x:row r="88" ht="19" customHeight="1">
      <x:c r="A88" s="30" t="str">
        <x:v>stagger_1</x:v>
      </x:c>
      <x:c r="B88" s="39" t="str">
        <x:v>CMCSA</x:v>
      </x:c>
      <x:c r="C88" s="39" t="str">
        <x:v>Other sectors</x:v>
      </x:c>
      <x:c r="D88" s="39" t="str">
        <x:v>XLE</x:v>
      </x:c>
      <x:c r="E88" s="39" t="n">
        <x:v>-4.33680869e-18</x:v>
      </x:c>
      <x:c r="F88" s="39" t="n">
        <x:v>0.2703462484</x:v>
      </x:c>
      <x:c r="G88" s="39" t="n">
        <x:v>3.2182316842</x:v>
      </x:c>
      <x:c r="H88" s="39" t="n">
        <x:v>0.0018798581</x:v>
      </x:c>
      <x:c r="I88" s="31" t="n">
        <x:v>80</x:v>
      </x:c>
      <x:c r="J88" s="39" t="n">
        <x:v>0.1172178027</x:v>
      </x:c>
    </x:row>
    <x:row r="89" ht="19" customHeight="1">
      <x:c r="A89" s="30" t="str">
        <x:v>stagger_1</x:v>
      </x:c>
      <x:c r="B89" s="39" t="str">
        <x:v>CMCSA</x:v>
      </x:c>
      <x:c r="C89" s="39" t="str">
        <x:v>Other sectors</x:v>
      </x:c>
      <x:c r="D89" s="39" t="str">
        <x:v>XLP</x:v>
      </x:c>
      <x:c r="E89" s="39" t="n">
        <x:v>-8.67361738e-19</x:v>
      </x:c>
      <x:c r="F89" s="39" t="n">
        <x:v>0.3921653459</x:v>
      </x:c>
      <x:c r="G89" s="39" t="n">
        <x:v>2.1353729983</x:v>
      </x:c>
      <x:c r="H89" s="39" t="n">
        <x:v>0.0358687871</x:v>
      </x:c>
      <x:c r="I89" s="31" t="n">
        <x:v>80</x:v>
      </x:c>
      <x:c r="J89" s="39" t="n">
        <x:v>0.0552304736</x:v>
      </x:c>
    </x:row>
    <x:row r="90" ht="19" customHeight="1">
      <x:c r="A90" s="30" t="str">
        <x:v>stagger_1</x:v>
      </x:c>
      <x:c r="B90" s="39" t="str">
        <x:v>MU</x:v>
      </x:c>
      <x:c r="C90" s="39" t="str">
        <x:v>Other FX</x:v>
      </x:c>
      <x:c r="D90" s="39" t="str">
        <x:v>AUD/USD</x:v>
      </x:c>
      <x:c r="E90" s="39" t="n">
        <x:v>0.0485346534</x:v>
      </x:c>
      <x:c r="F90" s="39" t="n">
        <x:v>2.1006307407</x:v>
      </x:c>
      <x:c r="G90" s="39" t="n">
        <x:v>2.2933241827</x:v>
      </x:c>
      <x:c r="H90" s="39" t="n">
        <x:v>0.0245228517</x:v>
      </x:c>
      <x:c r="I90" s="31" t="n">
        <x:v>80</x:v>
      </x:c>
      <x:c r="J90" s="39" t="n">
        <x:v>0.0631681211</x:v>
      </x:c>
    </x:row>
    <x:row r="91" ht="19" customHeight="1">
      <x:c r="A91" s="30" t="str">
        <x:v>stagger_1</x:v>
      </x:c>
      <x:c r="B91" s="39" t="str">
        <x:v>MU</x:v>
      </x:c>
      <x:c r="C91" s="39" t="str">
        <x:v>SPY</x:v>
      </x:c>
      <x:c r="D91" s="39" t="str">
        <x:v>SPY</x:v>
      </x:c>
      <x:c r="E91" s="39" t="n">
        <x:v>-0.0203107925</x:v>
      </x:c>
      <x:c r="F91" s="39" t="n">
        <x:v>1.5482668275</x:v>
      </x:c>
      <x:c r="G91" s="39" t="n">
        <x:v>3.3547141525</x:v>
      </x:c>
      <x:c r="H91" s="39" t="n">
        <x:v>0.001228943</x:v>
      </x:c>
      <x:c r="I91" s="31" t="n">
        <x:v>80</x:v>
      </x:c>
      <x:c r="J91" s="39" t="n">
        <x:v>0.1260906351</x:v>
      </x:c>
    </x:row>
    <x:row r="92" ht="19" customHeight="1">
      <x:c r="A92" s="30" t="str">
        <x:v>stagger_1</x:v>
      </x:c>
      <x:c r="B92" s="39" t="str">
        <x:v>MU</x:v>
      </x:c>
      <x:c r="C92" s="39" t="str">
        <x:v>Primary sector</x:v>
      </x:c>
      <x:c r="D92" s="39" t="str">
        <x:v>XLK</x:v>
      </x:c>
      <x:c r="E92" s="39" t="n">
        <x:v>1.040834086e-17</x:v>
      </x:c>
      <x:c r="F92" s="39" t="n">
        <x:v>2.5726467442</x:v>
      </x:c>
      <x:c r="G92" s="39" t="n">
        <x:v>5.0885420926</x:v>
      </x:c>
      <x:c r="H92" s="39" t="n">
        <x:v>0.0000024317</x:v>
      </x:c>
      <x:c r="I92" s="31" t="n">
        <x:v>80</x:v>
      </x:c>
      <x:c r="J92" s="39" t="n">
        <x:v>0.2492294541</x:v>
      </x:c>
    </x:row>
    <x:row r="93" ht="19" customHeight="1">
      <x:c r="A93" s="30" t="str">
        <x:v>stagger_1</x:v>
      </x:c>
      <x:c r="B93" s="39" t="str">
        <x:v>MU</x:v>
      </x:c>
      <x:c r="C93" s="39" t="str">
        <x:v>Other sectors</x:v>
      </x:c>
      <x:c r="D93" s="39" t="str">
        <x:v>XLY</x:v>
      </x:c>
      <x:c r="E93" s="39" t="n">
        <x:v>-6.071532166e-18</x:v>
      </x:c>
      <x:c r="F93" s="39" t="n">
        <x:v>-1.3541680665</x:v>
      </x:c>
      <x:c r="G93" s="39" t="n">
        <x:v>-2.5419360119</x:v>
      </x:c>
      <x:c r="H93" s="39" t="n">
        <x:v>0.0130057536</x:v>
      </x:c>
      <x:c r="I93" s="31" t="n">
        <x:v>80</x:v>
      </x:c>
      <x:c r="J93" s="39" t="n">
        <x:v>0.0765016413</x:v>
      </x:c>
    </x:row>
    <x:row r="94" ht="19" customHeight="1">
      <x:c r="A94" s="30" t="str">
        <x:v>stagger_1</x:v>
      </x:c>
      <x:c r="B94" s="39" t="str">
        <x:v>NEM</x:v>
      </x:c>
      <x:c r="C94" s="39" t="str">
        <x:v>Other FX</x:v>
      </x:c>
      <x:c r="D94" s="39" t="str">
        <x:v>AUD/USD</x:v>
      </x:c>
      <x:c r="E94" s="39" t="n">
        <x:v>0.0138721399</x:v>
      </x:c>
      <x:c r="F94" s="39" t="n">
        <x:v>3.4605771185</x:v>
      </x:c>
      <x:c r="G94" s="39" t="n">
        <x:v>6.8038800975</x:v>
      </x:c>
      <x:c r="H94" s="39" t="n">
        <x:v>1.9e-9</x:v>
      </x:c>
      <x:c r="I94" s="31" t="n">
        <x:v>80</x:v>
      </x:c>
      <x:c r="J94" s="39" t="n">
        <x:v>0.3724494918</x:v>
      </x:c>
    </x:row>
    <x:row r="95" ht="19" customHeight="1">
      <x:c r="A95" s="30" t="str">
        <x:v>stagger_1</x:v>
      </x:c>
      <x:c r="B95" s="39" t="str">
        <x:v>NEM</x:v>
      </x:c>
      <x:c r="C95" s="39" t="str">
        <x:v>SPY</x:v>
      </x:c>
      <x:c r="D95" s="39" t="str">
        <x:v>SPY</x:v>
      </x:c>
      <x:c r="E95" s="39" t="n">
        <x:v>0.0013706167</x:v>
      </x:c>
      <x:c r="F95" s="39" t="n">
        <x:v>-0.1044804315</x:v>
      </x:c>
      <x:c r="G95" s="39" t="n">
        <x:v>-0.3814828501</x:v>
      </x:c>
      <x:c r="H95" s="39" t="n">
        <x:v>0.7038822164</x:v>
      </x:c>
      <x:c r="I95" s="31" t="n">
        <x:v>80</x:v>
      </x:c>
      <x:c r="J95" s="39" t="n">
        <x:v>0.001862284</x:v>
      </x:c>
    </x:row>
    <x:row r="96" ht="19" customHeight="1">
      <x:c r="A96" s="30" t="str">
        <x:v>stagger_1</x:v>
      </x:c>
      <x:c r="B96" s="39" t="str">
        <x:v>NEM</x:v>
      </x:c>
      <x:c r="C96" s="39" t="str">
        <x:v>Primary sector</x:v>
      </x:c>
      <x:c r="D96" s="39" t="str">
        <x:v>XLB</x:v>
      </x:c>
      <x:c r="E96" s="39" t="n">
        <x:v>1.734723476e-18</x:v>
      </x:c>
      <x:c r="F96" s="39" t="n">
        <x:v>0.490383411</x:v>
      </x:c>
      <x:c r="G96" s="39" t="n">
        <x:v>1.7307758696</x:v>
      </x:c>
      <x:c r="H96" s="39" t="n">
        <x:v>0.0874460652</x:v>
      </x:c>
      <x:c r="I96" s="31" t="n">
        <x:v>80</x:v>
      </x:c>
      <x:c r="J96" s="39" t="n">
        <x:v>0.0369845481</x:v>
      </x:c>
    </x:row>
    <x:row r="97" ht="19" customHeight="1">
      <x:c r="A97" s="30" t="str">
        <x:v>stagger_1</x:v>
      </x:c>
      <x:c r="B97" s="39" t="str">
        <x:v>PGR</x:v>
      </x:c>
      <x:c r="C97" s="39" t="str">
        <x:v>SPY</x:v>
      </x:c>
      <x:c r="D97" s="39" t="str">
        <x:v>SPY</x:v>
      </x:c>
      <x:c r="E97" s="39" t="n">
        <x:v>0.0086580407</x:v>
      </x:c>
      <x:c r="F97" s="39" t="n">
        <x:v>0.2419406017</x:v>
      </x:c>
      <x:c r="G97" s="39" t="n">
        <x:v>1.6375121613</x:v>
      </x:c>
      <x:c r="H97" s="39" t="n">
        <x:v>0.1055518853</x:v>
      </x:c>
      <x:c r="I97" s="31" t="n">
        <x:v>80</x:v>
      </x:c>
      <x:c r="J97" s="39" t="n">
        <x:v>0.0332349779</x:v>
      </x:c>
    </x:row>
    <x:row r="98" ht="19" customHeight="1">
      <x:c r="A98" s="30" t="str">
        <x:v>stagger_1</x:v>
      </x:c>
      <x:c r="B98" s="39" t="str">
        <x:v>PGR</x:v>
      </x:c>
      <x:c r="C98" s="39" t="str">
        <x:v>Primary sector</x:v>
      </x:c>
      <x:c r="D98" s="39" t="str">
        <x:v>XLF</x:v>
      </x:c>
      <x:c r="E98" s="39" t="n">
        <x:v>1.734723476e-18</x:v>
      </x:c>
      <x:c r="F98" s="39" t="n">
        <x:v>0.5520263251</x:v>
      </x:c>
      <x:c r="G98" s="39" t="n">
        <x:v>2.9185737713</x:v>
      </x:c>
      <x:c r="H98" s="39" t="n">
        <x:v>0.0045931091</x:v>
      </x:c>
      <x:c r="I98" s="31" t="n">
        <x:v>80</x:v>
      </x:c>
      <x:c r="J98" s="39" t="n">
        <x:v>0.0984542602</x:v>
      </x:c>
    </x:row>
    <x:row r="99" ht="19" customHeight="1">
      <x:c r="A99" s="30" t="str">
        <x:v>stagger_1</x:v>
      </x:c>
      <x:c r="B99" s="39" t="str">
        <x:v>PGR</x:v>
      </x:c>
      <x:c r="C99" s="39" t="str">
        <x:v>Other sectors</x:v>
      </x:c>
      <x:c r="D99" s="39" t="str">
        <x:v>XLP</x:v>
      </x:c>
      <x:c r="E99" s="39" t="n">
        <x:v>3.469446952e-18</x:v>
      </x:c>
      <x:c r="F99" s="39" t="n">
        <x:v>0.5644152562</x:v>
      </x:c>
      <x:c r="G99" s="39" t="n">
        <x:v>3.3613825866</x:v>
      </x:c>
      <x:c r="H99" s="39" t="n">
        <x:v>0.0012033453</x:v>
      </x:c>
      <x:c r="I99" s="31" t="n">
        <x:v>80</x:v>
      </x:c>
      <x:c r="J99" s="39" t="n">
        <x:v>0.1265289247</x:v>
      </x:c>
    </x:row>
    <x:row r="100" ht="19" customHeight="1">
      <x:c r="A100" s="30" t="str">
        <x:v>stagger_1</x:v>
      </x:c>
      <x:c r="B100" s="39" t="str">
        <x:v>ORKA</x:v>
      </x:c>
      <x:c r="C100" s="39" t="str">
        <x:v>SPY</x:v>
      </x:c>
      <x:c r="D100" s="39" t="str">
        <x:v>SPY</x:v>
      </x:c>
      <x:c r="E100" s="39" t="n">
        <x:v>0.0268337088</x:v>
      </x:c>
      <x:c r="F100" s="39" t="n">
        <x:v>0.2488757707</x:v>
      </x:c>
      <x:c r="G100" s="39" t="n">
        <x:v>0.44588133</x:v>
      </x:c>
      <x:c r="H100" s="39" t="n">
        <x:v>0.6569182109</x:v>
      </x:c>
      <x:c r="I100" s="31" t="n">
        <x:v>80</x:v>
      </x:c>
      <x:c r="J100" s="39" t="n">
        <x:v>0.0025423681</x:v>
      </x:c>
    </x:row>
    <x:row r="101" ht="19" customHeight="1">
      <x:c r="A101" s="30" t="str">
        <x:v>stagger_1</x:v>
      </x:c>
      <x:c r="B101" s="39" t="str">
        <x:v>ORKA</x:v>
      </x:c>
      <x:c r="C101" s="39" t="str">
        <x:v>Primary sector</x:v>
      </x:c>
      <x:c r="D101" s="39" t="str">
        <x:v>XLV</x:v>
      </x:c>
      <x:c r="E101" s="39" t="n">
        <x:v>-1.040834086e-17</x:v>
      </x:c>
      <x:c r="F101" s="39" t="n">
        <x:v>-0.7427199939</x:v>
      </x:c>
      <x:c r="G101" s="39" t="n">
        <x:v>-1.1512367263</x:v>
      </x:c>
      <x:c r="H101" s="39" t="n">
        <x:v>0.2531516601</x:v>
      </x:c>
      <x:c r="I101" s="31" t="n">
        <x:v>80</x:v>
      </x:c>
      <x:c r="J101" s="39" t="n">
        <x:v>0.0167077242</x:v>
      </x:c>
    </x:row>
    <x:row r="102" ht="19" customHeight="1">
      <x:c r="A102" s="30" t="str">
        <x:v>stagger_1</x:v>
      </x:c>
      <x:c r="B102" s="39" t="str">
        <x:v>ORKA</x:v>
      </x:c>
      <x:c r="C102" s="39" t="str">
        <x:v>Other sectors</x:v>
      </x:c>
      <x:c r="D102" s="39" t="str">
        <x:v>XLC</x:v>
      </x:c>
      <x:c r="E102" s="39" t="n">
        <x:v>-8.67361738e-19</x:v>
      </x:c>
      <x:c r="F102" s="39" t="n">
        <x:v>-1.8184953455</x:v>
      </x:c>
      <x:c r="G102" s="39" t="n">
        <x:v>-2.3609211926</x:v>
      </x:c>
      <x:c r="H102" s="39" t="n">
        <x:v>0.0207270906</x:v>
      </x:c>
      <x:c r="I102" s="31" t="n">
        <x:v>80</x:v>
      </x:c>
      <x:c r="J102" s="39" t="n">
        <x:v>0.0666948128</x:v>
      </x:c>
    </x:row>
    <x:row r="103" ht="19" customHeight="1">
      <x:c r="A103" s="30" t="str">
        <x:v>stagger_1</x:v>
      </x:c>
      <x:c r="B103" s="39" t="str">
        <x:v>UPST</x:v>
      </x:c>
      <x:c r="C103" s="39" t="str">
        <x:v>SPY</x:v>
      </x:c>
      <x:c r="D103" s="39" t="str">
        <x:v>SPY</x:v>
      </x:c>
      <x:c r="E103" s="39" t="n">
        <x:v>-0.0422093896</x:v>
      </x:c>
      <x:c r="F103" s="39" t="n">
        <x:v>2.6062368075</x:v>
      </x:c>
      <x:c r="G103" s="39" t="n">
        <x:v>3.647821632</x:v>
      </x:c>
      <x:c r="H103" s="39" t="n">
        <x:v>0.0005009716</x:v>
      </x:c>
      <x:c r="I103" s="31" t="n">
        <x:v>73</x:v>
      </x:c>
      <x:c r="J103" s="39" t="n">
        <x:v>0.1578358306</x:v>
      </x:c>
    </x:row>
    <x:row r="104" ht="19" customHeight="1">
      <x:c r="A104" s="30" t="str">
        <x:v>stagger_1</x:v>
      </x:c>
      <x:c r="B104" s="39" t="str">
        <x:v>UPST</x:v>
      </x:c>
      <x:c r="C104" s="39" t="str">
        <x:v>Primary sector</x:v>
      </x:c>
      <x:c r="D104" s="39" t="str">
        <x:v>XLF</x:v>
      </x:c>
      <x:c r="E104" s="39" t="n">
        <x:v>0.0015541695</x:v>
      </x:c>
      <x:c r="F104" s="39" t="n">
        <x:v>1.8477220607</x:v>
      </x:c>
      <x:c r="G104" s="39" t="n">
        <x:v>1.9376047435</x:v>
      </x:c>
      <x:c r="H104" s="39" t="n">
        <x:v>0.0566494928</x:v>
      </x:c>
      <x:c r="I104" s="31" t="n">
        <x:v>73</x:v>
      </x:c>
      <x:c r="J104" s="39" t="n">
        <x:v>0.0502220144</x:v>
      </x:c>
    </x:row>
    <x:row r="105" ht="19" customHeight="1">
      <x:c r="A105" s="30" t="str">
        <x:v>stagger_1</x:v>
      </x:c>
      <x:c r="B105" s="39" t="str">
        <x:v>UPST</x:v>
      </x:c>
      <x:c r="C105" s="39" t="str">
        <x:v>Other sectors</x:v>
      </x:c>
      <x:c r="D105" s="39" t="str">
        <x:v>XLV</x:v>
      </x:c>
      <x:c r="E105" s="39" t="n">
        <x:v>-0.0008119519</x:v>
      </x:c>
      <x:c r="F105" s="39" t="n">
        <x:v>-1.7303510564</x:v>
      </x:c>
      <x:c r="G105" s="39" t="n">
        <x:v>-2.2071729749</x:v>
      </x:c>
      <x:c r="H105" s="39" t="n">
        <x:v>0.0305357697</x:v>
      </x:c>
      <x:c r="I105" s="31" t="n">
        <x:v>73</x:v>
      </x:c>
      <x:c r="J105" s="39" t="n">
        <x:v>0.0642086332</x:v>
      </x:c>
    </x:row>
    <x:row r="106" ht="19" customHeight="1">
      <x:c r="A106" s="30" t="str">
        <x:v>stagger_1</x:v>
      </x:c>
      <x:c r="B106" s="39" t="str">
        <x:v>PG</x:v>
      </x:c>
      <x:c r="C106" s="39" t="str">
        <x:v>Other FX</x:v>
      </x:c>
      <x:c r="D106" s="39" t="str">
        <x:v>AUD/USD</x:v>
      </x:c>
      <x:c r="E106" s="39" t="n">
        <x:v>0.0022265647</x:v>
      </x:c>
      <x:c r="F106" s="39" t="n">
        <x:v>0.8518735607</x:v>
      </x:c>
      <x:c r="G106" s="39" t="n">
        <x:v>3.4048093038</x:v>
      </x:c>
      <x:c r="H106" s="39" t="n">
        <x:v>0.0010485369</x:v>
      </x:c>
      <x:c r="I106" s="31" t="n">
        <x:v>80</x:v>
      </x:c>
      <x:c r="J106" s="39" t="n">
        <x:v>0.1293936111</x:v>
      </x:c>
    </x:row>
    <x:row r="107" ht="19" customHeight="1">
      <x:c r="A107" s="30" t="str">
        <x:v>stagger_1</x:v>
      </x:c>
      <x:c r="B107" s="39" t="str">
        <x:v>PG</x:v>
      </x:c>
      <x:c r="C107" s="39" t="str">
        <x:v>SPY</x:v>
      </x:c>
      <x:c r="D107" s="39" t="str">
        <x:v>SPY</x:v>
      </x:c>
      <x:c r="E107" s="39" t="n">
        <x:v>-0.0040154969</x:v>
      </x:c>
      <x:c r="F107" s="39" t="n">
        <x:v>0.3060964077</x:v>
      </x:c>
      <x:c r="G107" s="39" t="n">
        <x:v>2.3487814927</x:v>
      </x:c>
      <x:c r="H107" s="39" t="n">
        <x:v>0.0213676787</x:v>
      </x:c>
      <x:c r="I107" s="31" t="n">
        <x:v>80</x:v>
      </x:c>
      <x:c r="J107" s="39" t="n">
        <x:v>0.0660558856</x:v>
      </x:c>
    </x:row>
    <x:row r="108" ht="19" customHeight="1">
      <x:c r="A108" s="30" t="str">
        <x:v>stagger_1</x:v>
      </x:c>
      <x:c r="B108" s="39" t="str">
        <x:v>PG</x:v>
      </x:c>
      <x:c r="C108" s="39" t="str">
        <x:v>Primary sector</x:v>
      </x:c>
      <x:c r="D108" s="39" t="str">
        <x:v>XLP</x:v>
      </x:c>
      <x:c r="E108" s="39" t="n">
        <x:v>1.301042607e-18</x:v>
      </x:c>
      <x:c r="F108" s="39" t="n">
        <x:v>0.9601534605</x:v>
      </x:c>
      <x:c r="G108" s="39" t="n">
        <x:v>7.5821181226</x:v>
      </x:c>
      <x:c r="H108" s="39" t="n">
        <x:v>1e-10</x:v>
      </x:c>
      <x:c r="I108" s="31" t="n">
        <x:v>80</x:v>
      </x:c>
      <x:c r="J108" s="39" t="n">
        <x:v>0.4243054485</x:v>
      </x:c>
    </x:row>
    <x:row r="109" ht="19" customHeight="1">
      <x:c r="A109" s="30" t="str">
        <x:v>stagger_1</x:v>
      </x:c>
      <x:c r="B109" s="39" t="str">
        <x:v>PG</x:v>
      </x:c>
      <x:c r="C109" s="39" t="str">
        <x:v>Other sectors</x:v>
      </x:c>
      <x:c r="D109" s="39" t="str">
        <x:v>XLE</x:v>
      </x:c>
      <x:c r="E109" s="39" t="n">
        <x:v>4.33680869e-19</x:v>
      </x:c>
      <x:c r="F109" s="39" t="n">
        <x:v>-0.1736471485</x:v>
      </x:c>
      <x:c r="G109" s="39" t="n">
        <x:v>-3.2914604578</x:v>
      </x:c>
      <x:c r="H109" s="39" t="n">
        <x:v>0.0014985788</x:v>
      </x:c>
      <x:c r="I109" s="31" t="n">
        <x:v>80</x:v>
      </x:c>
      <x:c r="J109" s="39" t="n">
        <x:v>0.1219549618</x:v>
      </x:c>
    </x:row>
    <x:row r="110" ht="19" customHeight="1">
      <x:c r="A110" s="30" t="str">
        <x:v>stagger_1</x:v>
      </x:c>
      <x:c r="B110" s="39" t="str">
        <x:v>F</x:v>
      </x:c>
      <x:c r="C110" s="39" t="str">
        <x:v>Other FX</x:v>
      </x:c>
      <x:c r="D110" s="39" t="str">
        <x:v>AUD/USD</x:v>
      </x:c>
      <x:c r="E110" s="39" t="n">
        <x:v>0.0110785731</x:v>
      </x:c>
      <x:c r="F110" s="39" t="n">
        <x:v>2.0246441532</x:v>
      </x:c>
      <x:c r="G110" s="39" t="n">
        <x:v>4.1741331194</x:v>
      </x:c>
      <x:c r="H110" s="39" t="n">
        <x:v>0.0000771382</x:v>
      </x:c>
      <x:c r="I110" s="31" t="n">
        <x:v>80</x:v>
      </x:c>
      <x:c r="J110" s="39" t="n">
        <x:v>0.182590325</x:v>
      </x:c>
    </x:row>
    <x:row r="111" ht="19" customHeight="1">
      <x:c r="A111" s="30" t="str">
        <x:v>stagger_1</x:v>
      </x:c>
      <x:c r="B111" s="39" t="str">
        <x:v>F</x:v>
      </x:c>
      <x:c r="C111" s="39" t="str">
        <x:v>SPY</x:v>
      </x:c>
      <x:c r="D111" s="39" t="str">
        <x:v>SPY</x:v>
      </x:c>
      <x:c r="E111" s="39" t="n">
        <x:v>-0.0114825861</x:v>
      </x:c>
      <x:c r="F111" s="39" t="n">
        <x:v>0.8753034666</x:v>
      </x:c>
      <x:c r="G111" s="39" t="n">
        <x:v>3.6182210542</x:v>
      </x:c>
      <x:c r="H111" s="39" t="n">
        <x:v>0.0005246812</x:v>
      </x:c>
      <x:c r="I111" s="31" t="n">
        <x:v>80</x:v>
      </x:c>
      <x:c r="J111" s="39" t="n">
        <x:v>0.1437183514</x:v>
      </x:c>
    </x:row>
    <x:row r="112" ht="19" customHeight="1">
      <x:c r="A112" s="30" t="str">
        <x:v>stagger_1</x:v>
      </x:c>
      <x:c r="B112" s="39" t="str">
        <x:v>F</x:v>
      </x:c>
      <x:c r="C112" s="39" t="str">
        <x:v>Primary sector</x:v>
      </x:c>
      <x:c r="D112" s="39" t="str">
        <x:v>XLY</x:v>
      </x:c>
      <x:c r="E112" s="39" t="n">
        <x:v>0</x:v>
      </x:c>
      <x:c r="F112" s="39" t="n">
        <x:v>0.4715679877</x:v>
      </x:c>
      <x:c r="G112" s="39" t="n">
        <x:v>1.4243292443</x:v>
      </x:c>
      <x:c r="H112" s="39" t="n">
        <x:v>0.1583397819</x:v>
      </x:c>
      <x:c r="I112" s="31" t="n">
        <x:v>80</x:v>
      </x:c>
      <x:c r="J112" s="39" t="n">
        <x:v>0.0253498238</x:v>
      </x:c>
    </x:row>
    <x:row r="113" ht="19" customHeight="1">
      <x:c r="A113" s="30" t="str">
        <x:v>stagger_1</x:v>
      </x:c>
      <x:c r="B113" s="39" t="str">
        <x:v>HPE</x:v>
      </x:c>
      <x:c r="C113" s="39" t="str">
        <x:v>SPY</x:v>
      </x:c>
      <x:c r="D113" s="39" t="str">
        <x:v>SPY</x:v>
      </x:c>
      <x:c r="E113" s="39" t="n">
        <x:v>0.0136453296</x:v>
      </x:c>
      <x:c r="F113" s="39" t="n">
        <x:v>1.2852879621</x:v>
      </x:c>
      <x:c r="G113" s="39" t="n">
        <x:v>4.4400478875</x:v>
      </x:c>
      <x:c r="H113" s="39" t="n">
        <x:v>0.0000292486</x:v>
      </x:c>
      <x:c r="I113" s="31" t="n">
        <x:v>80</x:v>
      </x:c>
      <x:c r="J113" s="39" t="n">
        <x:v>0.2017522581</x:v>
      </x:c>
    </x:row>
    <x:row r="114" ht="19" customHeight="1">
      <x:c r="A114" s="30" t="str">
        <x:v>stagger_1</x:v>
      </x:c>
      <x:c r="B114" s="39" t="str">
        <x:v>HPE</x:v>
      </x:c>
      <x:c r="C114" s="39" t="str">
        <x:v>Primary sector</x:v>
      </x:c>
      <x:c r="D114" s="39" t="str">
        <x:v>XLK</x:v>
      </x:c>
      <x:c r="E114" s="39" t="n">
        <x:v>3.469446952e-18</x:v>
      </x:c>
      <x:c r="F114" s="39" t="n">
        <x:v>1.2533752245</x:v>
      </x:c>
      <x:c r="G114" s="39" t="n">
        <x:v>3.7154385286</x:v>
      </x:c>
      <x:c r="H114" s="39" t="n">
        <x:v>0.0003795701</x:v>
      </x:c>
      <x:c r="I114" s="31" t="n">
        <x:v>80</x:v>
      </x:c>
      <x:c r="J114" s="39" t="n">
        <x:v>0.1503682929</x:v>
      </x:c>
    </x:row>
    <x:row r="115" ht="19" customHeight="1">
      <x:c r="A115" s="30" t="str">
        <x:v>stagger_1</x:v>
      </x:c>
      <x:c r="B115" s="39" t="str">
        <x:v>HPE</x:v>
      </x:c>
      <x:c r="C115" s="39" t="str">
        <x:v>Other sectors</x:v>
      </x:c>
      <x:c r="D115" s="39" t="str">
        <x:v>XLF</x:v>
      </x:c>
      <x:c r="E115" s="39" t="n">
        <x:v>-6.938893904e-18</x:v>
      </x:c>
      <x:c r="F115" s="39" t="n">
        <x:v>1.0629680777</x:v>
      </x:c>
      <x:c r="G115" s="39" t="n">
        <x:v>3.1354330935</x:v>
      </x:c>
      <x:c r="H115" s="39" t="n">
        <x:v>0.0024196003</x:v>
      </x:c>
      <x:c r="I115" s="31" t="n">
        <x:v>80</x:v>
      </x:c>
      <x:c r="J115" s="39" t="n">
        <x:v>0.1119302675</x:v>
      </x:c>
    </x:row>
    <x:row r="116" ht="19" customHeight="1">
      <x:c r="A116" s="30" t="str">
        <x:v>stagger_1</x:v>
      </x:c>
      <x:c r="B116" s="39" t="str">
        <x:v>HPE</x:v>
      </x:c>
      <x:c r="C116" s="39" t="str">
        <x:v>Other sectors</x:v>
      </x:c>
      <x:c r="D116" s="39" t="str">
        <x:v>XLC</x:v>
      </x:c>
      <x:c r="E116" s="39" t="n">
        <x:v>0</x:v>
      </x:c>
      <x:c r="F116" s="39" t="n">
        <x:v>-0.9491421166</x:v>
      </x:c>
      <x:c r="G116" s="39" t="n">
        <x:v>-2.7439445694</x:v>
      </x:c>
      <x:c r="H116" s="39" t="n">
        <x:v>0.0075295793</x:v>
      </x:c>
      <x:c r="I116" s="31" t="n">
        <x:v>80</x:v>
      </x:c>
      <x:c r="J116" s="39" t="n">
        <x:v>0.0880310935</x:v>
      </x:c>
    </x:row>
    <x:row r="117" ht="19" customHeight="1">
      <x:c r="A117" s="30" t="str">
        <x:v>stagger_1</x:v>
      </x:c>
      <x:c r="B117" s="39" t="str">
        <x:v>HPE</x:v>
      </x:c>
      <x:c r="C117" s="39" t="str">
        <x:v>Other sectors</x:v>
      </x:c>
      <x:c r="D117" s="39" t="str">
        <x:v>XLE</x:v>
      </x:c>
      <x:c r="E117" s="39" t="n">
        <x:v>2.602085214e-18</x:v>
      </x:c>
      <x:c r="F117" s="39" t="n">
        <x:v>0.2843849791</x:v>
      </x:c>
      <x:c r="G117" s="39" t="n">
        <x:v>2.1401634706</x:v>
      </x:c>
      <x:c r="H117" s="39" t="n">
        <x:v>0.0354668359</x:v>
      </x:c>
      <x:c r="I117" s="31" t="n">
        <x:v>80</x:v>
      </x:c>
      <x:c r="J117" s="39" t="n">
        <x:v>0.0554647985</x:v>
      </x:c>
    </x:row>
    <x:row r="118" ht="19" customHeight="1">
      <x:c r="A118" s="30" t="str">
        <x:v>stagger_1</x:v>
      </x:c>
      <x:c r="B118" s="39" t="str">
        <x:v>HPE</x:v>
      </x:c>
      <x:c r="C118" s="39" t="str">
        <x:v>Other sectors</x:v>
      </x:c>
      <x:c r="D118" s="39" t="str">
        <x:v>XLRE</x:v>
      </x:c>
      <x:c r="E118" s="39" t="n">
        <x:v>3.469446952e-18</x:v>
      </x:c>
      <x:c r="F118" s="39" t="n">
        <x:v>-0.636646429</x:v>
      </x:c>
      <x:c r="G118" s="39" t="n">
        <x:v>-2.4491026878</x:v>
      </x:c>
      <x:c r="H118" s="39" t="n">
        <x:v>0.0165642356</x:v>
      </x:c>
      <x:c r="I118" s="31" t="n">
        <x:v>80</x:v>
      </x:c>
      <x:c r="J118" s="39" t="n">
        <x:v>0.0714076115</x:v>
      </x:c>
    </x:row>
    <x:row r="119" ht="19" customHeight="1">
      <x:c r="A119" s="30" t="str">
        <x:v>stagger_1</x:v>
      </x:c>
      <x:c r="B119" s="39" t="str">
        <x:v>BA</x:v>
      </x:c>
      <x:c r="C119" s="39" t="str">
        <x:v>Other FX</x:v>
      </x:c>
      <x:c r="D119" s="39" t="str">
        <x:v>AUD/USD</x:v>
      </x:c>
      <x:c r="E119" s="39" t="n">
        <x:v>0.0029703095</x:v>
      </x:c>
      <x:c r="F119" s="39" t="n">
        <x:v>2.0229612897</x:v>
      </x:c>
      <x:c r="G119" s="39" t="n">
        <x:v>4.6111204246</x:v>
      </x:c>
      <x:c r="H119" s="39" t="n">
        <x:v>0.0000154204</x:v>
      </x:c>
      <x:c r="I119" s="31" t="n">
        <x:v>80</x:v>
      </x:c>
      <x:c r="J119" s="39" t="n">
        <x:v>0.2142042184</x:v>
      </x:c>
    </x:row>
    <x:row r="120" ht="19" customHeight="1">
      <x:c r="A120" s="30" t="str">
        <x:v>stagger_1</x:v>
      </x:c>
      <x:c r="B120" s="39" t="str">
        <x:v>BA</x:v>
      </x:c>
      <x:c r="C120" s="39" t="str">
        <x:v>SPY</x:v>
      </x:c>
      <x:c r="D120" s="39" t="str">
        <x:v>SPY</x:v>
      </x:c>
      <x:c r="E120" s="39" t="n">
        <x:v>-0.0085939423</x:v>
      </x:c>
      <x:c r="F120" s="39" t="n">
        <x:v>0.655105692</x:v>
      </x:c>
      <x:c r="G120" s="39" t="n">
        <x:v>2.9177754247</x:v>
      </x:c>
      <x:c r="H120" s="39" t="n">
        <x:v>0.004603707</x:v>
      </x:c>
      <x:c r="I120" s="31" t="n">
        <x:v>80</x:v>
      </x:c>
      <x:c r="J120" s="39" t="n">
        <x:v>0.0984057049</x:v>
      </x:c>
    </x:row>
    <x:row r="121" ht="19" customHeight="1">
      <x:c r="A121" s="30" t="str">
        <x:v>stagger_1</x:v>
      </x:c>
      <x:c r="B121" s="39" t="str">
        <x:v>BA</x:v>
      </x:c>
      <x:c r="C121" s="39" t="str">
        <x:v>Primary sector</x:v>
      </x:c>
      <x:c r="D121" s="39" t="str">
        <x:v>XLI</x:v>
      </x:c>
      <x:c r="E121" s="39" t="n">
        <x:v>6.071532166e-18</x:v>
      </x:c>
      <x:c r="F121" s="39" t="n">
        <x:v>0.3642692186</x:v>
      </x:c>
      <x:c r="G121" s="39" t="n">
        <x:v>1.152369165</x:v>
      </x:c>
      <x:c r="H121" s="39" t="n">
        <x:v>0.2526890185</x:v>
      </x:c>
      <x:c r="I121" s="31" t="n">
        <x:v>80</x:v>
      </x:c>
      <x:c r="J121" s="39" t="n">
        <x:v>0.0167400596</x:v>
      </x:c>
    </x:row>
    <x:row r="122" ht="19" customHeight="1">
      <x:c r="A122" s="30" t="str">
        <x:v>stagger_1</x:v>
      </x:c>
      <x:c r="B122" s="39" t="str">
        <x:v>BA</x:v>
      </x:c>
      <x:c r="C122" s="39" t="str">
        <x:v>Other sectors</x:v>
      </x:c>
      <x:c r="D122" s="39" t="str">
        <x:v>XLE</x:v>
      </x:c>
      <x:c r="E122" s="39" t="n">
        <x:v>2.168404345e-19</x:v>
      </x:c>
      <x:c r="F122" s="39" t="n">
        <x:v>-0.3072857084</x:v>
      </x:c>
      <x:c r="G122" s="39" t="n">
        <x:v>-2.5208502187</x:v>
      </x:c>
      <x:c r="H122" s="39" t="n">
        <x:v>0.0137473558</x:v>
      </x:c>
      <x:c r="I122" s="31" t="n">
        <x:v>80</x:v>
      </x:c>
      <x:c r="J122" s="39" t="n">
        <x:v>0.0753329322</x:v>
      </x:c>
    </x:row>
    <x:row r="123" ht="19" customHeight="1">
      <x:c r="A123" s="30" t="str">
        <x:v>stagger_1</x:v>
      </x:c>
      <x:c r="B123" s="39" t="str">
        <x:v>HII</x:v>
      </x:c>
      <x:c r="C123" s="39" t="str">
        <x:v>Other FX</x:v>
      </x:c>
      <x:c r="D123" s="39" t="str">
        <x:v>AUD/USD</x:v>
      </x:c>
      <x:c r="E123" s="39" t="n">
        <x:v>0.0090574248</x:v>
      </x:c>
      <x:c r="F123" s="39" t="n">
        <x:v>1.7449135935</x:v>
      </x:c>
      <x:c r="G123" s="39" t="n">
        <x:v>3.9324677456</x:v>
      </x:c>
      <x:c r="H123" s="39" t="n">
        <x:v>0.0001809595</x:v>
      </x:c>
      <x:c r="I123" s="31" t="n">
        <x:v>80</x:v>
      </x:c>
      <x:c r="J123" s="39" t="n">
        <x:v>0.1654567802</x:v>
      </x:c>
    </x:row>
    <x:row r="124" ht="19" customHeight="1">
      <x:c r="A124" s="30" t="str">
        <x:v>stagger_1</x:v>
      </x:c>
      <x:c r="B124" s="39" t="str">
        <x:v>HII</x:v>
      </x:c>
      <x:c r="C124" s="39" t="str">
        <x:v>SPY</x:v>
      </x:c>
      <x:c r="D124" s="39" t="str">
        <x:v>SPY</x:v>
      </x:c>
      <x:c r="E124" s="39" t="n">
        <x:v>0.0047828537</x:v>
      </x:c>
      <x:c r="F124" s="39" t="n">
        <x:v>-0.3645910783</x:v>
      </x:c>
      <x:c r="G124" s="39" t="n">
        <x:v>-1.5477216882</x:v>
      </x:c>
      <x:c r="H124" s="39" t="n">
        <x:v>0.1257373391</x:v>
      </x:c>
      <x:c r="I124" s="31" t="n">
        <x:v>80</x:v>
      </x:c>
      <x:c r="J124" s="39" t="n">
        <x:v>0.029795749</x:v>
      </x:c>
    </x:row>
    <x:row r="125" ht="19" customHeight="1">
      <x:c r="A125" s="30" t="str">
        <x:v>stagger_1</x:v>
      </x:c>
      <x:c r="B125" s="39" t="str">
        <x:v>HII</x:v>
      </x:c>
      <x:c r="C125" s="39" t="str">
        <x:v>Primary sector</x:v>
      </x:c>
      <x:c r="D125" s="39" t="str">
        <x:v>XLI</x:v>
      </x:c>
      <x:c r="E125" s="39" t="n">
        <x:v>1.734723476e-18</x:v>
      </x:c>
      <x:c r="F125" s="39" t="n">
        <x:v>0.8169778171</x:v>
      </x:c>
      <x:c r="G125" s="39" t="n">
        <x:v>2.5417918709</x:v>
      </x:c>
      <x:c r="H125" s="39" t="n">
        <x:v>0.0130106983</x:v>
      </x:c>
      <x:c r="I125" s="31" t="n">
        <x:v>80</x:v>
      </x:c>
      <x:c r="J125" s="39" t="n">
        <x:v>0.0764936291</x:v>
      </x:c>
    </x:row>
    <x:row r="126" ht="19" customHeight="1">
      <x:c r="A126" s="30" t="str">
        <x:v>stagger_1</x:v>
      </x:c>
      <x:c r="B126" s="39" t="str">
        <x:v>AMD</x:v>
      </x:c>
      <x:c r="C126" s="39" t="str">
        <x:v>Other FX</x:v>
      </x:c>
      <x:c r="D126" s="39" t="str">
        <x:v>AUD/USD</x:v>
      </x:c>
      <x:c r="E126" s="39" t="n">
        <x:v>0.0327768755</x:v>
      </x:c>
      <x:c r="F126" s="39" t="n">
        <x:v>1.7601711292</x:v>
      </x:c>
      <x:c r="G126" s="39" t="n">
        <x:v>2.0792624408</x:v>
      </x:c>
      <x:c r="H126" s="39" t="n">
        <x:v>0.0408794916</x:v>
      </x:c>
      <x:c r="I126" s="31" t="n">
        <x:v>80</x:v>
      </x:c>
      <x:c r="J126" s="39" t="n">
        <x:v>0.0525164881</x:v>
      </x:c>
    </x:row>
    <x:row r="127" ht="19" customHeight="1">
      <x:c r="A127" s="30" t="str">
        <x:v>stagger_1</x:v>
      </x:c>
      <x:c r="B127" s="39" t="str">
        <x:v>AMD</x:v>
      </x:c>
      <x:c r="C127" s="39" t="str">
        <x:v>SPY</x:v>
      </x:c>
      <x:c r="D127" s="39" t="str">
        <x:v>SPY</x:v>
      </x:c>
      <x:c r="E127" s="39" t="n">
        <x:v>-0.0283469315</x:v>
      </x:c>
      <x:c r="F127" s="39" t="n">
        <x:v>2.1608518519</x:v>
      </x:c>
      <x:c r="G127" s="39" t="n">
        <x:v>5.6108729491</x:v>
      </x:c>
      <x:c r="H127" s="39" t="n">
        <x:v>2.951e-7</x:v>
      </x:c>
      <x:c r="I127" s="31" t="n">
        <x:v>80</x:v>
      </x:c>
      <x:c r="J127" s="39" t="n">
        <x:v>0.2875534368</x:v>
      </x:c>
    </x:row>
    <x:row r="128" ht="19" customHeight="1">
      <x:c r="A128" s="30" t="str">
        <x:v>stagger_1</x:v>
      </x:c>
      <x:c r="B128" s="39" t="str">
        <x:v>AMD</x:v>
      </x:c>
      <x:c r="C128" s="39" t="str">
        <x:v>Primary sector</x:v>
      </x:c>
      <x:c r="D128" s="39" t="str">
        <x:v>XLK</x:v>
      </x:c>
      <x:c r="E128" s="39" t="n">
        <x:v>7.806255642e-18</x:v>
      </x:c>
      <x:c r="F128" s="39" t="n">
        <x:v>2.8617308391</x:v>
      </x:c>
      <x:c r="G128" s="39" t="n">
        <x:v>7.8744053492</x:v>
      </x:c>
      <x:c r="H128" s="39" t="n">
        <x:v>0</x:v>
      </x:c>
      <x:c r="I128" s="31" t="n">
        <x:v>80</x:v>
      </x:c>
      <x:c r="J128" s="39" t="n">
        <x:v>0.4428820524</x:v>
      </x:c>
    </x:row>
    <x:row r="129" ht="19" customHeight="1">
      <x:c r="A129" s="30" t="str">
        <x:v>stagger_1</x:v>
      </x:c>
      <x:c r="B129" s="39" t="str">
        <x:v>LLY</x:v>
      </x:c>
      <x:c r="C129" s="39" t="str">
        <x:v>SPY</x:v>
      </x:c>
      <x:c r="D129" s="39" t="str">
        <x:v>SPY</x:v>
      </x:c>
      <x:c r="E129" s="39" t="n">
        <x:v>0.0193120832</x:v>
      </x:c>
      <x:c r="F129" s="39" t="n">
        <x:v>0.4170006213</x:v>
      </x:c>
      <x:c r="G129" s="39" t="n">
        <x:v>1.7089718676</x:v>
      </x:c>
      <x:c r="H129" s="39" t="n">
        <x:v>0.0914324924</x:v>
      </x:c>
      <x:c r="I129" s="31" t="n">
        <x:v>80</x:v>
      </x:c>
      <x:c r="J129" s="39" t="n">
        <x:v>0.0360919888</x:v>
      </x:c>
    </x:row>
    <x:row r="130" ht="19" customHeight="1">
      <x:c r="A130" s="30" t="str">
        <x:v>stagger_1</x:v>
      </x:c>
      <x:c r="B130" s="39" t="str">
        <x:v>LLY</x:v>
      </x:c>
      <x:c r="C130" s="39" t="str">
        <x:v>Primary sector</x:v>
      </x:c>
      <x:c r="D130" s="39" t="str">
        <x:v>XLV</x:v>
      </x:c>
      <x:c r="E130" s="39" t="n">
        <x:v>1.301042607e-18</x:v>
      </x:c>
      <x:c r="F130" s="39" t="n">
        <x:v>1.3772468691</x:v>
      </x:c>
      <x:c r="G130" s="39" t="n">
        <x:v>5.7902414913</x:v>
      </x:c>
      <x:c r="H130" s="39" t="n">
        <x:v>1.405e-7</x:v>
      </x:c>
      <x:c r="I130" s="31" t="n">
        <x:v>80</x:v>
      </x:c>
      <x:c r="J130" s="39" t="n">
        <x:v>0.3006171387</x:v>
      </x:c>
    </x:row>
    <x:row r="131" ht="19" customHeight="1">
      <x:c r="A131" s="30" t="str">
        <x:v>stagger_1</x:v>
      </x:c>
      <x:c r="B131" s="39" t="str">
        <x:v>LLY</x:v>
      </x:c>
      <x:c r="C131" s="39" t="str">
        <x:v>Other sectors</x:v>
      </x:c>
      <x:c r="D131" s="39" t="str">
        <x:v>XLK</x:v>
      </x:c>
      <x:c r="E131" s="39" t="n">
        <x:v>-2.602085214e-18</x:v>
      </x:c>
      <x:c r="F131" s="39" t="n">
        <x:v>0.7570750371</x:v>
      </x:c>
      <x:c r="G131" s="39" t="n">
        <x:v>3.1112863618</x:v>
      </x:c>
      <x:c r="H131" s="39" t="n">
        <x:v>0.0026023712</x:v>
      </x:c>
      <x:c r="I131" s="31" t="n">
        <x:v>80</x:v>
      </x:c>
      <x:c r="J131" s="39" t="n">
        <x:v>0.1104025031</x:v>
      </x:c>
    </x:row>
    <x:row r="132" ht="19" customHeight="1">
      <x:c r="A132" s="30" t="str">
        <x:v>stagger_1</x:v>
      </x:c>
      <x:c r="B132" s="39" t="str">
        <x:v>WELL</x:v>
      </x:c>
      <x:c r="C132" s="39" t="str">
        <x:v>Other FX</x:v>
      </x:c>
      <x:c r="D132" s="39" t="str">
        <x:v>AUD/USD</x:v>
      </x:c>
      <x:c r="E132" s="39" t="n">
        <x:v>0.0218605613</x:v>
      </x:c>
      <x:c r="F132" s="39" t="n">
        <x:v>1.2466373392</x:v>
      </x:c>
      <x:c r="G132" s="39" t="n">
        <x:v>3.602797225</x:v>
      </x:c>
      <x:c r="H132" s="39" t="n">
        <x:v>0.0005520742</x:v>
      </x:c>
      <x:c r="I132" s="31" t="n">
        <x:v>80</x:v>
      </x:c>
      <x:c r="J132" s="39" t="n">
        <x:v>0.1426701116</x:v>
      </x:c>
    </x:row>
    <x:row r="133" ht="19" customHeight="1">
      <x:c r="A133" s="30" t="str">
        <x:v>stagger_1</x:v>
      </x:c>
      <x:c r="B133" s="39" t="str">
        <x:v>WELL</x:v>
      </x:c>
      <x:c r="C133" s="39" t="str">
        <x:v>SPY</x:v>
      </x:c>
      <x:c r="D133" s="39" t="str">
        <x:v>SPY</x:v>
      </x:c>
      <x:c r="E133" s="39" t="n">
        <x:v>-0.0048401784</x:v>
      </x:c>
      <x:c r="F133" s="39" t="n">
        <x:v>0.3689608673</x:v>
      </x:c>
      <x:c r="G133" s="39" t="n">
        <x:v>2.0299541392</x:v>
      </x:c>
      <x:c r="H133" s="39" t="n">
        <x:v>0.0457708901</x:v>
      </x:c>
      <x:c r="I133" s="31" t="n">
        <x:v>80</x:v>
      </x:c>
      <x:c r="J133" s="39" t="n">
        <x:v>0.0501787383</x:v>
      </x:c>
    </x:row>
    <x:row r="134" ht="19" customHeight="1">
      <x:c r="A134" s="30" t="str">
        <x:v>stagger_1</x:v>
      </x:c>
      <x:c r="B134" s="39" t="str">
        <x:v>WELL</x:v>
      </x:c>
      <x:c r="C134" s="39" t="str">
        <x:v>Primary sector</x:v>
      </x:c>
      <x:c r="D134" s="39" t="str">
        <x:v>XLRE</x:v>
      </x:c>
      <x:c r="E134" s="39" t="n">
        <x:v>-1.734723476e-18</x:v>
      </x:c>
      <x:c r="F134" s="39" t="n">
        <x:v>0.9029098857</x:v>
      </x:c>
      <x:c r="G134" s="39" t="n">
        <x:v>4.9192427563</x:v>
      </x:c>
      <x:c r="H134" s="39" t="n">
        <x:v>0.0000047267</x:v>
      </x:c>
      <x:c r="I134" s="31" t="n">
        <x:v>80</x:v>
      </x:c>
      <x:c r="J134" s="39" t="n">
        <x:v>0.2367827601</x:v>
      </x:c>
    </x:row>
    <x:row r="135" ht="19" customHeight="1">
      <x:c r="A135" s="30" t="str">
        <x:v>stagger_1</x:v>
      </x:c>
      <x:c r="B135" s="39" t="str">
        <x:v>WELL</x:v>
      </x:c>
      <x:c r="C135" s="39" t="str">
        <x:v>Other sectors</x:v>
      </x:c>
      <x:c r="D135" s="39" t="str">
        <x:v>XLB</x:v>
      </x:c>
      <x:c r="E135" s="39" t="n">
        <x:v>-3.469446952e-18</x:v>
      </x:c>
      <x:c r="F135" s="39" t="n">
        <x:v>-0.3848135838</x:v>
      </x:c>
      <x:c r="G135" s="39" t="n">
        <x:v>-2.3809404063</x:v>
      </x:c>
      <x:c r="H135" s="39" t="n">
        <x:v>0.0197079323</x:v>
      </x:c>
      <x:c r="I135" s="31" t="n">
        <x:v>80</x:v>
      </x:c>
      <x:c r="J135" s="39" t="n">
        <x:v>0.0677537145</x:v>
      </x:c>
    </x:row>
    <x:row r="136" ht="19" customHeight="1">
      <x:c r="A136" s="30" t="str">
        <x:v>stagger_1</x:v>
      </x:c>
      <x:c r="B136" s="39" t="str">
        <x:v>WELL</x:v>
      </x:c>
      <x:c r="C136" s="39" t="str">
        <x:v>Other sectors</x:v>
      </x:c>
      <x:c r="D136" s="39" t="str">
        <x:v>XLK</x:v>
      </x:c>
      <x:c r="E136" s="39" t="n">
        <x:v>-8.67361738e-19</x:v>
      </x:c>
      <x:c r="F136" s="39" t="n">
        <x:v>-0.5799529552</x:v>
      </x:c>
      <x:c r="G136" s="39" t="n">
        <x:v>-3.1800866798</x:v>
      </x:c>
      <x:c r="H136" s="39" t="n">
        <x:v>0.0021127634</x:v>
      </x:c>
      <x:c r="I136" s="31" t="n">
        <x:v>80</x:v>
      </x:c>
      <x:c r="J136" s="39" t="n">
        <x:v>0.1147725861</x:v>
      </x:c>
    </x:row>
    <x:row r="137" ht="19" customHeight="1">
      <x:c r="A137" s="30" t="str">
        <x:v>stagger_1</x:v>
      </x:c>
      <x:c r="B137" s="39" t="str">
        <x:v>NOK</x:v>
      </x:c>
      <x:c r="C137" s="39" t="str">
        <x:v>Home FX</x:v>
      </x:c>
      <x:c r="D137" s="39" t="str">
        <x:v>EUR/USD</x:v>
      </x:c>
      <x:c r="E137" s="39" t="n">
        <x:v>0.0177614985</x:v>
      </x:c>
      <x:c r="F137" s="39" t="n">
        <x:v>0.3739468287</x:v>
      </x:c>
      <x:c r="G137" s="39" t="n">
        <x:v>0.4725763587</x:v>
      </x:c>
      <x:c r="H137" s="39" t="n">
        <x:v>0.6378350903</x:v>
      </x:c>
      <x:c r="I137" s="31" t="n">
        <x:v>80</x:v>
      </x:c>
      <x:c r="J137" s="39" t="n">
        <x:v>0.0028550104</x:v>
      </x:c>
    </x:row>
    <x:row r="138" ht="19" customHeight="1">
      <x:c r="A138" s="30" t="str">
        <x:v>stagger_1</x:v>
      </x:c>
      <x:c r="B138" s="39" t="str">
        <x:v>NOK</x:v>
      </x:c>
      <x:c r="C138" s="39" t="str">
        <x:v>SPY</x:v>
      </x:c>
      <x:c r="D138" s="39" t="str">
        <x:v>SPY</x:v>
      </x:c>
      <x:c r="E138" s="39" t="n">
        <x:v>-0.0127457495</x:v>
      </x:c>
      <x:c r="F138" s="39" t="n">
        <x:v>0.9715928689</x:v>
      </x:c>
      <x:c r="G138" s="39" t="n">
        <x:v>2.7651454426</x:v>
      </x:c>
      <x:c r="H138" s="39" t="n">
        <x:v>0.0070985836</x:v>
      </x:c>
      <x:c r="I138" s="31" t="n">
        <x:v>80</x:v>
      </x:c>
      <x:c r="J138" s="39" t="n">
        <x:v>0.0892747671</x:v>
      </x:c>
    </x:row>
    <x:row r="139" ht="19" customHeight="1">
      <x:c r="A139" s="30" t="str">
        <x:v>stagger_1</x:v>
      </x:c>
      <x:c r="B139" s="39" t="str">
        <x:v>NOK</x:v>
      </x:c>
      <x:c r="C139" s="39" t="str">
        <x:v>Primary sector</x:v>
      </x:c>
      <x:c r="D139" s="39" t="str">
        <x:v>XLK</x:v>
      </x:c>
      <x:c r="E139" s="39" t="n">
        <x:v>1.734723476e-18</x:v>
      </x:c>
      <x:c r="F139" s="39" t="n">
        <x:v>1.5276014886</x:v>
      </x:c>
      <x:c r="G139" s="39" t="n">
        <x:v>3.7333716514</x:v>
      </x:c>
      <x:c r="H139" s="39" t="n">
        <x:v>0.0003573671</x:v>
      </x:c>
      <x:c r="I139" s="31" t="n">
        <x:v>80</x:v>
      </x:c>
      <x:c r="J139" s="39" t="n">
        <x:v>0.1516027562</x:v>
      </x:c>
    </x:row>
    <x:row r="140" ht="19" customHeight="1">
      <x:c r="A140" s="30" t="str">
        <x:v>stagger_1</x:v>
      </x:c>
      <x:c r="B140" s="39" t="str">
        <x:v>NOK</x:v>
      </x:c>
      <x:c r="C140" s="39" t="str">
        <x:v>Other sectors</x:v>
      </x:c>
      <x:c r="D140" s="39" t="str">
        <x:v>XLE</x:v>
      </x:c>
      <x:c r="E140" s="39" t="n">
        <x:v>-9.107298249e-18</x:v>
      </x:c>
      <x:c r="F140" s="39" t="n">
        <x:v>0.3927158483</x:v>
      </x:c>
      <x:c r="G140" s="39" t="n">
        <x:v>2.1959883676</x:v>
      </x:c>
      <x:c r="H140" s="39" t="n">
        <x:v>0.0310640802</x:v>
      </x:c>
      <x:c r="I140" s="31" t="n">
        <x:v>80</x:v>
      </x:c>
      <x:c r="J140" s="39" t="n">
        <x:v>0.058225395</x:v>
      </x:c>
    </x:row>
    <x:row r="141" ht="19" customHeight="1">
      <x:c r="A141" s="30" t="str">
        <x:v>stagger_1</x:v>
      </x:c>
      <x:c r="B141" s="39" t="str">
        <x:v>MSFT</x:v>
      </x:c>
      <x:c r="C141" s="39" t="str">
        <x:v>SPY</x:v>
      </x:c>
      <x:c r="D141" s="39" t="str">
        <x:v>SPY</x:v>
      </x:c>
      <x:c r="E141" s="39" t="n">
        <x:v>-0.0062915665</x:v>
      </x:c>
      <x:c r="F141" s="39" t="n">
        <x:v>1.3538794643</x:v>
      </x:c>
      <x:c r="G141" s="39" t="n">
        <x:v>8.1165665599</x:v>
      </x:c>
      <x:c r="H141" s="39" t="n">
        <x:v>0</x:v>
      </x:c>
      <x:c r="I141" s="31" t="n">
        <x:v>80</x:v>
      </x:c>
      <x:c r="J141" s="39" t="n">
        <x:v>0.4578764916</x:v>
      </x:c>
    </x:row>
    <x:row r="142" ht="19" customHeight="1">
      <x:c r="A142" s="30" t="str">
        <x:v>stagger_1</x:v>
      </x:c>
      <x:c r="B142" s="39" t="str">
        <x:v>MSFT</x:v>
      </x:c>
      <x:c r="C142" s="39" t="str">
        <x:v>Primary sector</x:v>
      </x:c>
      <x:c r="D142" s="39" t="str">
        <x:v>XLK</x:v>
      </x:c>
      <x:c r="E142" s="39" t="n">
        <x:v>6.938893904e-18</x:v>
      </x:c>
      <x:c r="F142" s="39" t="n">
        <x:v>0.3887020383</x:v>
      </x:c>
      <x:c r="G142" s="39" t="n">
        <x:v>1.8846742031</x:v>
      </x:c>
      <x:c r="H142" s="39" t="n">
        <x:v>0.0631988476</x:v>
      </x:c>
      <x:c r="I142" s="31" t="n">
        <x:v>80</x:v>
      </x:c>
      <x:c r="J142" s="39" t="n">
        <x:v>0.0435549954</x:v>
      </x:c>
    </x:row>
    <x:row r="143" ht="19" customHeight="1">
      <x:c r="A143" s="30" t="str">
        <x:v>stagger_1</x:v>
      </x:c>
      <x:c r="B143" s="39" t="str">
        <x:v>MSFT</x:v>
      </x:c>
      <x:c r="C143" s="39" t="str">
        <x:v>Other sectors</x:v>
      </x:c>
      <x:c r="D143" s="39" t="str">
        <x:v>XLI</x:v>
      </x:c>
      <x:c r="E143" s="39" t="n">
        <x:v>-3.903127821e-18</x:v>
      </x:c>
      <x:c r="F143" s="39" t="n">
        <x:v>-0.5828445957</x:v>
      </x:c>
      <x:c r="G143" s="39" t="n">
        <x:v>-2.6252053875</x:v>
      </x:c>
      <x:c r="H143" s="39" t="n">
        <x:v>0.0104169294</x:v>
      </x:c>
      <x:c r="I143" s="31" t="n">
        <x:v>80</x:v>
      </x:c>
      <x:c r="J143" s="39" t="n">
        <x:v>0.0811822953</x:v>
      </x:c>
    </x:row>
    <x:row r="144" ht="19" customHeight="1">
      <x:c r="A144" s="30" t="str">
        <x:v>stagger_1</x:v>
      </x:c>
      <x:c r="B144" s="39" t="str">
        <x:v>GOOGL</x:v>
      </x:c>
      <x:c r="C144" s="39" t="str">
        <x:v>Other FX</x:v>
      </x:c>
      <x:c r="D144" s="39" t="str">
        <x:v>AUD/USD</x:v>
      </x:c>
      <x:c r="E144" s="39" t="n">
        <x:v>0.0207859875</x:v>
      </x:c>
      <x:c r="F144" s="39" t="n">
        <x:v>1.0817910482</x:v>
      </x:c>
      <x:c r="G144" s="39" t="n">
        <x:v>2.2919717556</x:v>
      </x:c>
      <x:c r="H144" s="39" t="n">
        <x:v>0.0246046862</x:v>
      </x:c>
      <x:c r="I144" s="31" t="n">
        <x:v>80</x:v>
      </x:c>
      <x:c r="J144" s="39" t="n">
        <x:v>0.0630983393</x:v>
      </x:c>
    </x:row>
    <x:row r="145" ht="19" customHeight="1">
      <x:c r="A145" s="30" t="str">
        <x:v>stagger_1</x:v>
      </x:c>
      <x:c r="B145" s="39" t="str">
        <x:v>GOOGL</x:v>
      </x:c>
      <x:c r="C145" s="39" t="str">
        <x:v>SPY</x:v>
      </x:c>
      <x:c r="D145" s="39" t="str">
        <x:v>SPY</x:v>
      </x:c>
      <x:c r="E145" s="39" t="n">
        <x:v>-0.014880635</x:v>
      </x:c>
      <x:c r="F145" s="39" t="n">
        <x:v>1.1343325751</x:v>
      </x:c>
      <x:c r="G145" s="39" t="n">
        <x:v>5.1656692862</x:v>
      </x:c>
      <x:c r="H145" s="39" t="n">
        <x:v>0.0000017906</x:v>
      </x:c>
      <x:c r="I145" s="31" t="n">
        <x:v>80</x:v>
      </x:c>
      <x:c r="J145" s="39" t="n">
        <x:v>0.2549014529</x:v>
      </x:c>
    </x:row>
    <x:row r="146" ht="19" customHeight="1">
      <x:c r="A146" s="30" t="str">
        <x:v>stagger_1</x:v>
      </x:c>
      <x:c r="B146" s="39" t="str">
        <x:v>GOOGL</x:v>
      </x:c>
      <x:c r="C146" s="39" t="str">
        <x:v>Primary sector</x:v>
      </x:c>
      <x:c r="D146" s="39" t="str">
        <x:v>XLC</x:v>
      </x:c>
      <x:c r="E146" s="39" t="n">
        <x:v>-3.469446952e-18</x:v>
      </x:c>
      <x:c r="F146" s="39" t="n">
        <x:v>0.6948169015</x:v>
      </x:c>
      <x:c r="G146" s="39" t="n">
        <x:v>2.2678162809</x:v>
      </x:c>
      <x:c r="H146" s="39" t="n">
        <x:v>0.02610748</x:v>
      </x:c>
      <x:c r="I146" s="31" t="n">
        <x:v>80</x:v>
      </x:c>
      <x:c r="J146" s="39" t="n">
        <x:v>0.0618571769</x:v>
      </x:c>
    </x:row>
    <x:row r="147" ht="19" customHeight="1">
      <x:c r="A147" s="30" t="str">
        <x:v>stagger_1</x:v>
      </x:c>
      <x:c r="B147" s="39" t="str">
        <x:v>GOOGL</x:v>
      </x:c>
      <x:c r="C147" s="39" t="str">
        <x:v>Other sectors</x:v>
      </x:c>
      <x:c r="D147" s="39" t="str">
        <x:v>XLB</x:v>
      </x:c>
      <x:c r="E147" s="39" t="n">
        <x:v>8.67361738e-19</x:v>
      </x:c>
      <x:c r="F147" s="39" t="n">
        <x:v>-0.9690721817</x:v>
      </x:c>
      <x:c r="G147" s="39" t="n">
        <x:v>-4.9560596478</x:v>
      </x:c>
      <x:c r="H147" s="39" t="n">
        <x:v>0.0000040941</x:v>
      </x:c>
      <x:c r="I147" s="31" t="n">
        <x:v>80</x:v>
      </x:c>
      <x:c r="J147" s="39" t="n">
        <x:v>0.2394883189</x:v>
      </x:c>
    </x:row>
    <x:row r="148" ht="19" customHeight="1">
      <x:c r="A148" s="30" t="str">
        <x:v>stagger_1</x:v>
      </x:c>
      <x:c r="B148" s="39" t="str">
        <x:v>GOOGL</x:v>
      </x:c>
      <x:c r="C148" s="39" t="str">
        <x:v>Other sectors</x:v>
      </x:c>
      <x:c r="D148" s="39" t="str">
        <x:v>XLRE</x:v>
      </x:c>
      <x:c r="E148" s="39" t="n">
        <x:v>1.301042607e-18</x:v>
      </x:c>
      <x:c r="F148" s="39" t="n">
        <x:v>-0.5916014975</x:v>
      </x:c>
      <x:c r="G148" s="39" t="n">
        <x:v>-2.9047149147</x:v>
      </x:c>
      <x:c r="H148" s="39" t="n">
        <x:v>0.0047803181</x:v>
      </x:c>
      <x:c r="I148" s="31" t="n">
        <x:v>80</x:v>
      </x:c>
      <x:c r="J148" s="39" t="n">
        <x:v>0.0976125125</x:v>
      </x:c>
    </x:row>
    <x:row r="149" ht="19" customHeight="1">
      <x:c r="A149" s="30" t="str">
        <x:v>stagger_1</x:v>
      </x:c>
      <x:c r="B149" s="39" t="str">
        <x:v>COST</x:v>
      </x:c>
      <x:c r="C149" s="39" t="str">
        <x:v>Other FX</x:v>
      </x:c>
      <x:c r="D149" s="39" t="str">
        <x:v>AUD/USD</x:v>
      </x:c>
      <x:c r="E149" s="39" t="n">
        <x:v>0.0130159339</x:v>
      </x:c>
      <x:c r="F149" s="39" t="n">
        <x:v>0.822183447</x:v>
      </x:c>
      <x:c r="G149" s="39" t="n">
        <x:v>2.8741062166</x:v>
      </x:c>
      <x:c r="H149" s="39" t="n">
        <x:v>0.0052189829</x:v>
      </x:c>
      <x:c r="I149" s="31" t="n">
        <x:v>80</x:v>
      </x:c>
      <x:c r="J149" s="39" t="n">
        <x:v>0.095762114</x:v>
      </x:c>
    </x:row>
    <x:row r="150" ht="19" customHeight="1">
      <x:c r="A150" s="30" t="str">
        <x:v>stagger_1</x:v>
      </x:c>
      <x:c r="B150" s="39" t="str">
        <x:v>COST</x:v>
      </x:c>
      <x:c r="C150" s="39" t="str">
        <x:v>SPY</x:v>
      </x:c>
      <x:c r="D150" s="39" t="str">
        <x:v>SPY</x:v>
      </x:c>
      <x:c r="E150" s="39" t="n">
        <x:v>-0.006065946</x:v>
      </x:c>
      <x:c r="F150" s="39" t="n">
        <x:v>0.4623996283</x:v>
      </x:c>
      <x:c r="G150" s="39" t="n">
        <x:v>3.1884742174</x:v>
      </x:c>
      <x:c r="H150" s="39" t="n">
        <x:v>0.0020593483</x:v>
      </x:c>
      <x:c r="I150" s="31" t="n">
        <x:v>80</x:v>
      </x:c>
      <x:c r="J150" s="39" t="n">
        <x:v>0.1153089107</x:v>
      </x:c>
    </x:row>
    <x:row r="151" ht="19" customHeight="1">
      <x:c r="A151" s="30" t="str">
        <x:v>stagger_1</x:v>
      </x:c>
      <x:c r="B151" s="39" t="str">
        <x:v>COST</x:v>
      </x:c>
      <x:c r="C151" s="39" t="str">
        <x:v>Primary sector</x:v>
      </x:c>
      <x:c r="D151" s="39" t="str">
        <x:v>XLP</x:v>
      </x:c>
      <x:c r="E151" s="39" t="n">
        <x:v>2.168404345e-19</x:v>
      </x:c>
      <x:c r="F151" s="39" t="n">
        <x:v>0.5982103317</x:v>
      </x:c>
      <x:c r="G151" s="39" t="n">
        <x:v>3.4591752106</x:v>
      </x:c>
      <x:c r="H151" s="39" t="n">
        <x:v>0.0008811416</x:v>
      </x:c>
      <x:c r="I151" s="31" t="n">
        <x:v>80</x:v>
      </x:c>
      <x:c r="J151" s="39" t="n">
        <x:v>0.1330047724</x:v>
      </x:c>
    </x:row>
    <x:row r="152" ht="19" customHeight="1">
      <x:c r="A152" s="30" t="str">
        <x:v>stagger_1</x:v>
      </x:c>
      <x:c r="B152" s="39" t="str">
        <x:v>COST</x:v>
      </x:c>
      <x:c r="C152" s="39" t="str">
        <x:v>Other sectors</x:v>
      </x:c>
      <x:c r="D152" s="39" t="str">
        <x:v>XLY</x:v>
      </x:c>
      <x:c r="E152" s="39" t="n">
        <x:v>1.843143693e-18</x:v>
      </x:c>
      <x:c r="F152" s="39" t="n">
        <x:v>0.4746443369</x:v>
      </x:c>
      <x:c r="G152" s="39" t="n">
        <x:v>2.6470298746</x:v>
      </x:c>
      <x:c r="H152" s="39" t="n">
        <x:v>0.0098205826</x:v>
      </x:c>
      <x:c r="I152" s="31" t="n">
        <x:v>80</x:v>
      </x:c>
      <x:c r="J152" s="39" t="n">
        <x:v>0.0824259926</x:v>
      </x:c>
    </x:row>
    <x:row r="153" ht="19" customHeight="1">
      <x:c r="A153" s="30" t="str">
        <x:v>stagger_1</x:v>
      </x:c>
      <x:c r="B153" s="39" t="str">
        <x:v>COST</x:v>
      </x:c>
      <x:c r="C153" s="39" t="str">
        <x:v>Other sectors</x:v>
      </x:c>
      <x:c r="D153" s="39" t="str">
        <x:v>XLF</x:v>
      </x:c>
      <x:c r="E153" s="39" t="n">
        <x:v>1.084202172e-18</x:v>
      </x:c>
      <x:c r="F153" s="39" t="n">
        <x:v>-0.3544011755</x:v>
      </x:c>
      <x:c r="G153" s="39" t="n">
        <x:v>-2.0882049602</x:v>
      </x:c>
      <x:c r="H153" s="39" t="n">
        <x:v>0.040042512</x:v>
      </x:c>
      <x:c r="I153" s="31" t="n">
        <x:v>80</x:v>
      </x:c>
      <x:c r="J153" s="39" t="n">
        <x:v>0.0529452184</x:v>
      </x:c>
    </x:row>
    <x:row r="154" ht="19" customHeight="1">
      <x:c r="A154" s="30" t="str">
        <x:v>stagger_1</x:v>
      </x:c>
      <x:c r="B154" s="39" t="str">
        <x:v>HD</x:v>
      </x:c>
      <x:c r="C154" s="39" t="str">
        <x:v>Other FX</x:v>
      </x:c>
      <x:c r="D154" s="39" t="str">
        <x:v>AUD/USD</x:v>
      </x:c>
      <x:c r="E154" s="39" t="n">
        <x:v>0.003489093</x:v>
      </x:c>
      <x:c r="F154" s="39" t="n">
        <x:v>0.8889662542</x:v>
      </x:c>
      <x:c r="G154" s="39" t="n">
        <x:v>2.519470888</x:v>
      </x:c>
      <x:c r="H154" s="39" t="n">
        <x:v>0.0137971692</x:v>
      </x:c>
      <x:c r="I154" s="31" t="n">
        <x:v>80</x:v>
      </x:c>
      <x:c r="J154" s="39" t="n">
        <x:v>0.0752567175</x:v>
      </x:c>
    </x:row>
    <x:row r="155" ht="19" customHeight="1">
      <x:c r="A155" s="30" t="str">
        <x:v>stagger_1</x:v>
      </x:c>
      <x:c r="B155" s="39" t="str">
        <x:v>HD</x:v>
      </x:c>
      <x:c r="C155" s="39" t="str">
        <x:v>SPY</x:v>
      </x:c>
      <x:c r="D155" s="39" t="str">
        <x:v>SPY</x:v>
      </x:c>
      <x:c r="E155" s="39" t="n">
        <x:v>-0.0095031624</x:v>
      </x:c>
      <x:c r="F155" s="39" t="n">
        <x:v>0.7244144274</x:v>
      </x:c>
      <x:c r="G155" s="39" t="n">
        <x:v>4.2221536213</x:v>
      </x:c>
      <x:c r="H155" s="39" t="n">
        <x:v>0.0000648998</x:v>
      </x:c>
      <x:c r="I155" s="31" t="n">
        <x:v>80</x:v>
      </x:c>
      <x:c r="J155" s="39" t="n">
        <x:v>0.1860296066</x:v>
      </x:c>
    </x:row>
    <x:row r="156" ht="19" customHeight="1">
      <x:c r="A156" s="30" t="str">
        <x:v>stagger_1</x:v>
      </x:c>
      <x:c r="B156" s="39" t="str">
        <x:v>HD</x:v>
      </x:c>
      <x:c r="C156" s="39" t="str">
        <x:v>Primary sector</x:v>
      </x:c>
      <x:c r="D156" s="39" t="str">
        <x:v>XLY</x:v>
      </x:c>
      <x:c r="E156" s="39" t="n">
        <x:v>-3.469446952e-18</x:v>
      </x:c>
      <x:c r="F156" s="39" t="n">
        <x:v>0.6540202296</x:v>
      </x:c>
      <x:c r="G156" s="39" t="n">
        <x:v>2.8935641325</x:v>
      </x:c>
      <x:c r="H156" s="39" t="n">
        <x:v>0.0049360282</x:v>
      </x:c>
      <x:c r="I156" s="31" t="n">
        <x:v>80</x:v>
      </x:c>
      <x:c r="J156" s="39" t="n">
        <x:v>0.0969370193</x:v>
      </x:c>
    </x:row>
    <x:row r="157" ht="19" customHeight="1">
      <x:c r="A157" s="30" t="str">
        <x:v>stagger_1</x:v>
      </x:c>
      <x:c r="B157" s="39" t="str">
        <x:v>HD</x:v>
      </x:c>
      <x:c r="C157" s="39" t="str">
        <x:v>Other sectors</x:v>
      </x:c>
      <x:c r="D157" s="39" t="str">
        <x:v>XLI</x:v>
      </x:c>
      <x:c r="E157" s="39" t="n">
        <x:v>1.734723476e-18</x:v>
      </x:c>
      <x:c r="F157" s="39" t="n">
        <x:v>0.6224067564</x:v>
      </x:c>
      <x:c r="G157" s="39" t="n">
        <x:v>2.8225604796</x:v>
      </x:c>
      <x:c r="H157" s="39" t="n">
        <x:v>0.0060422772</x:v>
      </x:c>
      <x:c r="I157" s="31" t="n">
        <x:v>80</x:v>
      </x:c>
      <x:c r="J157" s="39" t="n">
        <x:v>0.0926734884</x:v>
      </x:c>
    </x:row>
    <x:row r="158" ht="19" customHeight="1">
      <x:c r="A158" s="30" t="str">
        <x:v>stagger_1</x:v>
      </x:c>
      <x:c r="B158" s="39" t="str">
        <x:v>KO</x:v>
      </x:c>
      <x:c r="C158" s="39" t="str">
        <x:v>Other FX</x:v>
      </x:c>
      <x:c r="D158" s="39" t="str">
        <x:v>AUD/USD</x:v>
      </x:c>
      <x:c r="E158" s="39" t="n">
        <x:v>0.0106142184</x:v>
      </x:c>
      <x:c r="F158" s="39" t="n">
        <x:v>0.9641718478</x:v>
      </x:c>
      <x:c r="G158" s="39" t="n">
        <x:v>4.3975231718</x:v>
      </x:c>
      <x:c r="H158" s="39" t="n">
        <x:v>0.0000342275</x:v>
      </x:c>
      <x:c r="I158" s="31" t="n">
        <x:v>80</x:v>
      </x:c>
      <x:c r="J158" s="39" t="n">
        <x:v>0.1986702862</x:v>
      </x:c>
    </x:row>
    <x:row r="159" ht="19" customHeight="1">
      <x:c r="A159" s="30" t="str">
        <x:v>stagger_1</x:v>
      </x:c>
      <x:c r="B159" s="39" t="str">
        <x:v>KO</x:v>
      </x:c>
      <x:c r="C159" s="39" t="str">
        <x:v>SPY</x:v>
      </x:c>
      <x:c r="D159" s="39" t="str">
        <x:v>SPY</x:v>
      </x:c>
      <x:c r="E159" s="39" t="n">
        <x:v>-0.0009136139</x:v>
      </x:c>
      <x:c r="F159" s="39" t="n">
        <x:v>0.0696436653</x:v>
      </x:c>
      <x:c r="G159" s="39" t="n">
        <x:v>0.590651825</x:v>
      </x:c>
      <x:c r="H159" s="39" t="n">
        <x:v>0.556461313</x:v>
      </x:c>
      <x:c r="I159" s="31" t="n">
        <x:v>80</x:v>
      </x:c>
      <x:c r="J159" s="39" t="n">
        <x:v>0.0044527711</x:v>
      </x:c>
    </x:row>
    <x:row r="160" ht="19" customHeight="1">
      <x:c r="A160" s="30" t="str">
        <x:v>stagger_1</x:v>
      </x:c>
      <x:c r="B160" s="39" t="str">
        <x:v>KO</x:v>
      </x:c>
      <x:c r="C160" s="39" t="str">
        <x:v>Primary sector</x:v>
      </x:c>
      <x:c r="D160" s="39" t="str">
        <x:v>XLP</x:v>
      </x:c>
      <x:c r="E160" s="39" t="n">
        <x:v>4.33680869e-19</x:v>
      </x:c>
      <x:c r="F160" s="39" t="n">
        <x:v>0.8927283605</x:v>
      </x:c>
      <x:c r="G160" s="39" t="n">
        <x:v>7.957880936</x:v>
      </x:c>
      <x:c r="H160" s="39" t="n">
        <x:v>0</x:v>
      </x:c>
      <x:c r="I160" s="31" t="n">
        <x:v>80</x:v>
      </x:c>
      <x:c r="J160" s="39" t="n">
        <x:v>0.4480918692</x:v>
      </x:c>
    </x:row>
    <x:row r="161" ht="19" customHeight="1">
      <x:c r="A161" s="30" t="str">
        <x:v>stagger_1</x:v>
      </x:c>
      <x:c r="B161" s="39" t="str">
        <x:v>KO</x:v>
      </x:c>
      <x:c r="C161" s="39" t="str">
        <x:v>Other sectors</x:v>
      </x:c>
      <x:c r="D161" s="39" t="str">
        <x:v>XLY</x:v>
      </x:c>
      <x:c r="E161" s="39" t="n">
        <x:v>-9.757819552e-19</x:v>
      </x:c>
      <x:c r="F161" s="39" t="n">
        <x:v>-0.3946391309</x:v>
      </x:c>
      <x:c r="G161" s="39" t="n">
        <x:v>-3.4951456409</x:v>
      </x:c>
      <x:c r="H161" s="39" t="n">
        <x:v>0.0007846287</x:v>
      </x:c>
      <x:c r="I161" s="31" t="n">
        <x:v>80</x:v>
      </x:c>
      <x:c r="J161" s="39" t="n">
        <x:v>0.1354087659</x:v>
      </x:c>
    </x:row>
    <x:row r="162" ht="19" customHeight="1">
      <x:c r="A162" s="30" t="str">
        <x:v>stagger_1</x:v>
      </x:c>
      <x:c r="B162" s="39" t="str">
        <x:v>KO</x:v>
      </x:c>
      <x:c r="C162" s="39" t="str">
        <x:v>Other sectors</x:v>
      </x:c>
      <x:c r="D162" s="39" t="str">
        <x:v>XLB</x:v>
      </x:c>
      <x:c r="E162" s="39" t="n">
        <x:v>-2.168404345e-19</x:v>
      </x:c>
      <x:c r="F162" s="39" t="n">
        <x:v>-0.2217799258</x:v>
      </x:c>
      <x:c r="G162" s="39" t="n">
        <x:v>-2.7010401572</x:v>
      </x:c>
      <x:c r="H162" s="39" t="n">
        <x:v>0.0084757805</x:v>
      </x:c>
      <x:c r="I162" s="31" t="n">
        <x:v>80</x:v>
      </x:c>
      <x:c r="J162" s="39" t="n">
        <x:v>0.0855333264</x:v>
      </x:c>
    </x:row>
    <x:row r="163" ht="19" customHeight="1">
      <x:c r="A163" s="30" t="str">
        <x:v>stagger_1</x:v>
      </x:c>
      <x:c r="B163" s="39" t="str">
        <x:v>KO</x:v>
      </x:c>
      <x:c r="C163" s="39" t="str">
        <x:v>Other sectors</x:v>
      </x:c>
      <x:c r="D163" s="39" t="str">
        <x:v>XLC</x:v>
      </x:c>
      <x:c r="E163" s="39" t="n">
        <x:v>2.168404345e-19</x:v>
      </x:c>
      <x:c r="F163" s="39" t="n">
        <x:v>-0.2829501986</x:v>
      </x:c>
      <x:c r="G163" s="39" t="n">
        <x:v>-2.6314309513</x:v>
      </x:c>
      <x:c r="H163" s="39" t="n">
        <x:v>0.0102435547</x:v>
      </x:c>
      <x:c r="I163" s="31" t="n">
        <x:v>80</x:v>
      </x:c>
      <x:c r="J163" s="39" t="n">
        <x:v>0.0815363606</x:v>
      </x:c>
    </x:row>
    <x:row r="164" ht="19" customHeight="1">
      <x:c r="A164" s="30" t="str">
        <x:v>stagger_1</x:v>
      </x:c>
      <x:c r="B164" s="39" t="str">
        <x:v>JNJ</x:v>
      </x:c>
      <x:c r="C164" s="39" t="str">
        <x:v>Other FX</x:v>
      </x:c>
      <x:c r="D164" s="39" t="str">
        <x:v>AUD/USD</x:v>
      </x:c>
      <x:c r="E164" s="39" t="n">
        <x:v>0.0116674406</x:v>
      </x:c>
      <x:c r="F164" s="39" t="n">
        <x:v>0.5952548324</x:v>
      </x:c>
      <x:c r="G164" s="39" t="n">
        <x:v>2.2506340806</x:v>
      </x:c>
      <x:c r="H164" s="39" t="n">
        <x:v>0.0272251084</x:v>
      </x:c>
      <x:c r="I164" s="31" t="n">
        <x:v>80</x:v>
      </x:c>
      <x:c r="J164" s="39" t="n">
        <x:v>0.060980343</x:v>
      </x:c>
    </x:row>
    <x:row r="165" ht="19" customHeight="1">
      <x:c r="A165" s="30" t="str">
        <x:v>stagger_1</x:v>
      </x:c>
      <x:c r="B165" s="39" t="str">
        <x:v>JNJ</x:v>
      </x:c>
      <x:c r="C165" s="39" t="str">
        <x:v>SPY</x:v>
      </x:c>
      <x:c r="D165" s="39" t="str">
        <x:v>SPY</x:v>
      </x:c>
      <x:c r="E165" s="39" t="n">
        <x:v>0.0011332733</x:v>
      </x:c>
      <x:c r="F165" s="39" t="n">
        <x:v>-0.0863880314</x:v>
      </x:c>
      <x:c r="G165" s="39" t="n">
        <x:v>-0.607445806</x:v>
      </x:c>
      <x:c r="H165" s="39" t="n">
        <x:v>0.545319518</x:v>
      </x:c>
      <x:c r="I165" s="31" t="n">
        <x:v>80</x:v>
      </x:c>
      <x:c r="J165" s="39" t="n">
        <x:v>0.0047083726</x:v>
      </x:c>
    </x:row>
    <x:row r="166" ht="19" customHeight="1">
      <x:c r="A166" s="30" t="str">
        <x:v>stagger_1</x:v>
      </x:c>
      <x:c r="B166" s="39" t="str">
        <x:v>JNJ</x:v>
      </x:c>
      <x:c r="C166" s="39" t="str">
        <x:v>Primary sector</x:v>
      </x:c>
      <x:c r="D166" s="39" t="str">
        <x:v>XLV</x:v>
      </x:c>
      <x:c r="E166" s="39" t="n">
        <x:v>-3.469446952e-18</x:v>
      </x:c>
      <x:c r="F166" s="39" t="n">
        <x:v>1.0026934415</x:v>
      </x:c>
      <x:c r="G166" s="39" t="n">
        <x:v>8.3013326218</x:v>
      </x:c>
      <x:c r="H166" s="39" t="n">
        <x:v>0</x:v>
      </x:c>
      <x:c r="I166" s="31" t="n">
        <x:v>80</x:v>
      </x:c>
      <x:c r="J166" s="39" t="n">
        <x:v>0.469070365</x:v>
      </x:c>
    </x:row>
    <x:row r="167" ht="19" customHeight="1">
      <x:c r="A167" s="30" t="str">
        <x:v>stagger_1</x:v>
      </x:c>
      <x:c r="B167" s="39" t="str">
        <x:v>JNJ</x:v>
      </x:c>
      <x:c r="C167" s="39" t="str">
        <x:v>Other sectors</x:v>
      </x:c>
      <x:c r="D167" s="39" t="str">
        <x:v>XLP</x:v>
      </x:c>
      <x:c r="E167" s="39" t="n">
        <x:v>-6.505213035e-19</x:v>
      </x:c>
      <x:c r="F167" s="39" t="n">
        <x:v>0.3110106434</x:v>
      </x:c>
      <x:c r="G167" s="39" t="n">
        <x:v>2.4306765465</x:v>
      </x:c>
      <x:c r="H167" s="39" t="n">
        <x:v>0.0173664742</x:v>
      </x:c>
      <x:c r="I167" s="31" t="n">
        <x:v>80</x:v>
      </x:c>
      <x:c r="J167" s="39" t="n">
        <x:v>0.0704125376</x:v>
      </x:c>
    </x:row>
    <x:row r="168" ht="19" customHeight="1">
      <x:c r="A168" s="30" t="str">
        <x:v>stagger_1</x:v>
      </x:c>
      <x:c r="B168" s="39" t="str">
        <x:v>BRK-B</x:v>
      </x:c>
      <x:c r="C168" s="39" t="str">
        <x:v>Other FX</x:v>
      </x:c>
      <x:c r="D168" s="39" t="str">
        <x:v>AUD/USD</x:v>
      </x:c>
      <x:c r="E168" s="39" t="n">
        <x:v>0.0105514259</x:v>
      </x:c>
      <x:c r="F168" s="39" t="n">
        <x:v>0.5832712543</x:v>
      </x:c>
      <x:c r="G168" s="39" t="n">
        <x:v>2.8623375157</x:v>
      </x:c>
      <x:c r="H168" s="39" t="n">
        <x:v>0.0053972946</x:v>
      </x:c>
      <x:c r="I168" s="31" t="n">
        <x:v>80</x:v>
      </x:c>
      <x:c r="J168" s="39" t="n">
        <x:v>0.0950538713</x:v>
      </x:c>
    </x:row>
    <x:row r="169" ht="19" customHeight="1">
      <x:c r="A169" s="30" t="str">
        <x:v>stagger_1</x:v>
      </x:c>
      <x:c r="B169" s="39" t="str">
        <x:v>BRK-B</x:v>
      </x:c>
      <x:c r="C169" s="39" t="str">
        <x:v>SPY</x:v>
      </x:c>
      <x:c r="D169" s="39" t="str">
        <x:v>SPY</x:v>
      </x:c>
      <x:c r="E169" s="39" t="n">
        <x:v>-0.0027090656</x:v>
      </x:c>
      <x:c r="F169" s="39" t="n">
        <x:v>0.2065087484</x:v>
      </x:c>
      <x:c r="G169" s="39" t="n">
        <x:v>1.924367922</x:v>
      </x:c>
      <x:c r="H169" s="39" t="n">
        <x:v>0.0579556067</x:v>
      </x:c>
      <x:c r="I169" s="31" t="n">
        <x:v>80</x:v>
      </x:c>
      <x:c r="J169" s="39" t="n">
        <x:v>0.0453249355</x:v>
      </x:c>
    </x:row>
    <x:row r="170" ht="19" customHeight="1">
      <x:c r="A170" s="30" t="str">
        <x:v>stagger_1</x:v>
      </x:c>
      <x:c r="B170" s="39" t="str">
        <x:v>BRK-B</x:v>
      </x:c>
      <x:c r="C170" s="39" t="str">
        <x:v>Primary sector</x:v>
      </x:c>
      <x:c r="D170" s="39" t="str">
        <x:v>XLF</x:v>
      </x:c>
      <x:c r="E170" s="39" t="n">
        <x:v>2.168404345e-18</x:v>
      </x:c>
      <x:c r="F170" s="39" t="n">
        <x:v>0.4812557533</x:v>
      </x:c>
      <x:c r="G170" s="39" t="n">
        <x:v>3.5906390933</x:v>
      </x:c>
      <x:c r="H170" s="39" t="n">
        <x:v>0.0005746186</x:v>
      </x:c>
      <x:c r="I170" s="31" t="n">
        <x:v>80</x:v>
      </x:c>
      <x:c r="J170" s="39" t="n">
        <x:v>0.1418451718</x:v>
      </x:c>
    </x:row>
    <x:row r="171" ht="19" customHeight="1">
      <x:c r="A171" s="30" t="str">
        <x:v>stagger_1</x:v>
      </x:c>
      <x:c r="B171" s="39" t="str">
        <x:v>BRK-B</x:v>
      </x:c>
      <x:c r="C171" s="39" t="str">
        <x:v>Other sectors</x:v>
      </x:c>
      <x:c r="D171" s="39" t="str">
        <x:v>XLV</x:v>
      </x:c>
      <x:c r="E171" s="39" t="n">
        <x:v>4.33680869e-19</x:v>
      </x:c>
      <x:c r="F171" s="39" t="n">
        <x:v>0.3602894991</x:v>
      </x:c>
      <x:c r="G171" s="39" t="n">
        <x:v>3.3219800792</x:v>
      </x:c>
      <x:c r="H171" s="39" t="n">
        <x:v>0.0013622015</x:v>
      </x:c>
      <x:c r="I171" s="31" t="n">
        <x:v>80</x:v>
      </x:c>
      <x:c r="J171" s="39" t="n">
        <x:v>0.1239454515</x:v>
      </x:c>
    </x:row>
  </x:sheetData>
  <x:pageMargins left="0.7" right="0.7" top="0.75" bottom="0.75" header="0.3" footer="0.3"/>
</x:worksheet>
</file>

<file path=xl/worksheets/sheet11.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21"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s>
  <x:sheetData>
    <x:row r="1" ht="19" customHeight="1">
      <x:c r="A1" s="24"/>
      <x:c r="B1" s="24"/>
      <x:c r="C1" s="24"/>
      <x:c r="D1" s="24"/>
      <x:c r="E1" s="24"/>
      <x:c r="F1" s="24"/>
      <x:c r="G1" s="24"/>
      <x:c r="H1" s="24"/>
      <x:c r="I1" s="24"/>
    </x:row>
    <x:row r="2" ht="19" customHeight="1">
      <x:c r="A2" s="35" t="str">
        <x:v>Stepwise selection log</x:v>
      </x:c>
      <x:c r="B2" s="24"/>
      <x:c r="C2" s="24"/>
      <x:c r="D2" s="24"/>
      <x:c r="E2" s="24"/>
      <x:c r="F2" s="24"/>
      <x:c r="G2" s="24"/>
      <x:c r="H2" s="24"/>
      <x:c r="I2" s="24"/>
    </x:row>
    <x:row r="3" ht="19" customHeight="1">
      <x:c r="A3" s="28"/>
      <x:c r="B3" s="24"/>
      <x:c r="C3" s="24"/>
      <x:c r="D3" s="24"/>
      <x:c r="E3" s="24"/>
      <x:c r="F3" s="24"/>
      <x:c r="G3" s="24"/>
      <x:c r="H3" s="24"/>
      <x:c r="I3" s="24"/>
    </x:row>
    <x:row r="4" ht="19" customHeight="1">
      <x:c r="A4" s="24"/>
      <x:c r="B4" s="24"/>
      <x:c r="C4" s="24"/>
      <x:c r="D4" s="24"/>
      <x:c r="E4" s="24"/>
      <x:c r="F4" s="24"/>
      <x:c r="G4" s="24"/>
      <x:c r="H4" s="24"/>
      <x:c r="I4" s="24"/>
    </x:row>
    <x:row r="5" ht="42" customHeight="1">
      <x:c r="A5" s="36" t="str">
        <x:v>stagger</x:v>
      </x:c>
      <x:c r="B5" s="36" t="str">
        <x:v>ticker</x:v>
      </x:c>
      <x:c r="C5" s="36" t="str">
        <x:v>stage</x:v>
      </x:c>
      <x:c r="D5" s="36" t="str">
        <x:v>iteration</x:v>
      </x:c>
      <x:c r="E5" s="36" t="str">
        <x:v>factor</x:v>
      </x:c>
      <x:c r="F5" s="36" t="str">
        <x:v>beta</x:v>
      </x:c>
      <x:c r="G5" s="36" t="str">
        <x:v>t_stat</x:v>
      </x:c>
      <x:c r="H5" s="36" t="str">
        <x:v>retained</x:v>
      </x:c>
      <x:c r="I5" s="36" t="str">
        <x:v>r_squared</x:v>
      </x:c>
    </x:row>
    <x:row r="6" ht="19" customHeight="1">
      <x:c r="A6" s="30" t="str">
        <x:v>stagger_1</x:v>
      </x:c>
      <x:c r="B6" s="39" t="str">
        <x:v>VST</x:v>
      </x:c>
      <x:c r="C6" s="39" t="str">
        <x:v>Other FX</x:v>
      </x:c>
      <x:c r="D6" s="31" t="n">
        <x:v>1</x:v>
      </x:c>
      <x:c r="E6" s="39" t="str">
        <x:v>AUD/USD</x:v>
      </x:c>
      <x:c r="F6" s="39" t="n">
        <x:v>0.5290511743</x:v>
      </x:c>
      <x:c r="G6" s="39" t="n">
        <x:v>0.8883324002</x:v>
      </x:c>
      <x:c r="H6" s="44" t="b">
        <x:v>0</x:v>
      </x:c>
      <x:c r="I6" s="39" t="n">
        <x:v>0.0100157777</x:v>
      </x:c>
    </x:row>
    <x:row r="7" ht="19" customHeight="1">
      <x:c r="A7" s="30" t="str">
        <x:v>stagger_1</x:v>
      </x:c>
      <x:c r="B7" s="39" t="str">
        <x:v>VST</x:v>
      </x:c>
      <x:c r="C7" s="39" t="str">
        <x:v>Other sectors</x:v>
      </x:c>
      <x:c r="D7" s="31" t="n">
        <x:v>1</x:v>
      </x:c>
      <x:c r="E7" s="39" t="str">
        <x:v>XLB</x:v>
      </x:c>
      <x:c r="F7" s="39" t="n">
        <x:v>-0.007162194</x:v>
      </x:c>
      <x:c r="G7" s="39" t="n">
        <x:v>-0.0238468662</x:v>
      </x:c>
      <x:c r="H7" s="44" t="b">
        <x:v>0</x:v>
      </x:c>
      <x:c r="I7" s="39" t="n">
        <x:v>0.0000072906</x:v>
      </x:c>
    </x:row>
    <x:row r="8" ht="19" customHeight="1">
      <x:c r="A8" s="30" t="str">
        <x:v>stagger_1</x:v>
      </x:c>
      <x:c r="B8" s="39" t="str">
        <x:v>VST</x:v>
      </x:c>
      <x:c r="C8" s="39" t="str">
        <x:v>Other sectors</x:v>
      </x:c>
      <x:c r="D8" s="31" t="n">
        <x:v>1</x:v>
      </x:c>
      <x:c r="E8" s="39" t="str">
        <x:v>XLC</x:v>
      </x:c>
      <x:c r="F8" s="39" t="n">
        <x:v>0.4413678504</x:v>
      </x:c>
      <x:c r="G8" s="39" t="n">
        <x:v>1.0835088659</x:v>
      </x:c>
      <x:c r="H8" s="44" t="b">
        <x:v>0</x:v>
      </x:c>
      <x:c r="I8" s="39" t="n">
        <x:v>0.0148279939</x:v>
      </x:c>
    </x:row>
    <x:row r="9" ht="19" customHeight="1">
      <x:c r="A9" s="30" t="str">
        <x:v>stagger_1</x:v>
      </x:c>
      <x:c r="B9" s="39" t="str">
        <x:v>VST</x:v>
      </x:c>
      <x:c r="C9" s="39" t="str">
        <x:v>Other sectors</x:v>
      </x:c>
      <x:c r="D9" s="31" t="n">
        <x:v>1</x:v>
      </x:c>
      <x:c r="E9" s="39" t="str">
        <x:v>XLE</x:v>
      </x:c>
      <x:c r="F9" s="39" t="n">
        <x:v>-0.0796930042</x:v>
      </x:c>
      <x:c r="G9" s="39" t="n">
        <x:v>-0.4920238957</x:v>
      </x:c>
      <x:c r="H9" s="44" t="b">
        <x:v>0</x:v>
      </x:c>
      <x:c r="I9" s="39" t="n">
        <x:v>0.003094083</x:v>
      </x:c>
    </x:row>
    <x:row r="10" ht="19" customHeight="1">
      <x:c r="A10" s="30" t="str">
        <x:v>stagger_1</x:v>
      </x:c>
      <x:c r="B10" s="39" t="str">
        <x:v>VST</x:v>
      </x:c>
      <x:c r="C10" s="39" t="str">
        <x:v>Other sectors</x:v>
      </x:c>
      <x:c r="D10" s="31" t="n">
        <x:v>1</x:v>
      </x:c>
      <x:c r="E10" s="39" t="str">
        <x:v>XLF</x:v>
      </x:c>
      <x:c r="F10" s="39" t="n">
        <x:v>-0.0853155526</x:v>
      </x:c>
      <x:c r="G10" s="39" t="n">
        <x:v>-0.2221757227</x:v>
      </x:c>
      <x:c r="H10" s="44" t="b">
        <x:v>0</x:v>
      </x:c>
      <x:c r="I10" s="39" t="n">
        <x:v>0.0006324466</x:v>
      </x:c>
    </x:row>
    <x:row r="11" ht="19" customHeight="1">
      <x:c r="A11" s="30" t="str">
        <x:v>stagger_1</x:v>
      </x:c>
      <x:c r="B11" s="39" t="str">
        <x:v>VST</x:v>
      </x:c>
      <x:c r="C11" s="39" t="str">
        <x:v>Other sectors</x:v>
      </x:c>
      <x:c r="D11" s="31" t="n">
        <x:v>1</x:v>
      </x:c>
      <x:c r="E11" s="39" t="str">
        <x:v>XLI</x:v>
      </x:c>
      <x:c r="F11" s="39" t="n">
        <x:v>0.4144880479</x:v>
      </x:c>
      <x:c r="G11" s="39" t="n">
        <x:v>1.0316196876</x:v>
      </x:c>
      <x:c r="H11" s="44" t="b">
        <x:v>0</x:v>
      </x:c>
      <x:c r="I11" s="39" t="n">
        <x:v>0.0134604366</x:v>
      </x:c>
    </x:row>
    <x:row r="12" ht="19" customHeight="1">
      <x:c r="A12" s="30" t="str">
        <x:v>stagger_1</x:v>
      </x:c>
      <x:c r="B12" s="39" t="str">
        <x:v>VST</x:v>
      </x:c>
      <x:c r="C12" s="39" t="str">
        <x:v>Other sectors</x:v>
      </x:c>
      <x:c r="D12" s="31" t="n">
        <x:v>1</x:v>
      </x:c>
      <x:c r="E12" s="39" t="str">
        <x:v>XLK</x:v>
      </x:c>
      <x:c r="F12" s="39" t="n">
        <x:v>0.2821432775</x:v>
      </x:c>
      <x:c r="G12" s="39" t="n">
        <x:v>0.7864003853</x:v>
      </x:c>
      <x:c r="H12" s="44" t="b">
        <x:v>0</x:v>
      </x:c>
      <x:c r="I12" s="39" t="n">
        <x:v>0.0078661657</x:v>
      </x:c>
    </x:row>
    <x:row r="13" ht="19" customHeight="1">
      <x:c r="A13" s="30" t="str">
        <x:v>stagger_1</x:v>
      </x:c>
      <x:c r="B13" s="39" t="str">
        <x:v>VST</x:v>
      </x:c>
      <x:c r="C13" s="39" t="str">
        <x:v>Other sectors</x:v>
      </x:c>
      <x:c r="D13" s="31" t="n">
        <x:v>1</x:v>
      </x:c>
      <x:c r="E13" s="39" t="str">
        <x:v>XLP</x:v>
      </x:c>
      <x:c r="F13" s="39" t="n">
        <x:v>-0.7245410206</x:v>
      </x:c>
      <x:c r="G13" s="39" t="n">
        <x:v>-2.037940592</x:v>
      </x:c>
      <x:c r="H13" s="44" t="b">
        <x:v>0</x:v>
      </x:c>
      <x:c r="I13" s="39" t="n">
        <x:v>0.0505543517</x:v>
      </x:c>
    </x:row>
    <x:row r="14" ht="19" customHeight="1">
      <x:c r="A14" s="30" t="str">
        <x:v>stagger_1</x:v>
      </x:c>
      <x:c r="B14" s="39" t="str">
        <x:v>VST</x:v>
      </x:c>
      <x:c r="C14" s="39" t="str">
        <x:v>Other sectors</x:v>
      </x:c>
      <x:c r="D14" s="31" t="n">
        <x:v>1</x:v>
      </x:c>
      <x:c r="E14" s="39" t="str">
        <x:v>XLRE</x:v>
      </x:c>
      <x:c r="F14" s="39" t="n">
        <x:v>-0.9022890148</x:v>
      </x:c>
      <x:c r="G14" s="39" t="n">
        <x:v>-2.8819906951</x:v>
      </x:c>
      <x:c r="H14" s="44" t="b">
        <x:v>0</x:v>
      </x:c>
      <x:c r="I14" s="39" t="n">
        <x:v>0.0962376062</x:v>
      </x:c>
    </x:row>
    <x:row r="15" ht="19" customHeight="1">
      <x:c r="A15" s="30" t="str">
        <x:v>stagger_1</x:v>
      </x:c>
      <x:c r="B15" s="39" t="str">
        <x:v>VST</x:v>
      </x:c>
      <x:c r="C15" s="39" t="str">
        <x:v>Other sectors</x:v>
      </x:c>
      <x:c r="D15" s="31" t="n">
        <x:v>1</x:v>
      </x:c>
      <x:c r="E15" s="39" t="str">
        <x:v>XLV</x:v>
      </x:c>
      <x:c r="F15" s="39" t="n">
        <x:v>-1.0068874921</x:v>
      </x:c>
      <x:c r="G15" s="39" t="n">
        <x:v>-3.2281813581</x:v>
      </x:c>
      <x:c r="H15" s="44" t="b">
        <x:v>1</x:v>
      </x:c>
      <x:c r="I15" s="39" t="n">
        <x:v>0.117858163</x:v>
      </x:c>
    </x:row>
    <x:row r="16" ht="19" customHeight="1">
      <x:c r="A16" s="30" t="str">
        <x:v>stagger_1</x:v>
      </x:c>
      <x:c r="B16" s="39" t="str">
        <x:v>VST</x:v>
      </x:c>
      <x:c r="C16" s="39" t="str">
        <x:v>Other sectors</x:v>
      </x:c>
      <x:c r="D16" s="31" t="n">
        <x:v>1</x:v>
      </x:c>
      <x:c r="E16" s="39" t="str">
        <x:v>XLY</x:v>
      </x:c>
      <x:c r="F16" s="39" t="n">
        <x:v>0.4850043351</x:v>
      </x:c>
      <x:c r="G16" s="39" t="n">
        <x:v>1.240055059</x:v>
      </x:c>
      <x:c r="H16" s="44" t="b">
        <x:v>0</x:v>
      </x:c>
      <x:c r="I16" s="39" t="n">
        <x:v>0.019333421</x:v>
      </x:c>
    </x:row>
    <x:row r="17" ht="19" customHeight="1">
      <x:c r="A17" s="30" t="str">
        <x:v>stagger_1</x:v>
      </x:c>
      <x:c r="B17" s="39" t="str">
        <x:v>VST</x:v>
      </x:c>
      <x:c r="C17" s="39" t="str">
        <x:v>Other sectors</x:v>
      </x:c>
      <x:c r="D17" s="31" t="n">
        <x:v>2</x:v>
      </x:c>
      <x:c r="E17" s="39" t="str">
        <x:v>XLB</x:v>
      </x:c>
      <x:c r="F17" s="39" t="n">
        <x:v>0.2455880833</x:v>
      </x:c>
      <x:c r="G17" s="39" t="n">
        <x:v>0.8748672359</x:v>
      </x:c>
      <x:c r="H17" s="44" t="b">
        <x:v>0</x:v>
      </x:c>
      <x:c r="I17" s="39" t="n">
        <x:v>0.0097173727</x:v>
      </x:c>
    </x:row>
    <x:row r="18" ht="19" customHeight="1">
      <x:c r="A18" s="30" t="str">
        <x:v>stagger_1</x:v>
      </x:c>
      <x:c r="B18" s="39" t="str">
        <x:v>VST</x:v>
      </x:c>
      <x:c r="C18" s="39" t="str">
        <x:v>Other sectors</x:v>
      </x:c>
      <x:c r="D18" s="31" t="n">
        <x:v>2</x:v>
      </x:c>
      <x:c r="E18" s="39" t="str">
        <x:v>XLC</x:v>
      </x:c>
      <x:c r="F18" s="39" t="n">
        <x:v>0.4395254538</x:v>
      </x:c>
      <x:c r="G18" s="39" t="n">
        <x:v>1.1498806617</x:v>
      </x:c>
      <x:c r="H18" s="44" t="b">
        <x:v>0</x:v>
      </x:c>
      <x:c r="I18" s="39" t="n">
        <x:v>0.0166690423</x:v>
      </x:c>
    </x:row>
    <x:row r="19" ht="19" customHeight="1">
      <x:c r="A19" s="30" t="str">
        <x:v>stagger_1</x:v>
      </x:c>
      <x:c r="B19" s="39" t="str">
        <x:v>VST</x:v>
      </x:c>
      <x:c r="C19" s="39" t="str">
        <x:v>Other sectors</x:v>
      </x:c>
      <x:c r="D19" s="31" t="n">
        <x:v>2</x:v>
      </x:c>
      <x:c r="E19" s="39" t="str">
        <x:v>XLE</x:v>
      </x:c>
      <x:c r="F19" s="39" t="n">
        <x:v>0.0031428878</x:v>
      </x:c>
      <x:c r="G19" s="39" t="n">
        <x:v>0.0206278483</x:v>
      </x:c>
      <x:c r="H19" s="44" t="b">
        <x:v>0</x:v>
      </x:c>
      <x:c r="I19" s="39" t="n">
        <x:v>0.0000054552</x:v>
      </x:c>
    </x:row>
    <x:row r="20" ht="19" customHeight="1">
      <x:c r="A20" s="30" t="str">
        <x:v>stagger_1</x:v>
      </x:c>
      <x:c r="B20" s="39" t="str">
        <x:v>VST</x:v>
      </x:c>
      <x:c r="C20" s="39" t="str">
        <x:v>Other sectors</x:v>
      </x:c>
      <x:c r="D20" s="31" t="n">
        <x:v>2</x:v>
      </x:c>
      <x:c r="E20" s="39" t="str">
        <x:v>XLF</x:v>
      </x:c>
      <x:c r="F20" s="39" t="n">
        <x:v>0.175715723</x:v>
      </x:c>
      <x:c r="G20" s="39" t="n">
        <x:v>0.4877910553</x:v>
      </x:c>
      <x:c r="H20" s="44" t="b">
        <x:v>0</x:v>
      </x:c>
      <x:c r="I20" s="39" t="n">
        <x:v>0.0030412369</x:v>
      </x:c>
    </x:row>
    <x:row r="21" ht="19" customHeight="1">
      <x:c r="A21" s="30" t="str">
        <x:v>stagger_1</x:v>
      </x:c>
      <x:c r="B21" s="39" t="str">
        <x:v>VST</x:v>
      </x:c>
      <x:c r="C21" s="39" t="str">
        <x:v>Other sectors</x:v>
      </x:c>
      <x:c r="D21" s="31" t="n">
        <x:v>2</x:v>
      </x:c>
      <x:c r="E21" s="39" t="str">
        <x:v>XLI</x:v>
      </x:c>
      <x:c r="F21" s="39" t="n">
        <x:v>0.6080636057</x:v>
      </x:c>
      <x:c r="G21" s="39" t="n">
        <x:v>1.6274039188</x:v>
      </x:c>
      <x:c r="H21" s="44" t="b">
        <x:v>0</x:v>
      </x:c>
      <x:c r="I21" s="39" t="n">
        <x:v>0.032839363</x:v>
      </x:c>
    </x:row>
    <x:row r="22" ht="19" customHeight="1">
      <x:c r="A22" s="30" t="str">
        <x:v>stagger_1</x:v>
      </x:c>
      <x:c r="B22" s="39" t="str">
        <x:v>VST</x:v>
      </x:c>
      <x:c r="C22" s="39" t="str">
        <x:v>Other sectors</x:v>
      </x:c>
      <x:c r="D22" s="31" t="n">
        <x:v>2</x:v>
      </x:c>
      <x:c r="E22" s="39" t="str">
        <x:v>XLK</x:v>
      </x:c>
      <x:c r="F22" s="39" t="n">
        <x:v>-0.294926727</x:v>
      </x:c>
      <x:c r="G22" s="39" t="n">
        <x:v>-0.8760526425</x:v>
      </x:c>
      <x:c r="H22" s="44" t="b">
        <x:v>0</x:v>
      </x:c>
      <x:c r="I22" s="39" t="n">
        <x:v>0.0097434671</x:v>
      </x:c>
    </x:row>
    <x:row r="23" ht="19" customHeight="1">
      <x:c r="A23" s="30" t="str">
        <x:v>stagger_1</x:v>
      </x:c>
      <x:c r="B23" s="39" t="str">
        <x:v>VST</x:v>
      </x:c>
      <x:c r="C23" s="39" t="str">
        <x:v>Other sectors</x:v>
      </x:c>
      <x:c r="D23" s="31" t="n">
        <x:v>2</x:v>
      </x:c>
      <x:c r="E23" s="39" t="str">
        <x:v>XLP</x:v>
      </x:c>
      <x:c r="F23" s="39" t="n">
        <x:v>-0.2087375326</x:v>
      </x:c>
      <x:c r="G23" s="39" t="n">
        <x:v>-0.6105627078</x:v>
      </x:c>
      <x:c r="H23" s="44" t="b">
        <x:v>0</x:v>
      </x:c>
      <x:c r="I23" s="39" t="n">
        <x:v>0.004756585</x:v>
      </x:c>
    </x:row>
    <x:row r="24" ht="19" customHeight="1">
      <x:c r="A24" s="30" t="str">
        <x:v>stagger_1</x:v>
      </x:c>
      <x:c r="B24" s="39" t="str">
        <x:v>VST</x:v>
      </x:c>
      <x:c r="C24" s="39" t="str">
        <x:v>Other sectors</x:v>
      </x:c>
      <x:c r="D24" s="31" t="n">
        <x:v>2</x:v>
      </x:c>
      <x:c r="E24" s="39" t="str">
        <x:v>XLRE</x:v>
      </x:c>
      <x:c r="F24" s="39" t="n">
        <x:v>-0.4908527637</x:v>
      </x:c>
      <x:c r="G24" s="39" t="n">
        <x:v>-1.6131791901</x:v>
      </x:c>
      <x:c r="H24" s="44" t="b">
        <x:v>0</x:v>
      </x:c>
      <x:c r="I24" s="39" t="n">
        <x:v>0.0322862447</x:v>
      </x:c>
    </x:row>
    <x:row r="25" ht="19" customHeight="1">
      <x:c r="A25" s="30" t="str">
        <x:v>stagger_1</x:v>
      </x:c>
      <x:c r="B25" s="39" t="str">
        <x:v>VST</x:v>
      </x:c>
      <x:c r="C25" s="39" t="str">
        <x:v>Other sectors</x:v>
      </x:c>
      <x:c r="D25" s="31" t="n">
        <x:v>2</x:v>
      </x:c>
      <x:c r="E25" s="39" t="str">
        <x:v>XLY</x:v>
      </x:c>
      <x:c r="F25" s="39" t="n">
        <x:v>0.1504025661</x:v>
      </x:c>
      <x:c r="G25" s="39" t="n">
        <x:v>0.4058823962</x:v>
      </x:c>
      <x:c r="H25" s="44" t="b">
        <x:v>0</x:v>
      </x:c>
      <x:c r="I25" s="39" t="n">
        <x:v>0.0021076066</x:v>
      </x:c>
    </x:row>
    <x:row r="26" ht="19" customHeight="1">
      <x:c r="A26" s="30" t="str">
        <x:v>stagger_1</x:v>
      </x:c>
      <x:c r="B26" s="39" t="str">
        <x:v>VIST</x:v>
      </x:c>
      <x:c r="C26" s="39" t="str">
        <x:v>Other FX</x:v>
      </x:c>
      <x:c r="D26" s="31" t="n">
        <x:v>1</x:v>
      </x:c>
      <x:c r="E26" s="39" t="str">
        <x:v>AUD/USD</x:v>
      </x:c>
      <x:c r="F26" s="39" t="n">
        <x:v>-0.0301313975</x:v>
      </x:c>
      <x:c r="G26" s="39" t="n">
        <x:v>-0.04801711</x:v>
      </x:c>
      <x:c r="H26" s="44" t="b">
        <x:v>0</x:v>
      </x:c>
      <x:c r="I26" s="39" t="n">
        <x:v>0.0000295587</x:v>
      </x:c>
    </x:row>
    <x:row r="27" ht="19" customHeight="1">
      <x:c r="A27" s="30" t="str">
        <x:v>stagger_1</x:v>
      </x:c>
      <x:c r="B27" s="39" t="str">
        <x:v>VIST</x:v>
      </x:c>
      <x:c r="C27" s="39" t="str">
        <x:v>Other sectors</x:v>
      </x:c>
      <x:c r="D27" s="31" t="n">
        <x:v>1</x:v>
      </x:c>
      <x:c r="E27" s="39" t="str">
        <x:v>XLB</x:v>
      </x:c>
      <x:c r="F27" s="39" t="n">
        <x:v>-0.385077897</x:v>
      </x:c>
      <x:c r="G27" s="39" t="n">
        <x:v>-1.2881031241</x:v>
      </x:c>
      <x:c r="H27" s="44" t="b">
        <x:v>0</x:v>
      </x:c>
      <x:c r="I27" s="39" t="n">
        <x:v>0.0208288491</x:v>
      </x:c>
    </x:row>
    <x:row r="28" ht="19" customHeight="1">
      <x:c r="A28" s="30" t="str">
        <x:v>stagger_1</x:v>
      </x:c>
      <x:c r="B28" s="39" t="str">
        <x:v>VIST</x:v>
      </x:c>
      <x:c r="C28" s="39" t="str">
        <x:v>Other sectors</x:v>
      </x:c>
      <x:c r="D28" s="31" t="n">
        <x:v>1</x:v>
      </x:c>
      <x:c r="E28" s="39" t="str">
        <x:v>XLC</x:v>
      </x:c>
      <x:c r="F28" s="39" t="n">
        <x:v>-0.6296746675</x:v>
      </x:c>
      <x:c r="G28" s="39" t="n">
        <x:v>-1.548556721</x:v>
      </x:c>
      <x:c r="H28" s="44" t="b">
        <x:v>0</x:v>
      </x:c>
      <x:c r="I28" s="39" t="n">
        <x:v>0.0298269495</x:v>
      </x:c>
    </x:row>
    <x:row r="29" ht="19" customHeight="1">
      <x:c r="A29" s="30" t="str">
        <x:v>stagger_1</x:v>
      </x:c>
      <x:c r="B29" s="39" t="str">
        <x:v>VIST</x:v>
      </x:c>
      <x:c r="C29" s="39" t="str">
        <x:v>Other sectors</x:v>
      </x:c>
      <x:c r="D29" s="31" t="n">
        <x:v>1</x:v>
      </x:c>
      <x:c r="E29" s="39" t="str">
        <x:v>XLF</x:v>
      </x:c>
      <x:c r="F29" s="39" t="n">
        <x:v>-0.591008538</x:v>
      </x:c>
      <x:c r="G29" s="39" t="n">
        <x:v>-1.5530502265</x:v>
      </x:c>
      <x:c r="H29" s="44" t="b">
        <x:v>0</x:v>
      </x:c>
      <x:c r="I29" s="39" t="n">
        <x:v>0.0299951009</x:v>
      </x:c>
    </x:row>
    <x:row r="30" ht="19" customHeight="1">
      <x:c r="A30" s="30" t="str">
        <x:v>stagger_1</x:v>
      </x:c>
      <x:c r="B30" s="39" t="str">
        <x:v>VIST</x:v>
      </x:c>
      <x:c r="C30" s="39" t="str">
        <x:v>Other sectors</x:v>
      </x:c>
      <x:c r="D30" s="31" t="n">
        <x:v>1</x:v>
      </x:c>
      <x:c r="E30" s="39" t="str">
        <x:v>XLI</x:v>
      </x:c>
      <x:c r="F30" s="39" t="n">
        <x:v>-0.4343087543</x:v>
      </x:c>
      <x:c r="G30" s="39" t="n">
        <x:v>-1.0752418443</x:v>
      </x:c>
      <x:c r="H30" s="44" t="b">
        <x:v>0</x:v>
      </x:c>
      <x:c r="I30" s="39" t="n">
        <x:v>0.0146058783</x:v>
      </x:c>
    </x:row>
    <x:row r="31" ht="19" customHeight="1">
      <x:c r="A31" s="30" t="str">
        <x:v>stagger_1</x:v>
      </x:c>
      <x:c r="B31" s="39" t="str">
        <x:v>VIST</x:v>
      </x:c>
      <x:c r="C31" s="39" t="str">
        <x:v>Other sectors</x:v>
      </x:c>
      <x:c r="D31" s="31" t="n">
        <x:v>1</x:v>
      </x:c>
      <x:c r="E31" s="39" t="str">
        <x:v>XLK</x:v>
      </x:c>
      <x:c r="F31" s="39" t="n">
        <x:v>0.7052332708</x:v>
      </x:c>
      <x:c r="G31" s="39" t="n">
        <x:v>1.9954995287</x:v>
      </x:c>
      <x:c r="H31" s="44" t="b">
        <x:v>0</x:v>
      </x:c>
      <x:c r="I31" s="39" t="n">
        <x:v>0.0485718509</x:v>
      </x:c>
    </x:row>
    <x:row r="32" ht="19" customHeight="1">
      <x:c r="A32" s="30" t="str">
        <x:v>stagger_1</x:v>
      </x:c>
      <x:c r="B32" s="39" t="str">
        <x:v>VIST</x:v>
      </x:c>
      <x:c r="C32" s="39" t="str">
        <x:v>Other sectors</x:v>
      </x:c>
      <x:c r="D32" s="31" t="n">
        <x:v>1</x:v>
      </x:c>
      <x:c r="E32" s="39" t="str">
        <x:v>XLP</x:v>
      </x:c>
      <x:c r="F32" s="39" t="n">
        <x:v>-0.6723535375</x:v>
      </x:c>
      <x:c r="G32" s="39" t="n">
        <x:v>-1.8726591779</x:v>
      </x:c>
      <x:c r="H32" s="44" t="b">
        <x:v>0</x:v>
      </x:c>
      <x:c r="I32" s="39" t="n">
        <x:v>0.0430252463</x:v>
      </x:c>
    </x:row>
    <x:row r="33" ht="19" customHeight="1">
      <x:c r="A33" s="30" t="str">
        <x:v>stagger_1</x:v>
      </x:c>
      <x:c r="B33" s="39" t="str">
        <x:v>VIST</x:v>
      </x:c>
      <x:c r="C33" s="39" t="str">
        <x:v>Other sectors</x:v>
      </x:c>
      <x:c r="D33" s="31" t="n">
        <x:v>1</x:v>
      </x:c>
      <x:c r="E33" s="39" t="str">
        <x:v>XLRE</x:v>
      </x:c>
      <x:c r="F33" s="39" t="n">
        <x:v>-0.6156808984</x:v>
      </x:c>
      <x:c r="G33" s="39" t="n">
        <x:v>-1.9011364687</x:v>
      </x:c>
      <x:c r="H33" s="44" t="b">
        <x:v>0</x:v>
      </x:c>
      <x:c r="I33" s="39" t="n">
        <x:v>0.0442853641</x:v>
      </x:c>
    </x:row>
    <x:row r="34" ht="19" customHeight="1">
      <x:c r="A34" s="30" t="str">
        <x:v>stagger_1</x:v>
      </x:c>
      <x:c r="B34" s="39" t="str">
        <x:v>VIST</x:v>
      </x:c>
      <x:c r="C34" s="39" t="str">
        <x:v>Other sectors</x:v>
      </x:c>
      <x:c r="D34" s="31" t="n">
        <x:v>1</x:v>
      </x:c>
      <x:c r="E34" s="39" t="str">
        <x:v>XLU</x:v>
      </x:c>
      <x:c r="F34" s="39" t="n">
        <x:v>-0.2875291267</x:v>
      </x:c>
      <x:c r="G34" s="39" t="n">
        <x:v>-1.0266387568</x:v>
      </x:c>
      <x:c r="H34" s="44" t="b">
        <x:v>0</x:v>
      </x:c>
      <x:c r="I34" s="39" t="n">
        <x:v>0.0133324981</x:v>
      </x:c>
    </x:row>
    <x:row r="35" ht="19" customHeight="1">
      <x:c r="A35" s="30" t="str">
        <x:v>stagger_1</x:v>
      </x:c>
      <x:c r="B35" s="39" t="str">
        <x:v>VIST</x:v>
      </x:c>
      <x:c r="C35" s="39" t="str">
        <x:v>Other sectors</x:v>
      </x:c>
      <x:c r="D35" s="31" t="n">
        <x:v>1</x:v>
      </x:c>
      <x:c r="E35" s="39" t="str">
        <x:v>XLV</x:v>
      </x:c>
      <x:c r="F35" s="39" t="n">
        <x:v>-0.8508837427</x:v>
      </x:c>
      <x:c r="G35" s="39" t="n">
        <x:v>-2.6602517451</x:v>
      </x:c>
      <x:c r="H35" s="44" t="b">
        <x:v>1</x:v>
      </x:c>
      <x:c r="I35" s="39" t="n">
        <x:v>0.0831828155</x:v>
      </x:c>
    </x:row>
    <x:row r="36" ht="19" customHeight="1">
      <x:c r="A36" s="30" t="str">
        <x:v>stagger_1</x:v>
      </x:c>
      <x:c r="B36" s="39" t="str">
        <x:v>VIST</x:v>
      </x:c>
      <x:c r="C36" s="39" t="str">
        <x:v>Other sectors</x:v>
      </x:c>
      <x:c r="D36" s="31" t="n">
        <x:v>1</x:v>
      </x:c>
      <x:c r="E36" s="39" t="str">
        <x:v>XLY</x:v>
      </x:c>
      <x:c r="F36" s="39" t="n">
        <x:v>0.3291417768</x:v>
      </x:c>
      <x:c r="G36" s="39" t="n">
        <x:v>0.8321585414</x:v>
      </x:c>
      <x:c r="H36" s="44" t="b">
        <x:v>0</x:v>
      </x:c>
      <x:c r="I36" s="39" t="n">
        <x:v>0.0087999231</x:v>
      </x:c>
    </x:row>
    <x:row r="37" ht="19" customHeight="1">
      <x:c r="A37" s="30" t="str">
        <x:v>stagger_1</x:v>
      </x:c>
      <x:c r="B37" s="39" t="str">
        <x:v>VIST</x:v>
      </x:c>
      <x:c r="C37" s="39" t="str">
        <x:v>Other sectors</x:v>
      </x:c>
      <x:c r="D37" s="31" t="n">
        <x:v>2</x:v>
      </x:c>
      <x:c r="E37" s="39" t="str">
        <x:v>XLB</x:v>
      </x:c>
      <x:c r="F37" s="39" t="n">
        <x:v>-0.1714878946</x:v>
      </x:c>
      <x:c r="G37" s="39" t="n">
        <x:v>-0.5941608489</x:v>
      </x:c>
      <x:c r="H37" s="44" t="b">
        <x:v>0</x:v>
      </x:c>
      <x:c r="I37" s="39" t="n">
        <x:v>0.0045055964</x:v>
      </x:c>
    </x:row>
    <x:row r="38" ht="19" customHeight="1">
      <x:c r="A38" s="30" t="str">
        <x:v>stagger_1</x:v>
      </x:c>
      <x:c r="B38" s="39" t="str">
        <x:v>VIST</x:v>
      </x:c>
      <x:c r="C38" s="39" t="str">
        <x:v>Other sectors</x:v>
      </x:c>
      <x:c r="D38" s="31" t="n">
        <x:v>2</x:v>
      </x:c>
      <x:c r="E38" s="39" t="str">
        <x:v>XLC</x:v>
      </x:c>
      <x:c r="F38" s="39" t="n">
        <x:v>-0.6312316094</x:v>
      </x:c>
      <x:c r="G38" s="39" t="n">
        <x:v>-1.6236820002</x:v>
      </x:c>
      <x:c r="H38" s="44" t="b">
        <x:v>0</x:v>
      </x:c>
      <x:c r="I38" s="39" t="n">
        <x:v>0.0326942311</x:v>
      </x:c>
    </x:row>
    <x:row r="39" ht="19" customHeight="1">
      <x:c r="A39" s="30" t="str">
        <x:v>stagger_1</x:v>
      </x:c>
      <x:c r="B39" s="39" t="str">
        <x:v>VIST</x:v>
      </x:c>
      <x:c r="C39" s="39" t="str">
        <x:v>Other sectors</x:v>
      </x:c>
      <x:c r="D39" s="31" t="n">
        <x:v>2</x:v>
      </x:c>
      <x:c r="E39" s="39" t="str">
        <x:v>XLF</x:v>
      </x:c>
      <x:c r="F39" s="39" t="n">
        <x:v>-0.3704205672</x:v>
      </x:c>
      <x:c r="G39" s="39" t="n">
        <x:v>-1.0077232814</x:v>
      </x:c>
      <x:c r="H39" s="44" t="b">
        <x:v>0</x:v>
      </x:c>
      <x:c r="I39" s="39" t="n">
        <x:v>0.0128519864</x:v>
      </x:c>
    </x:row>
    <x:row r="40" ht="19" customHeight="1">
      <x:c r="A40" s="30" t="str">
        <x:v>stagger_1</x:v>
      </x:c>
      <x:c r="B40" s="39" t="str">
        <x:v>VIST</x:v>
      </x:c>
      <x:c r="C40" s="39" t="str">
        <x:v>Other sectors</x:v>
      </x:c>
      <x:c r="D40" s="31" t="n">
        <x:v>2</x:v>
      </x:c>
      <x:c r="E40" s="39" t="str">
        <x:v>XLI</x:v>
      </x:c>
      <x:c r="F40" s="39" t="n">
        <x:v>-0.27072514</x:v>
      </x:c>
      <x:c r="G40" s="39" t="n">
        <x:v>-0.6970246468</x:v>
      </x:c>
      <x:c r="H40" s="44" t="b">
        <x:v>0</x:v>
      </x:c>
      <x:c r="I40" s="39" t="n">
        <x:v>0.0061902037</x:v>
      </x:c>
    </x:row>
    <x:row r="41" ht="19" customHeight="1">
      <x:c r="A41" s="30" t="str">
        <x:v>stagger_1</x:v>
      </x:c>
      <x:c r="B41" s="39" t="str">
        <x:v>VIST</x:v>
      </x:c>
      <x:c r="C41" s="39" t="str">
        <x:v>Other sectors</x:v>
      </x:c>
      <x:c r="D41" s="31" t="n">
        <x:v>2</x:v>
      </x:c>
      <x:c r="E41" s="39" t="str">
        <x:v>XLK</x:v>
      </x:c>
      <x:c r="F41" s="39" t="n">
        <x:v>0.217572545</x:v>
      </x:c>
      <x:c r="G41" s="39" t="n">
        <x:v>0.6287344912</x:v>
      </x:c>
      <x:c r="H41" s="44" t="b">
        <x:v>0</x:v>
      </x:c>
      <x:c r="I41" s="39" t="n">
        <x:v>0.0050424837</x:v>
      </x:c>
    </x:row>
    <x:row r="42" ht="19" customHeight="1">
      <x:c r="A42" s="30" t="str">
        <x:v>stagger_1</x:v>
      </x:c>
      <x:c r="B42" s="39" t="str">
        <x:v>VIST</x:v>
      </x:c>
      <x:c r="C42" s="39" t="str">
        <x:v>Other sectors</x:v>
      </x:c>
      <x:c r="D42" s="31" t="n">
        <x:v>2</x:v>
      </x:c>
      <x:c r="E42" s="39" t="str">
        <x:v>XLP</x:v>
      </x:c>
      <x:c r="F42" s="39" t="n">
        <x:v>-0.2364669009</x:v>
      </x:c>
      <x:c r="G42" s="39" t="n">
        <x:v>-0.674845633</x:v>
      </x:c>
      <x:c r="H42" s="44" t="b">
        <x:v>0</x:v>
      </x:c>
      <x:c r="I42" s="39" t="n">
        <x:v>0.0058047825</x:v>
      </x:c>
    </x:row>
    <x:row r="43" ht="19" customHeight="1">
      <x:c r="A43" s="30" t="str">
        <x:v>stagger_1</x:v>
      </x:c>
      <x:c r="B43" s="39" t="str">
        <x:v>VIST</x:v>
      </x:c>
      <x:c r="C43" s="39" t="str">
        <x:v>Other sectors</x:v>
      </x:c>
      <x:c r="D43" s="31" t="n">
        <x:v>2</x:v>
      </x:c>
      <x:c r="E43" s="39" t="str">
        <x:v>XLRE</x:v>
      </x:c>
      <x:c r="F43" s="39" t="n">
        <x:v>-0.2679911913</x:v>
      </x:c>
      <x:c r="G43" s="39" t="n">
        <x:v>-0.8487842628</x:v>
      </x:c>
      <x:c r="H43" s="44" t="b">
        <x:v>0</x:v>
      </x:c>
      <x:c r="I43" s="39" t="n">
        <x:v>0.0091518133</x:v>
      </x:c>
    </x:row>
    <x:row r="44" ht="19" customHeight="1">
      <x:c r="A44" s="30" t="str">
        <x:v>stagger_1</x:v>
      </x:c>
      <x:c r="B44" s="39" t="str">
        <x:v>VIST</x:v>
      </x:c>
      <x:c r="C44" s="39" t="str">
        <x:v>Other sectors</x:v>
      </x:c>
      <x:c r="D44" s="31" t="n">
        <x:v>2</x:v>
      </x:c>
      <x:c r="E44" s="39" t="str">
        <x:v>XLU</x:v>
      </x:c>
      <x:c r="F44" s="39" t="n">
        <x:v>-0.088332788</x:v>
      </x:c>
      <x:c r="G44" s="39" t="n">
        <x:v>-0.3274160949</x:v>
      </x:c>
      <x:c r="H44" s="44" t="b">
        <x:v>0</x:v>
      </x:c>
      <x:c r="I44" s="39" t="n">
        <x:v>0.0013724893</x:v>
      </x:c>
    </x:row>
    <x:row r="45" ht="19" customHeight="1">
      <x:c r="A45" s="30" t="str">
        <x:v>stagger_1</x:v>
      </x:c>
      <x:c r="B45" s="39" t="str">
        <x:v>VIST</x:v>
      </x:c>
      <x:c r="C45" s="39" t="str">
        <x:v>Other sectors</x:v>
      </x:c>
      <x:c r="D45" s="31" t="n">
        <x:v>2</x:v>
      </x:c>
      <x:c r="E45" s="39" t="str">
        <x:v>XLY</x:v>
      </x:c>
      <x:c r="F45" s="39" t="n">
        <x:v>0.0463820765</x:v>
      </x:c>
      <x:c r="G45" s="39" t="n">
        <x:v>0.1219421751</x:v>
      </x:c>
      <x:c r="H45" s="44" t="b">
        <x:v>0</x:v>
      </x:c>
      <x:c r="I45" s="39" t="n">
        <x:v>0.0001906033</x:v>
      </x:c>
    </x:row>
    <x:row r="46" ht="19" customHeight="1">
      <x:c r="A46" s="30" t="str">
        <x:v>stagger_1</x:v>
      </x:c>
      <x:c r="B46" s="39" t="str">
        <x:v>AEP</x:v>
      </x:c>
      <x:c r="C46" s="39" t="str">
        <x:v>Other FX</x:v>
      </x:c>
      <x:c r="D46" s="31" t="n">
        <x:v>1</x:v>
      </x:c>
      <x:c r="E46" s="39" t="str">
        <x:v>AUD/USD</x:v>
      </x:c>
      <x:c r="F46" s="39" t="n">
        <x:v>0.8672050187</x:v>
      </x:c>
      <x:c r="G46" s="39" t="n">
        <x:v>3.1868719083</x:v>
      </x:c>
      <x:c r="H46" s="44" t="b">
        <x:v>1</x:v>
      </x:c>
      <x:c r="I46" s="39" t="n">
        <x:v>0.1152063953</x:v>
      </x:c>
    </x:row>
    <x:row r="47" ht="19" customHeight="1">
      <x:c r="A47" s="30" t="str">
        <x:v>stagger_1</x:v>
      </x:c>
      <x:c r="B47" s="39" t="str">
        <x:v>AEP</x:v>
      </x:c>
      <x:c r="C47" s="39" t="str">
        <x:v>Other sectors</x:v>
      </x:c>
      <x:c r="D47" s="31" t="n">
        <x:v>1</x:v>
      </x:c>
      <x:c r="E47" s="39" t="str">
        <x:v>XLB</x:v>
      </x:c>
      <x:c r="F47" s="39" t="n">
        <x:v>-0.1135895127</x:v>
      </x:c>
      <x:c r="G47" s="39" t="n">
        <x:v>-1.1625641065</x:v>
      </x:c>
      <x:c r="H47" s="44" t="b">
        <x:v>0</x:v>
      </x:c>
      <x:c r="I47" s="39" t="n">
        <x:v>0.0170324992</x:v>
      </x:c>
    </x:row>
    <x:row r="48" ht="19" customHeight="1">
      <x:c r="A48" s="30" t="str">
        <x:v>stagger_1</x:v>
      </x:c>
      <x:c r="B48" s="39" t="str">
        <x:v>AEP</x:v>
      </x:c>
      <x:c r="C48" s="39" t="str">
        <x:v>Other sectors</x:v>
      </x:c>
      <x:c r="D48" s="31" t="n">
        <x:v>1</x:v>
      </x:c>
      <x:c r="E48" s="39" t="str">
        <x:v>XLC</x:v>
      </x:c>
      <x:c r="F48" s="39" t="n">
        <x:v>-0.1370589252</x:v>
      </x:c>
      <x:c r="G48" s="39" t="n">
        <x:v>-1.0246202677</x:v>
      </x:c>
      <x:c r="H48" s="44" t="b">
        <x:v>0</x:v>
      </x:c>
      <x:c r="I48" s="39" t="n">
        <x:v>0.0132808188</x:v>
      </x:c>
    </x:row>
    <x:row r="49" ht="19" customHeight="1">
      <x:c r="A49" s="30" t="str">
        <x:v>stagger_1</x:v>
      </x:c>
      <x:c r="B49" s="39" t="str">
        <x:v>AEP</x:v>
      </x:c>
      <x:c r="C49" s="39" t="str">
        <x:v>Other sectors</x:v>
      </x:c>
      <x:c r="D49" s="31" t="n">
        <x:v>1</x:v>
      </x:c>
      <x:c r="E49" s="39" t="str">
        <x:v>XLE</x:v>
      </x:c>
      <x:c r="F49" s="39" t="n">
        <x:v>-0.0278843281</x:v>
      </x:c>
      <x:c r="G49" s="39" t="n">
        <x:v>-0.5247871832</x:v>
      </x:c>
      <x:c r="H49" s="44" t="b">
        <x:v>0</x:v>
      </x:c>
      <x:c r="I49" s="39" t="n">
        <x:v>0.003518367</x:v>
      </x:c>
    </x:row>
    <x:row r="50" ht="19" customHeight="1">
      <x:c r="A50" s="30" t="str">
        <x:v>stagger_1</x:v>
      </x:c>
      <x:c r="B50" s="39" t="str">
        <x:v>AEP</x:v>
      </x:c>
      <x:c r="C50" s="39" t="str">
        <x:v>Other sectors</x:v>
      </x:c>
      <x:c r="D50" s="31" t="n">
        <x:v>1</x:v>
      </x:c>
      <x:c r="E50" s="39" t="str">
        <x:v>XLF</x:v>
      </x:c>
      <x:c r="F50" s="39" t="n">
        <x:v>-0.0278268018</x:v>
      </x:c>
      <x:c r="G50" s="39" t="n">
        <x:v>-0.2208486014</x:v>
      </x:c>
      <x:c r="H50" s="44" t="b">
        <x:v>0</x:v>
      </x:c>
      <x:c r="I50" s="39" t="n">
        <x:v>0.0006249183</x:v>
      </x:c>
    </x:row>
    <x:row r="51" ht="19" customHeight="1">
      <x:c r="A51" s="30" t="str">
        <x:v>stagger_1</x:v>
      </x:c>
      <x:c r="B51" s="39" t="str">
        <x:v>AEP</x:v>
      </x:c>
      <x:c r="C51" s="39" t="str">
        <x:v>Other sectors</x:v>
      </x:c>
      <x:c r="D51" s="31" t="n">
        <x:v>1</x:v>
      </x:c>
      <x:c r="E51" s="39" t="str">
        <x:v>XLI</x:v>
      </x:c>
      <x:c r="F51" s="39" t="n">
        <x:v>-0.196936136</x:v>
      </x:c>
      <x:c r="G51" s="39" t="n">
        <x:v>-1.5051221335</x:v>
      </x:c>
      <x:c r="H51" s="44" t="b">
        <x:v>0</x:v>
      </x:c>
      <x:c r="I51" s="39" t="n">
        <x:v>0.0282237782</x:v>
      </x:c>
    </x:row>
    <x:row r="52" ht="19" customHeight="1">
      <x:c r="A52" s="30" t="str">
        <x:v>stagger_1</x:v>
      </x:c>
      <x:c r="B52" s="39" t="str">
        <x:v>AEP</x:v>
      </x:c>
      <x:c r="C52" s="39" t="str">
        <x:v>Other sectors</x:v>
      </x:c>
      <x:c r="D52" s="31" t="n">
        <x:v>1</x:v>
      </x:c>
      <x:c r="E52" s="39" t="str">
        <x:v>XLK</x:v>
      </x:c>
      <x:c r="F52" s="39" t="n">
        <x:v>-0.07963772</x:v>
      </x:c>
      <x:c r="G52" s="39" t="n">
        <x:v>-0.6757876426</x:v>
      </x:c>
      <x:c r="H52" s="44" t="b">
        <x:v>0</x:v>
      </x:c>
      <x:c r="I52" s="39" t="n">
        <x:v>0.0058209051</x:v>
      </x:c>
    </x:row>
    <x:row r="53" ht="19" customHeight="1">
      <x:c r="A53" s="30" t="str">
        <x:v>stagger_1</x:v>
      </x:c>
      <x:c r="B53" s="39" t="str">
        <x:v>AEP</x:v>
      </x:c>
      <x:c r="C53" s="39" t="str">
        <x:v>Other sectors</x:v>
      </x:c>
      <x:c r="D53" s="31" t="n">
        <x:v>1</x:v>
      </x:c>
      <x:c r="E53" s="39" t="str">
        <x:v>XLP</x:v>
      </x:c>
      <x:c r="F53" s="39" t="n">
        <x:v>0.1396043977</x:v>
      </x:c>
      <x:c r="G53" s="39" t="n">
        <x:v>1.176375851</x:v>
      </x:c>
      <x:c r="H53" s="44" t="b">
        <x:v>0</x:v>
      </x:c>
      <x:c r="I53" s="39" t="n">
        <x:v>0.0174325126</x:v>
      </x:c>
    </x:row>
    <x:row r="54" ht="19" customHeight="1">
      <x:c r="A54" s="30" t="str">
        <x:v>stagger_1</x:v>
      </x:c>
      <x:c r="B54" s="39" t="str">
        <x:v>AEP</x:v>
      </x:c>
      <x:c r="C54" s="39" t="str">
        <x:v>Other sectors</x:v>
      </x:c>
      <x:c r="D54" s="31" t="n">
        <x:v>1</x:v>
      </x:c>
      <x:c r="E54" s="39" t="str">
        <x:v>XLRE</x:v>
      </x:c>
      <x:c r="F54" s="39" t="n">
        <x:v>0.2145328454</x:v>
      </x:c>
      <x:c r="G54" s="39" t="n">
        <x:v>2.0374753593</x:v>
      </x:c>
      <x:c r="H54" s="44" t="b">
        <x:v>1</x:v>
      </x:c>
      <x:c r="I54" s="39" t="n">
        <x:v>0.0505324389</x:v>
      </x:c>
    </x:row>
    <x:row r="55" ht="19" customHeight="1">
      <x:c r="A55" s="30" t="str">
        <x:v>stagger_1</x:v>
      </x:c>
      <x:c r="B55" s="39" t="str">
        <x:v>AEP</x:v>
      </x:c>
      <x:c r="C55" s="39" t="str">
        <x:v>Other sectors</x:v>
      </x:c>
      <x:c r="D55" s="31" t="n">
        <x:v>1</x:v>
      </x:c>
      <x:c r="E55" s="39" t="str">
        <x:v>XLV</x:v>
      </x:c>
      <x:c r="F55" s="39" t="n">
        <x:v>0.2035263845</x:v>
      </x:c>
      <x:c r="G55" s="39" t="n">
        <x:v>1.9110309656</x:v>
      </x:c>
      <x:c r="H55" s="44" t="b">
        <x:v>0</x:v>
      </x:c>
      <x:c r="I55" s="39" t="n">
        <x:v>0.0447268602</x:v>
      </x:c>
    </x:row>
    <x:row r="56" ht="19" customHeight="1">
      <x:c r="A56" s="30" t="str">
        <x:v>stagger_1</x:v>
      </x:c>
      <x:c r="B56" s="39" t="str">
        <x:v>AEP</x:v>
      </x:c>
      <x:c r="C56" s="39" t="str">
        <x:v>Other sectors</x:v>
      </x:c>
      <x:c r="D56" s="31" t="n">
        <x:v>1</x:v>
      </x:c>
      <x:c r="E56" s="39" t="str">
        <x:v>XLY</x:v>
      </x:c>
      <x:c r="F56" s="39" t="n">
        <x:v>-0.0615699795</x:v>
      </x:c>
      <x:c r="G56" s="39" t="n">
        <x:v>-0.4757939987</x:v>
      </x:c>
      <x:c r="H56" s="44" t="b">
        <x:v>0</x:v>
      </x:c>
      <x:c r="I56" s="39" t="n">
        <x:v>0.0028939078</x:v>
      </x:c>
    </x:row>
    <x:row r="57" ht="19" customHeight="1">
      <x:c r="A57" s="30" t="str">
        <x:v>stagger_1</x:v>
      </x:c>
      <x:c r="B57" s="39" t="str">
        <x:v>AEP</x:v>
      </x:c>
      <x:c r="C57" s="39" t="str">
        <x:v>Other sectors</x:v>
      </x:c>
      <x:c r="D57" s="31" t="n">
        <x:v>2</x:v>
      </x:c>
      <x:c r="E57" s="39" t="str">
        <x:v>XLB</x:v>
      </x:c>
      <x:c r="F57" s="39" t="n">
        <x:v>-0.1914389875</x:v>
      </x:c>
      <x:c r="G57" s="39" t="n">
        <x:v>-2.0464213551</x:v>
      </x:c>
      <x:c r="H57" s="44" t="b">
        <x:v>0</x:v>
      </x:c>
      <x:c r="I57" s="39" t="n">
        <x:v>0.0509545006</x:v>
      </x:c>
    </x:row>
    <x:row r="58" ht="19" customHeight="1">
      <x:c r="A58" s="30" t="str">
        <x:v>stagger_1</x:v>
      </x:c>
      <x:c r="B58" s="39" t="str">
        <x:v>AEP</x:v>
      </x:c>
      <x:c r="C58" s="39" t="str">
        <x:v>Other sectors</x:v>
      </x:c>
      <x:c r="D58" s="31" t="n">
        <x:v>2</x:v>
      </x:c>
      <x:c r="E58" s="39" t="str">
        <x:v>XLC</x:v>
      </x:c>
      <x:c r="F58" s="39" t="n">
        <x:v>-0.1322855048</x:v>
      </x:c>
      <x:c r="G58" s="39" t="n">
        <x:v>-1.0147818481</x:v>
      </x:c>
      <x:c r="H58" s="44" t="b">
        <x:v>0</x:v>
      </x:c>
      <x:c r="I58" s="39" t="n">
        <x:v>0.0130303054</x:v>
      </x:c>
    </x:row>
    <x:row r="59" ht="19" customHeight="1">
      <x:c r="A59" s="30" t="str">
        <x:v>stagger_1</x:v>
      </x:c>
      <x:c r="B59" s="39" t="str">
        <x:v>AEP</x:v>
      </x:c>
      <x:c r="C59" s="39" t="str">
        <x:v>Other sectors</x:v>
      </x:c>
      <x:c r="D59" s="31" t="n">
        <x:v>2</x:v>
      </x:c>
      <x:c r="E59" s="39" t="str">
        <x:v>XLE</x:v>
      </x:c>
      <x:c r="F59" s="39" t="n">
        <x:v>-0.042718824</x:v>
      </x:c>
      <x:c r="G59" s="39" t="n">
        <x:v>-0.8272442161</x:v>
      </x:c>
      <x:c r="H59" s="44" t="b">
        <x:v>0</x:v>
      </x:c>
      <x:c r="I59" s="39" t="n">
        <x:v>0.0086971951</x:v>
      </x:c>
    </x:row>
    <x:row r="60" ht="19" customHeight="1">
      <x:c r="A60" s="30" t="str">
        <x:v>stagger_1</x:v>
      </x:c>
      <x:c r="B60" s="39" t="str">
        <x:v>AEP</x:v>
      </x:c>
      <x:c r="C60" s="39" t="str">
        <x:v>Other sectors</x:v>
      </x:c>
      <x:c r="D60" s="31" t="n">
        <x:v>2</x:v>
      </x:c>
      <x:c r="E60" s="39" t="str">
        <x:v>XLF</x:v>
      </x:c>
      <x:c r="F60" s="39" t="n">
        <x:v>-0.0844397708</x:v>
      </x:c>
      <x:c r="G60" s="39" t="n">
        <x:v>-0.6896402939</x:v>
      </x:c>
      <x:c r="H60" s="44" t="b">
        <x:v>0</x:v>
      </x:c>
      <x:c r="I60" s="39" t="n">
        <x:v>0.0060605298</x:v>
      </x:c>
    </x:row>
    <x:row r="61" ht="19" customHeight="1">
      <x:c r="A61" s="30" t="str">
        <x:v>stagger_1</x:v>
      </x:c>
      <x:c r="B61" s="39" t="str">
        <x:v>AEP</x:v>
      </x:c>
      <x:c r="C61" s="39" t="str">
        <x:v>Other sectors</x:v>
      </x:c>
      <x:c r="D61" s="31" t="n">
        <x:v>2</x:v>
      </x:c>
      <x:c r="E61" s="39" t="str">
        <x:v>XLI</x:v>
      </x:c>
      <x:c r="F61" s="39" t="n">
        <x:v>-0.2676907531</x:v>
      </x:c>
      <x:c r="G61" s="39" t="n">
        <x:v>-2.1290657521</x:v>
      </x:c>
      <x:c r="H61" s="44" t="b">
        <x:v>1</x:v>
      </x:c>
      <x:c r="I61" s="39" t="n">
        <x:v>0.0549225803</x:v>
      </x:c>
    </x:row>
    <x:row r="62" ht="19" customHeight="1">
      <x:c r="A62" s="30" t="str">
        <x:v>stagger_1</x:v>
      </x:c>
      <x:c r="B62" s="39" t="str">
        <x:v>AEP</x:v>
      </x:c>
      <x:c r="C62" s="39" t="str">
        <x:v>Other sectors</x:v>
      </x:c>
      <x:c r="D62" s="31" t="n">
        <x:v>2</x:v>
      </x:c>
      <x:c r="E62" s="39" t="str">
        <x:v>XLK</x:v>
      </x:c>
      <x:c r="F62" s="39" t="n">
        <x:v>0.0357376669</x:v>
      </x:c>
      <x:c r="G62" s="39" t="n">
        <x:v>0.3105118132</x:v>
      </x:c>
      <x:c r="H62" s="44" t="b">
        <x:v>0</x:v>
      </x:c>
      <x:c r="I62" s="39" t="n">
        <x:v>0.0012345968</x:v>
      </x:c>
    </x:row>
    <x:row r="63" ht="19" customHeight="1">
      <x:c r="A63" s="30" t="str">
        <x:v>stagger_1</x:v>
      </x:c>
      <x:c r="B63" s="39" t="str">
        <x:v>AEP</x:v>
      </x:c>
      <x:c r="C63" s="39" t="str">
        <x:v>Other sectors</x:v>
      </x:c>
      <x:c r="D63" s="31" t="n">
        <x:v>2</x:v>
      </x:c>
      <x:c r="E63" s="39" t="str">
        <x:v>XLP</x:v>
      </x:c>
      <x:c r="F63" s="39" t="n">
        <x:v>0.0071115885</x:v>
      </x:c>
      <x:c r="G63" s="39" t="n">
        <x:v>0.0609628265</x:v>
      </x:c>
      <x:c r="H63" s="44" t="b">
        <x:v>0</x:v>
      </x:c>
      <x:c r="I63" s="39" t="n">
        <x:v>0.0000476447</x:v>
      </x:c>
    </x:row>
    <x:row r="64" ht="19" customHeight="1">
      <x:c r="A64" s="30" t="str">
        <x:v>stagger_1</x:v>
      </x:c>
      <x:c r="B64" s="39" t="str">
        <x:v>AEP</x:v>
      </x:c>
      <x:c r="C64" s="39" t="str">
        <x:v>Other sectors</x:v>
      </x:c>
      <x:c r="D64" s="31" t="n">
        <x:v>2</x:v>
      </x:c>
      <x:c r="E64" s="39" t="str">
        <x:v>XLV</x:v>
      </x:c>
      <x:c r="F64" s="39" t="n">
        <x:v>0.114386699</x:v>
      </x:c>
      <x:c r="G64" s="39" t="n">
        <x:v>1.0854295604</x:v>
      </x:c>
      <x:c r="H64" s="44" t="b">
        <x:v>0</x:v>
      </x:c>
      <x:c r="I64" s="39" t="n">
        <x:v>0.0148798276</x:v>
      </x:c>
    </x:row>
    <x:row r="65" ht="19" customHeight="1">
      <x:c r="A65" s="30" t="str">
        <x:v>stagger_1</x:v>
      </x:c>
      <x:c r="B65" s="39" t="str">
        <x:v>AEP</x:v>
      </x:c>
      <x:c r="C65" s="39" t="str">
        <x:v>Other sectors</x:v>
      </x:c>
      <x:c r="D65" s="31" t="n">
        <x:v>2</x:v>
      </x:c>
      <x:c r="E65" s="39" t="str">
        <x:v>XLY</x:v>
      </x:c>
      <x:c r="F65" s="39" t="n">
        <x:v>-0.0910196015</x:v>
      </x:c>
      <x:c r="G65" s="39" t="n">
        <x:v>-0.7232138695</x:v>
      </x:c>
      <x:c r="H65" s="44" t="b">
        <x:v>0</x:v>
      </x:c>
      <x:c r="I65" s="39" t="n">
        <x:v>0.0066609534</x:v>
      </x:c>
    </x:row>
    <x:row r="66" ht="19" customHeight="1">
      <x:c r="A66" s="30" t="str">
        <x:v>stagger_1</x:v>
      </x:c>
      <x:c r="B66" s="39" t="str">
        <x:v>AEP</x:v>
      </x:c>
      <x:c r="C66" s="39" t="str">
        <x:v>Other sectors</x:v>
      </x:c>
      <x:c r="D66" s="31" t="n">
        <x:v>3</x:v>
      </x:c>
      <x:c r="E66" s="39" t="str">
        <x:v>XLB</x:v>
      </x:c>
      <x:c r="F66" s="39" t="n">
        <x:v>-0.0344609086</x:v>
      </x:c>
      <x:c r="G66" s="39" t="n">
        <x:v>-0.3694714787</x:v>
      </x:c>
      <x:c r="H66" s="44" t="b">
        <x:v>0</x:v>
      </x:c>
      <x:c r="I66" s="39" t="n">
        <x:v>0.00174706</x:v>
      </x:c>
    </x:row>
    <x:row r="67" ht="19" customHeight="1">
      <x:c r="A67" s="30" t="str">
        <x:v>stagger_1</x:v>
      </x:c>
      <x:c r="B67" s="39" t="str">
        <x:v>AEP</x:v>
      </x:c>
      <x:c r="C67" s="39" t="str">
        <x:v>Other sectors</x:v>
      </x:c>
      <x:c r="D67" s="31" t="n">
        <x:v>3</x:v>
      </x:c>
      <x:c r="E67" s="39" t="str">
        <x:v>XLC</x:v>
      </x:c>
      <x:c r="F67" s="39" t="n">
        <x:v>-0.1706132431</x:v>
      </x:c>
      <x:c r="G67" s="39" t="n">
        <x:v>-1.3530988735</x:v>
      </x:c>
      <x:c r="H67" s="44" t="b">
        <x:v>0</x:v>
      </x:c>
      <x:c r="I67" s="39" t="n">
        <x:v>0.0229344414</x:v>
      </x:c>
    </x:row>
    <x:row r="68" ht="19" customHeight="1">
      <x:c r="A68" s="30" t="str">
        <x:v>stagger_1</x:v>
      </x:c>
      <x:c r="B68" s="39" t="str">
        <x:v>AEP</x:v>
      </x:c>
      <x:c r="C68" s="39" t="str">
        <x:v>Other sectors</x:v>
      </x:c>
      <x:c r="D68" s="31" t="n">
        <x:v>3</x:v>
      </x:c>
      <x:c r="E68" s="39" t="str">
        <x:v>XLE</x:v>
      </x:c>
      <x:c r="F68" s="39" t="n">
        <x:v>-0.023758171</x:v>
      </x:c>
      <x:c r="G68" s="39" t="n">
        <x:v>-0.4718629766</x:v>
      </x:c>
      <x:c r="H68" s="44" t="b">
        <x:v>0</x:v>
      </x:c>
      <x:c r="I68" s="39" t="n">
        <x:v>0.0028464218</x:v>
      </x:c>
    </x:row>
    <x:row r="69" ht="19" customHeight="1">
      <x:c r="A69" s="30" t="str">
        <x:v>stagger_1</x:v>
      </x:c>
      <x:c r="B69" s="39" t="str">
        <x:v>AEP</x:v>
      </x:c>
      <x:c r="C69" s="39" t="str">
        <x:v>Other sectors</x:v>
      </x:c>
      <x:c r="D69" s="31" t="n">
        <x:v>3</x:v>
      </x:c>
      <x:c r="E69" s="39" t="str">
        <x:v>XLF</x:v>
      </x:c>
      <x:c r="F69" s="39" t="n">
        <x:v>-0.0021831004</x:v>
      </x:c>
      <x:c r="G69" s="39" t="n">
        <x:v>-0.0182850649</x:v>
      </x:c>
      <x:c r="H69" s="44" t="b">
        <x:v>0</x:v>
      </x:c>
      <x:c r="I69" s="39" t="n">
        <x:v>0.0000042864</x:v>
      </x:c>
    </x:row>
    <x:row r="70" ht="19" customHeight="1">
      <x:c r="A70" s="30" t="str">
        <x:v>stagger_1</x:v>
      </x:c>
      <x:c r="B70" s="39" t="str">
        <x:v>AEP</x:v>
      </x:c>
      <x:c r="C70" s="39" t="str">
        <x:v>Other sectors</x:v>
      </x:c>
      <x:c r="D70" s="31" t="n">
        <x:v>3</x:v>
      </x:c>
      <x:c r="E70" s="39" t="str">
        <x:v>XLK</x:v>
      </x:c>
      <x:c r="F70" s="39" t="n">
        <x:v>-0.0501108794</x:v>
      </x:c>
      <x:c r="G70" s="39" t="n">
        <x:v>-0.4481675973</x:v>
      </x:c>
      <x:c r="H70" s="44" t="b">
        <x:v>0</x:v>
      </x:c>
      <x:c r="I70" s="39" t="n">
        <x:v>0.0025684399</x:v>
      </x:c>
    </x:row>
    <x:row r="71" ht="19" customHeight="1">
      <x:c r="A71" s="30" t="str">
        <x:v>stagger_1</x:v>
      </x:c>
      <x:c r="B71" s="39" t="str">
        <x:v>AEP</x:v>
      </x:c>
      <x:c r="C71" s="39" t="str">
        <x:v>Other sectors</x:v>
      </x:c>
      <x:c r="D71" s="31" t="n">
        <x:v>3</x:v>
      </x:c>
      <x:c r="E71" s="39" t="str">
        <x:v>XLP</x:v>
      </x:c>
      <x:c r="F71" s="39" t="n">
        <x:v>0.1103042402</x:v>
      </x:c>
      <x:c r="G71" s="39" t="n">
        <x:v>0.9785800657</x:v>
      </x:c>
      <x:c r="H71" s="44" t="b">
        <x:v>0</x:v>
      </x:c>
      <x:c r="I71" s="39" t="n">
        <x:v>0.0121282652</x:v>
      </x:c>
    </x:row>
    <x:row r="72" ht="19" customHeight="1">
      <x:c r="A72" s="30" t="str">
        <x:v>stagger_1</x:v>
      </x:c>
      <x:c r="B72" s="39" t="str">
        <x:v>AEP</x:v>
      </x:c>
      <x:c r="C72" s="39" t="str">
        <x:v>Other sectors</x:v>
      </x:c>
      <x:c r="D72" s="31" t="n">
        <x:v>3</x:v>
      </x:c>
      <x:c r="E72" s="39" t="str">
        <x:v>XLV</x:v>
      </x:c>
      <x:c r="F72" s="39" t="n">
        <x:v>0.1490715865</x:v>
      </x:c>
      <x:c r="G72" s="39" t="n">
        <x:v>1.4639207746</x:v>
      </x:c>
      <x:c r="H72" s="44" t="b">
        <x:v>0</x:v>
      </x:c>
      <x:c r="I72" s="39" t="n">
        <x:v>0.0267404804</x:v>
      </x:c>
    </x:row>
    <x:row r="73" ht="19" customHeight="1">
      <x:c r="A73" s="30" t="str">
        <x:v>stagger_1</x:v>
      </x:c>
      <x:c r="B73" s="39" t="str">
        <x:v>AEP</x:v>
      </x:c>
      <x:c r="C73" s="39" t="str">
        <x:v>Other sectors</x:v>
      </x:c>
      <x:c r="D73" s="31" t="n">
        <x:v>3</x:v>
      </x:c>
      <x:c r="E73" s="39" t="str">
        <x:v>XLY</x:v>
      </x:c>
      <x:c r="F73" s="39" t="n">
        <x:v>-0.1226395103</x:v>
      </x:c>
      <x:c r="G73" s="39" t="n">
        <x:v>-1.0054807005</x:v>
      </x:c>
      <x:c r="H73" s="44" t="b">
        <x:v>0</x:v>
      </x:c>
      <x:c r="I73" s="39" t="n">
        <x:v>0.0127955797</x:v>
      </x:c>
    </x:row>
    <x:row r="74" ht="19" customHeight="1">
      <x:c r="A74" s="30" t="str">
        <x:v>stagger_1</x:v>
      </x:c>
      <x:c r="B74" s="39" t="str">
        <x:v>ETR</x:v>
      </x:c>
      <x:c r="C74" s="39" t="str">
        <x:v>Other FX</x:v>
      </x:c>
      <x:c r="D74" s="31" t="n">
        <x:v>1</x:v>
      </x:c>
      <x:c r="E74" s="39" t="str">
        <x:v>AUD/USD</x:v>
      </x:c>
      <x:c r="F74" s="39" t="n">
        <x:v>0.428101056</x:v>
      </x:c>
      <x:c r="G74" s="39" t="n">
        <x:v>1.5901277491</x:v>
      </x:c>
      <x:c r="H74" s="44" t="b">
        <x:v>0</x:v>
      </x:c>
      <x:c r="I74" s="39" t="n">
        <x:v>0.0313988968</x:v>
      </x:c>
    </x:row>
    <x:row r="75" ht="19" customHeight="1">
      <x:c r="A75" s="30" t="str">
        <x:v>stagger_1</x:v>
      </x:c>
      <x:c r="B75" s="39" t="str">
        <x:v>ETR</x:v>
      </x:c>
      <x:c r="C75" s="39" t="str">
        <x:v>Other sectors</x:v>
      </x:c>
      <x:c r="D75" s="31" t="n">
        <x:v>1</x:v>
      </x:c>
      <x:c r="E75" s="39" t="str">
        <x:v>XLB</x:v>
      </x:c>
      <x:c r="F75" s="39" t="n">
        <x:v>-0.0570990471</x:v>
      </x:c>
      <x:c r="G75" s="39" t="n">
        <x:v>-0.5939843286</x:v>
      </x:c>
      <x:c r="H75" s="44" t="b">
        <x:v>0</x:v>
      </x:c>
      <x:c r="I75" s="39" t="n">
        <x:v>0.0045029317</x:v>
      </x:c>
    </x:row>
    <x:row r="76" ht="19" customHeight="1">
      <x:c r="A76" s="30" t="str">
        <x:v>stagger_1</x:v>
      </x:c>
      <x:c r="B76" s="39" t="str">
        <x:v>ETR</x:v>
      </x:c>
      <x:c r="C76" s="39" t="str">
        <x:v>Other sectors</x:v>
      </x:c>
      <x:c r="D76" s="31" t="n">
        <x:v>1</x:v>
      </x:c>
      <x:c r="E76" s="39" t="str">
        <x:v>XLC</x:v>
      </x:c>
      <x:c r="F76" s="39" t="n">
        <x:v>0.0520252602</x:v>
      </x:c>
      <x:c r="G76" s="39" t="n">
        <x:v>0.3955666843</x:v>
      </x:c>
      <x:c r="H76" s="44" t="b">
        <x:v>0</x:v>
      </x:c>
      <x:c r="I76" s="39" t="n">
        <x:v>0.0020020479</x:v>
      </x:c>
    </x:row>
    <x:row r="77" ht="19" customHeight="1">
      <x:c r="A77" s="30" t="str">
        <x:v>stagger_1</x:v>
      </x:c>
      <x:c r="B77" s="39" t="str">
        <x:v>ETR</x:v>
      </x:c>
      <x:c r="C77" s="39" t="str">
        <x:v>Other sectors</x:v>
      </x:c>
      <x:c r="D77" s="31" t="n">
        <x:v>1</x:v>
      </x:c>
      <x:c r="E77" s="39" t="str">
        <x:v>XLE</x:v>
      </x:c>
      <x:c r="F77" s="39" t="n">
        <x:v>0.0051695809</x:v>
      </x:c>
      <x:c r="G77" s="39" t="n">
        <x:v>0.0993478236</x:v>
      </x:c>
      <x:c r="H77" s="44" t="b">
        <x:v>0</x:v>
      </x:c>
      <x:c r="I77" s="39" t="n">
        <x:v>0.0001265223</x:v>
      </x:c>
    </x:row>
    <x:row r="78" ht="19" customHeight="1">
      <x:c r="A78" s="30" t="str">
        <x:v>stagger_1</x:v>
      </x:c>
      <x:c r="B78" s="39" t="str">
        <x:v>ETR</x:v>
      </x:c>
      <x:c r="C78" s="39" t="str">
        <x:v>Other sectors</x:v>
      </x:c>
      <x:c r="D78" s="31" t="n">
        <x:v>1</x:v>
      </x:c>
      <x:c r="E78" s="39" t="str">
        <x:v>XLF</x:v>
      </x:c>
      <x:c r="F78" s="39" t="n">
        <x:v>0.047043886</x:v>
      </x:c>
      <x:c r="G78" s="39" t="n">
        <x:v>0.3821402935</x:v>
      </x:c>
      <x:c r="H78" s="44" t="b">
        <x:v>0</x:v>
      </x:c>
      <x:c r="I78" s="39" t="n">
        <x:v>0.0018686964</x:v>
      </x:c>
    </x:row>
    <x:row r="79" ht="19" customHeight="1">
      <x:c r="A79" s="30" t="str">
        <x:v>stagger_1</x:v>
      </x:c>
      <x:c r="B79" s="39" t="str">
        <x:v>ETR</x:v>
      </x:c>
      <x:c r="C79" s="39" t="str">
        <x:v>Other sectors</x:v>
      </x:c>
      <x:c r="D79" s="31" t="n">
        <x:v>1</x:v>
      </x:c>
      <x:c r="E79" s="39" t="str">
        <x:v>XLI</x:v>
      </x:c>
      <x:c r="F79" s="39" t="n">
        <x:v>-0.116001366</x:v>
      </x:c>
      <x:c r="G79" s="39" t="n">
        <x:v>-0.8985591168</x:v>
      </x:c>
      <x:c r="H79" s="44" t="b">
        <x:v>0</x:v>
      </x:c>
      <x:c r="I79" s="39" t="n">
        <x:v>0.0102453374</x:v>
      </x:c>
    </x:row>
    <x:row r="80" ht="19" customHeight="1">
      <x:c r="A80" s="30" t="str">
        <x:v>stagger_1</x:v>
      </x:c>
      <x:c r="B80" s="39" t="str">
        <x:v>ETR</x:v>
      </x:c>
      <x:c r="C80" s="39" t="str">
        <x:v>Other sectors</x:v>
      </x:c>
      <x:c r="D80" s="31" t="n">
        <x:v>1</x:v>
      </x:c>
      <x:c r="E80" s="39" t="str">
        <x:v>XLK</x:v>
      </x:c>
      <x:c r="F80" s="39" t="n">
        <x:v>-0.0396486614</x:v>
      </x:c>
      <x:c r="G80" s="39" t="n">
        <x:v>-0.3433983294</x:v>
      </x:c>
      <x:c r="H80" s="44" t="b">
        <x:v>0</x:v>
      </x:c>
      <x:c r="I80" s="39" t="n">
        <x:v>0.0015095436</x:v>
      </x:c>
    </x:row>
    <x:row r="81" ht="19" customHeight="1">
      <x:c r="A81" s="30" t="str">
        <x:v>stagger_1</x:v>
      </x:c>
      <x:c r="B81" s="39" t="str">
        <x:v>ETR</x:v>
      </x:c>
      <x:c r="C81" s="39" t="str">
        <x:v>Other sectors</x:v>
      </x:c>
      <x:c r="D81" s="31" t="n">
        <x:v>1</x:v>
      </x:c>
      <x:c r="E81" s="39" t="str">
        <x:v>XLP</x:v>
      </x:c>
      <x:c r="F81" s="39" t="n">
        <x:v>0.0083955673</x:v>
      </x:c>
      <x:c r="G81" s="39" t="n">
        <x:v>0.0717315861</x:v>
      </x:c>
      <x:c r="H81" s="44" t="b">
        <x:v>0</x:v>
      </x:c>
      <x:c r="I81" s="39" t="n">
        <x:v>0.0000659626</x:v>
      </x:c>
    </x:row>
    <x:row r="82" ht="19" customHeight="1">
      <x:c r="A82" s="30" t="str">
        <x:v>stagger_1</x:v>
      </x:c>
      <x:c r="B82" s="39" t="str">
        <x:v>ETR</x:v>
      </x:c>
      <x:c r="C82" s="39" t="str">
        <x:v>Other sectors</x:v>
      </x:c>
      <x:c r="D82" s="31" t="n">
        <x:v>1</x:v>
      </x:c>
      <x:c r="E82" s="39" t="str">
        <x:v>XLRE</x:v>
      </x:c>
      <x:c r="F82" s="39" t="n">
        <x:v>0.1558420865</x:v>
      </x:c>
      <x:c r="G82" s="39" t="n">
        <x:v>1.4961858832</x:v>
      </x:c>
      <x:c r="H82" s="44" t="b">
        <x:v>0</x:v>
      </x:c>
      <x:c r="I82" s="39" t="n">
        <x:v>0.0278989535</x:v>
      </x:c>
    </x:row>
    <x:row r="83" ht="19" customHeight="1">
      <x:c r="A83" s="30" t="str">
        <x:v>stagger_1</x:v>
      </x:c>
      <x:c r="B83" s="39" t="str">
        <x:v>ETR</x:v>
      </x:c>
      <x:c r="C83" s="39" t="str">
        <x:v>Other sectors</x:v>
      </x:c>
      <x:c r="D83" s="31" t="n">
        <x:v>1</x:v>
      </x:c>
      <x:c r="E83" s="39" t="str">
        <x:v>XLV</x:v>
      </x:c>
      <x:c r="F83" s="39" t="n">
        <x:v>-0.080520504</x:v>
      </x:c>
      <x:c r="G83" s="39" t="n">
        <x:v>-0.7586325633</x:v>
      </x:c>
      <x:c r="H83" s="44" t="b">
        <x:v>0</x:v>
      </x:c>
      <x:c r="I83" s="39" t="n">
        <x:v>0.0073244611</x:v>
      </x:c>
    </x:row>
    <x:row r="84" ht="19" customHeight="1">
      <x:c r="A84" s="30" t="str">
        <x:v>stagger_1</x:v>
      </x:c>
      <x:c r="B84" s="39" t="str">
        <x:v>ETR</x:v>
      </x:c>
      <x:c r="C84" s="39" t="str">
        <x:v>Other sectors</x:v>
      </x:c>
      <x:c r="D84" s="31" t="n">
        <x:v>1</x:v>
      </x:c>
      <x:c r="E84" s="39" t="str">
        <x:v>XLY</x:v>
      </x:c>
      <x:c r="F84" s="39" t="n">
        <x:v>0.1698906354</x:v>
      </x:c>
      <x:c r="G84" s="39" t="n">
        <x:v>1.3566642096</x:v>
      </x:c>
      <x:c r="H84" s="44" t="b">
        <x:v>0</x:v>
      </x:c>
      <x:c r="I84" s="39" t="n">
        <x:v>0.0230526726</x:v>
      </x:c>
    </x:row>
    <x:row r="85" ht="19" customHeight="1">
      <x:c r="A85" s="30" t="str">
        <x:v>stagger_1</x:v>
      </x:c>
      <x:c r="B85" s="39" t="str">
        <x:v>DIS</x:v>
      </x:c>
      <x:c r="C85" s="39" t="str">
        <x:v>Other FX</x:v>
      </x:c>
      <x:c r="D85" s="31" t="n">
        <x:v>1</x:v>
      </x:c>
      <x:c r="E85" s="39" t="str">
        <x:v>AUD/USD</x:v>
      </x:c>
      <x:c r="F85" s="39" t="n">
        <x:v>0.9479898522</x:v>
      </x:c>
      <x:c r="G85" s="39" t="n">
        <x:v>2.2948408947</x:v>
      </x:c>
      <x:c r="H85" s="44" t="b">
        <x:v>1</x:v>
      </x:c>
      <x:c r="I85" s="39" t="n">
        <x:v>0.0632464162</x:v>
      </x:c>
    </x:row>
    <x:row r="86" ht="19" customHeight="1">
      <x:c r="A86" s="30" t="str">
        <x:v>stagger_1</x:v>
      </x:c>
      <x:c r="B86" s="39" t="str">
        <x:v>DIS</x:v>
      </x:c>
      <x:c r="C86" s="39" t="str">
        <x:v>Other sectors</x:v>
      </x:c>
      <x:c r="D86" s="31" t="n">
        <x:v>1</x:v>
      </x:c>
      <x:c r="E86" s="39" t="str">
        <x:v>XLB</x:v>
      </x:c>
      <x:c r="F86" s="39" t="n">
        <x:v>-0.0695183673</x:v>
      </x:c>
      <x:c r="G86" s="39" t="n">
        <x:v>-0.3611423241</x:v>
      </x:c>
      <x:c r="H86" s="44" t="b">
        <x:v>0</x:v>
      </x:c>
      <x:c r="I86" s="39" t="n">
        <x:v>0.0016693085</x:v>
      </x:c>
    </x:row>
    <x:row r="87" ht="19" customHeight="1">
      <x:c r="A87" s="30" t="str">
        <x:v>stagger_1</x:v>
      </x:c>
      <x:c r="B87" s="39" t="str">
        <x:v>DIS</x:v>
      </x:c>
      <x:c r="C87" s="39" t="str">
        <x:v>Other sectors</x:v>
      </x:c>
      <x:c r="D87" s="31" t="n">
        <x:v>1</x:v>
      </x:c>
      <x:c r="E87" s="39" t="str">
        <x:v>XLE</x:v>
      </x:c>
      <x:c r="F87" s="39" t="n">
        <x:v>0.036096653</x:v>
      </x:c>
      <x:c r="G87" s="39" t="n">
        <x:v>0.3471583854</x:v>
      </x:c>
      <x:c r="H87" s="44" t="b">
        <x:v>0</x:v>
      </x:c>
      <x:c r="I87" s="39" t="n">
        <x:v>0.001542731</x:v>
      </x:c>
    </x:row>
    <x:row r="88" ht="19" customHeight="1">
      <x:c r="A88" s="30" t="str">
        <x:v>stagger_1</x:v>
      </x:c>
      <x:c r="B88" s="39" t="str">
        <x:v>DIS</x:v>
      </x:c>
      <x:c r="C88" s="39" t="str">
        <x:v>Other sectors</x:v>
      </x:c>
      <x:c r="D88" s="31" t="n">
        <x:v>1</x:v>
      </x:c>
      <x:c r="E88" s="39" t="str">
        <x:v>XLF</x:v>
      </x:c>
      <x:c r="F88" s="39" t="n">
        <x:v>0.3922148625</x:v>
      </x:c>
      <x:c r="G88" s="39" t="n">
        <x:v>1.6182981949</x:v>
      </x:c>
      <x:c r="H88" s="44" t="b">
        <x:v>0</x:v>
      </x:c>
      <x:c r="I88" s="39" t="n">
        <x:v>0.032484807</x:v>
      </x:c>
    </x:row>
    <x:row r="89" ht="19" customHeight="1">
      <x:c r="A89" s="30" t="str">
        <x:v>stagger_1</x:v>
      </x:c>
      <x:c r="B89" s="39" t="str">
        <x:v>DIS</x:v>
      </x:c>
      <x:c r="C89" s="39" t="str">
        <x:v>Other sectors</x:v>
      </x:c>
      <x:c r="D89" s="31" t="n">
        <x:v>1</x:v>
      </x:c>
      <x:c r="E89" s="39" t="str">
        <x:v>XLI</x:v>
      </x:c>
      <x:c r="F89" s="39" t="n">
        <x:v>0.247962406</x:v>
      </x:c>
      <x:c r="G89" s="39" t="n">
        <x:v>0.9612589196</x:v>
      </x:c>
      <x:c r="H89" s="44" t="b">
        <x:v>0</x:v>
      </x:c>
      <x:c r="I89" s="39" t="n">
        <x:v>0.0117076997</x:v>
      </x:c>
    </x:row>
    <x:row r="90" ht="19" customHeight="1">
      <x:c r="A90" s="30" t="str">
        <x:v>stagger_1</x:v>
      </x:c>
      <x:c r="B90" s="39" t="str">
        <x:v>DIS</x:v>
      </x:c>
      <x:c r="C90" s="39" t="str">
        <x:v>Other sectors</x:v>
      </x:c>
      <x:c r="D90" s="31" t="n">
        <x:v>1</x:v>
      </x:c>
      <x:c r="E90" s="39" t="str">
        <x:v>XLK</x:v>
      </x:c>
      <x:c r="F90" s="39" t="n">
        <x:v>0.1437286596</x:v>
      </x:c>
      <x:c r="G90" s="39" t="n">
        <x:v>0.6236125738</x:v>
      </x:c>
      <x:c r="H90" s="44" t="b">
        <x:v>0</x:v>
      </x:c>
      <x:c r="I90" s="39" t="n">
        <x:v>0.0049610682</x:v>
      </x:c>
    </x:row>
    <x:row r="91" ht="19" customHeight="1">
      <x:c r="A91" s="30" t="str">
        <x:v>stagger_1</x:v>
      </x:c>
      <x:c r="B91" s="39" t="str">
        <x:v>DIS</x:v>
      </x:c>
      <x:c r="C91" s="39" t="str">
        <x:v>Other sectors</x:v>
      </x:c>
      <x:c r="D91" s="31" t="n">
        <x:v>1</x:v>
      </x:c>
      <x:c r="E91" s="39" t="str">
        <x:v>XLP</x:v>
      </x:c>
      <x:c r="F91" s="39" t="n">
        <x:v>-0.3601185189</x:v>
      </x:c>
      <x:c r="G91" s="39" t="n">
        <x:v>-1.5625517024</x:v>
      </x:c>
      <x:c r="H91" s="44" t="b">
        <x:v>0</x:v>
      </x:c>
      <x:c r="I91" s="39" t="n">
        <x:v>0.0303520666</x:v>
      </x:c>
    </x:row>
    <x:row r="92" ht="19" customHeight="1">
      <x:c r="A92" s="30" t="str">
        <x:v>stagger_1</x:v>
      </x:c>
      <x:c r="B92" s="39" t="str">
        <x:v>DIS</x:v>
      </x:c>
      <x:c r="C92" s="39" t="str">
        <x:v>Other sectors</x:v>
      </x:c>
      <x:c r="D92" s="31" t="n">
        <x:v>1</x:v>
      </x:c>
      <x:c r="E92" s="39" t="str">
        <x:v>XLRE</x:v>
      </x:c>
      <x:c r="F92" s="39" t="n">
        <x:v>-0.3428816782</x:v>
      </x:c>
      <x:c r="G92" s="39" t="n">
        <x:v>-1.6512459495</x:v>
      </x:c>
      <x:c r="H92" s="44" t="b">
        <x:v>0</x:v>
      </x:c>
      <x:c r="I92" s="39" t="n">
        <x:v>0.0337758897</x:v>
      </x:c>
    </x:row>
    <x:row r="93" ht="19" customHeight="1">
      <x:c r="A93" s="30" t="str">
        <x:v>stagger_1</x:v>
      </x:c>
      <x:c r="B93" s="39" t="str">
        <x:v>DIS</x:v>
      </x:c>
      <x:c r="C93" s="39" t="str">
        <x:v>Other sectors</x:v>
      </x:c>
      <x:c r="D93" s="31" t="n">
        <x:v>1</x:v>
      </x:c>
      <x:c r="E93" s="39" t="str">
        <x:v>XLU</x:v>
      </x:c>
      <x:c r="F93" s="39" t="n">
        <x:v>-0.288632097</x:v>
      </x:c>
      <x:c r="G93" s="39" t="n">
        <x:v>-1.6324718768</x:v>
      </x:c>
      <x:c r="H93" s="44" t="b">
        <x:v>0</x:v>
      </x:c>
      <x:c r="I93" s="39" t="n">
        <x:v>0.0330374463</x:v>
      </x:c>
    </x:row>
    <x:row r="94" ht="19" customHeight="1">
      <x:c r="A94" s="30" t="str">
        <x:v>stagger_1</x:v>
      </x:c>
      <x:c r="B94" s="39" t="str">
        <x:v>DIS</x:v>
      </x:c>
      <x:c r="C94" s="39" t="str">
        <x:v>Other sectors</x:v>
      </x:c>
      <x:c r="D94" s="31" t="n">
        <x:v>1</x:v>
      </x:c>
      <x:c r="E94" s="39" t="str">
        <x:v>XLV</x:v>
      </x:c>
      <x:c r="F94" s="39" t="n">
        <x:v>-0.5348522321</x:v>
      </x:c>
      <x:c r="G94" s="39" t="n">
        <x:v>-2.6188619169</x:v>
      </x:c>
      <x:c r="H94" s="44" t="b">
        <x:v>1</x:v>
      </x:c>
      <x:c r="I94" s="39" t="n">
        <x:v>0.0808221071</x:v>
      </x:c>
    </x:row>
    <x:row r="95" ht="19" customHeight="1">
      <x:c r="A95" s="30" t="str">
        <x:v>stagger_1</x:v>
      </x:c>
      <x:c r="B95" s="39" t="str">
        <x:v>DIS</x:v>
      </x:c>
      <x:c r="C95" s="39" t="str">
        <x:v>Other sectors</x:v>
      </x:c>
      <x:c r="D95" s="31" t="n">
        <x:v>1</x:v>
      </x:c>
      <x:c r="E95" s="39" t="str">
        <x:v>XLY</x:v>
      </x:c>
      <x:c r="F95" s="39" t="n">
        <x:v>0.3102955317</x:v>
      </x:c>
      <x:c r="G95" s="39" t="n">
        <x:v>1.2367470518</x:v>
      </x:c>
      <x:c r="H95" s="44" t="b">
        <x:v>0</x:v>
      </x:c>
      <x:c r="I95" s="39" t="n">
        <x:v>0.019232391</x:v>
      </x:c>
    </x:row>
    <x:row r="96" ht="19" customHeight="1">
      <x:c r="A96" s="30" t="str">
        <x:v>stagger_1</x:v>
      </x:c>
      <x:c r="B96" s="39" t="str">
        <x:v>DIS</x:v>
      </x:c>
      <x:c r="C96" s="39" t="str">
        <x:v>Other sectors</x:v>
      </x:c>
      <x:c r="D96" s="31" t="n">
        <x:v>2</x:v>
      </x:c>
      <x:c r="E96" s="39" t="str">
        <x:v>XLB</x:v>
      </x:c>
      <x:c r="F96" s="39" t="n">
        <x:v>0.0647409726</x:v>
      </x:c>
      <x:c r="G96" s="39" t="n">
        <x:v>0.3507823711</x:v>
      </x:c>
      <x:c r="H96" s="44" t="b">
        <x:v>0</x:v>
      </x:c>
      <x:c r="I96" s="39" t="n">
        <x:v>0.0015750572</x:v>
      </x:c>
    </x:row>
    <x:row r="97" ht="19" customHeight="1">
      <x:c r="A97" s="30" t="str">
        <x:v>stagger_1</x:v>
      </x:c>
      <x:c r="B97" s="39" t="str">
        <x:v>DIS</x:v>
      </x:c>
      <x:c r="C97" s="39" t="str">
        <x:v>Other sectors</x:v>
      </x:c>
      <x:c r="D97" s="31" t="n">
        <x:v>2</x:v>
      </x:c>
      <x:c r="E97" s="39" t="str">
        <x:v>XLE</x:v>
      </x:c>
      <x:c r="F97" s="39" t="n">
        <x:v>0.0800985519</x:v>
      </x:c>
      <x:c r="G97" s="39" t="n">
        <x:v>0.8062177829</x:v>
      </x:c>
      <x:c r="H97" s="44" t="b">
        <x:v>0</x:v>
      </x:c>
      <x:c r="I97" s="39" t="n">
        <x:v>0.0082643003</x:v>
      </x:c>
    </x:row>
    <x:row r="98" ht="19" customHeight="1">
      <x:c r="A98" s="30" t="str">
        <x:v>stagger_1</x:v>
      </x:c>
      <x:c r="B98" s="39" t="str">
        <x:v>DIS</x:v>
      </x:c>
      <x:c r="C98" s="39" t="str">
        <x:v>Other sectors</x:v>
      </x:c>
      <x:c r="D98" s="31" t="n">
        <x:v>2</x:v>
      </x:c>
      <x:c r="E98" s="39" t="str">
        <x:v>XLF</x:v>
      </x:c>
      <x:c r="F98" s="39" t="n">
        <x:v>0.5308730159</x:v>
      </x:c>
      <x:c r="G98" s="39" t="n">
        <x:v>2.323750586</x:v>
      </x:c>
      <x:c r="H98" s="44" t="b">
        <x:v>1</x:v>
      </x:c>
      <x:c r="I98" s="39" t="n">
        <x:v>0.0647461469</x:v>
      </x:c>
    </x:row>
    <x:row r="99" ht="19" customHeight="1">
      <x:c r="A99" s="30" t="str">
        <x:v>stagger_1</x:v>
      </x:c>
      <x:c r="B99" s="39" t="str">
        <x:v>DIS</x:v>
      </x:c>
      <x:c r="C99" s="39" t="str">
        <x:v>Other sectors</x:v>
      </x:c>
      <x:c r="D99" s="31" t="n">
        <x:v>2</x:v>
      </x:c>
      <x:c r="E99" s="39" t="str">
        <x:v>XLI</x:v>
      </x:c>
      <x:c r="F99" s="39" t="n">
        <x:v>0.3507885112</x:v>
      </x:c>
      <x:c r="G99" s="39" t="n">
        <x:v>1.4284003573</x:v>
      </x:c>
      <x:c r="H99" s="44" t="b">
        <x:v>0</x:v>
      </x:c>
      <x:c r="I99" s="39" t="n">
        <x:v>0.0254912448</x:v>
      </x:c>
    </x:row>
    <x:row r="100" ht="19" customHeight="1">
      <x:c r="A100" s="30" t="str">
        <x:v>stagger_1</x:v>
      </x:c>
      <x:c r="B100" s="39" t="str">
        <x:v>DIS</x:v>
      </x:c>
      <x:c r="C100" s="39" t="str">
        <x:v>Other sectors</x:v>
      </x:c>
      <x:c r="D100" s="31" t="n">
        <x:v>2</x:v>
      </x:c>
      <x:c r="E100" s="39" t="str">
        <x:v>XLK</x:v>
      </x:c>
      <x:c r="F100" s="39" t="n">
        <x:v>-0.1628072567</x:v>
      </x:c>
      <x:c r="G100" s="39" t="n">
        <x:v>-0.7375212386</x:v>
      </x:c>
      <x:c r="H100" s="44" t="b">
        <x:v>0</x:v>
      </x:c>
      <x:c r="I100" s="39" t="n">
        <x:v>0.0069252649</x:v>
      </x:c>
    </x:row>
    <x:row r="101" ht="19" customHeight="1">
      <x:c r="A101" s="30" t="str">
        <x:v>stagger_1</x:v>
      </x:c>
      <x:c r="B101" s="39" t="str">
        <x:v>DIS</x:v>
      </x:c>
      <x:c r="C101" s="39" t="str">
        <x:v>Other sectors</x:v>
      </x:c>
      <x:c r="D101" s="31" t="n">
        <x:v>2</x:v>
      </x:c>
      <x:c r="E101" s="39" t="str">
        <x:v>XLP</x:v>
      </x:c>
      <x:c r="F101" s="39" t="n">
        <x:v>-0.0861269865</x:v>
      </x:c>
      <x:c r="G101" s="39" t="n">
        <x:v>-0.3841899255</x:v>
      </x:c>
      <x:c r="H101" s="44" t="b">
        <x:v>0</x:v>
      </x:c>
      <x:c r="I101" s="39" t="n">
        <x:v>0.0018887579</x:v>
      </x:c>
    </x:row>
    <x:row r="102" ht="19" customHeight="1">
      <x:c r="A102" s="30" t="str">
        <x:v>stagger_1</x:v>
      </x:c>
      <x:c r="B102" s="39" t="str">
        <x:v>DIS</x:v>
      </x:c>
      <x:c r="C102" s="39" t="str">
        <x:v>Other sectors</x:v>
      </x:c>
      <x:c r="D102" s="31" t="n">
        <x:v>2</x:v>
      </x:c>
      <x:c r="E102" s="39" t="str">
        <x:v>XLRE</x:v>
      </x:c>
      <x:c r="F102" s="39" t="n">
        <x:v>-0.1243293583</x:v>
      </x:c>
      <x:c r="G102" s="39" t="n">
        <x:v>-0.6153638486</x:v>
      </x:c>
      <x:c r="H102" s="44" t="b">
        <x:v>0</x:v>
      </x:c>
      <x:c r="I102" s="39" t="n">
        <x:v>0.0048313228</x:v>
      </x:c>
    </x:row>
    <x:row r="103" ht="19" customHeight="1">
      <x:c r="A103" s="30" t="str">
        <x:v>stagger_1</x:v>
      </x:c>
      <x:c r="B103" s="39" t="str">
        <x:v>DIS</x:v>
      </x:c>
      <x:c r="C103" s="39" t="str">
        <x:v>Other sectors</x:v>
      </x:c>
      <x:c r="D103" s="31" t="n">
        <x:v>2</x:v>
      </x:c>
      <x:c r="E103" s="39" t="str">
        <x:v>XLU</x:v>
      </x:c>
      <x:c r="F103" s="39" t="n">
        <x:v>-0.1634203893</x:v>
      </x:c>
      <x:c r="G103" s="39" t="n">
        <x:v>-0.9535179573</x:v>
      </x:c>
      <x:c r="H103" s="44" t="b">
        <x:v>0</x:v>
      </x:c>
      <x:c r="I103" s="39" t="n">
        <x:v>0.01152206</x:v>
      </x:c>
    </x:row>
    <x:row r="104" ht="19" customHeight="1">
      <x:c r="A104" s="30" t="str">
        <x:v>stagger_1</x:v>
      </x:c>
      <x:c r="B104" s="39" t="str">
        <x:v>DIS</x:v>
      </x:c>
      <x:c r="C104" s="39" t="str">
        <x:v>Other sectors</x:v>
      </x:c>
      <x:c r="D104" s="31" t="n">
        <x:v>2</x:v>
      </x:c>
      <x:c r="E104" s="39" t="str">
        <x:v>XLY</x:v>
      </x:c>
      <x:c r="F104" s="39" t="n">
        <x:v>0.1325572</x:v>
      </x:c>
      <x:c r="G104" s="39" t="n">
        <x:v>0.5467927066</x:v>
      </x:c>
      <x:c r="H104" s="44" t="b">
        <x:v>0</x:v>
      </x:c>
      <x:c r="I104" s="39" t="n">
        <x:v>0.0038184694</x:v>
      </x:c>
    </x:row>
    <x:row r="105" ht="19" customHeight="1">
      <x:c r="A105" s="30" t="str">
        <x:v>stagger_1</x:v>
      </x:c>
      <x:c r="B105" s="39" t="str">
        <x:v>DIS</x:v>
      </x:c>
      <x:c r="C105" s="39" t="str">
        <x:v>Other sectors</x:v>
      </x:c>
      <x:c r="D105" s="31" t="n">
        <x:v>3</x:v>
      </x:c>
      <x:c r="E105" s="39" t="str">
        <x:v>XLB</x:v>
      </x:c>
      <x:c r="F105" s="39" t="n">
        <x:v>-0.0853465517</x:v>
      </x:c>
      <x:c r="G105" s="39" t="n">
        <x:v>-0.4784911801</x:v>
      </x:c>
      <x:c r="H105" s="44" t="b">
        <x:v>0</x:v>
      </x:c>
      <x:c r="I105" s="39" t="n">
        <x:v>0.0029267144</x:v>
      </x:c>
    </x:row>
    <x:row r="106" ht="19" customHeight="1">
      <x:c r="A106" s="30" t="str">
        <x:v>stagger_1</x:v>
      </x:c>
      <x:c r="B106" s="39" t="str">
        <x:v>DIS</x:v>
      </x:c>
      <x:c r="C106" s="39" t="str">
        <x:v>Other sectors</x:v>
      </x:c>
      <x:c r="D106" s="31" t="n">
        <x:v>3</x:v>
      </x:c>
      <x:c r="E106" s="39" t="str">
        <x:v>XLE</x:v>
      </x:c>
      <x:c r="F106" s="39" t="n">
        <x:v>0.019453011</x:v>
      </x:c>
      <x:c r="G106" s="39" t="n">
        <x:v>0.2016791333</x:v>
      </x:c>
      <x:c r="H106" s="44" t="b">
        <x:v>0</x:v>
      </x:c>
      <x:c r="I106" s="39" t="n">
        <x:v>0.0005211958</x:v>
      </x:c>
    </x:row>
    <x:row r="107" ht="19" customHeight="1">
      <x:c r="A107" s="30" t="str">
        <x:v>stagger_1</x:v>
      </x:c>
      <x:c r="B107" s="39" t="str">
        <x:v>DIS</x:v>
      </x:c>
      <x:c r="C107" s="39" t="str">
        <x:v>Other sectors</x:v>
      </x:c>
      <x:c r="D107" s="31" t="n">
        <x:v>3</x:v>
      </x:c>
      <x:c r="E107" s="39" t="str">
        <x:v>XLI</x:v>
      </x:c>
      <x:c r="F107" s="39" t="n">
        <x:v>0.1698792862</x:v>
      </x:c>
      <x:c r="G107" s="39" t="n">
        <x:v>0.7083789449</x:v>
      </x:c>
      <x:c r="H107" s="44" t="b">
        <x:v>0</x:v>
      </x:c>
      <x:c r="I107" s="39" t="n">
        <x:v>0.0063922194</x:v>
      </x:c>
    </x:row>
    <x:row r="108" ht="19" customHeight="1">
      <x:c r="A108" s="30" t="str">
        <x:v>stagger_1</x:v>
      </x:c>
      <x:c r="B108" s="39" t="str">
        <x:v>DIS</x:v>
      </x:c>
      <x:c r="C108" s="39" t="str">
        <x:v>Other sectors</x:v>
      </x:c>
      <x:c r="D108" s="31" t="n">
        <x:v>3</x:v>
      </x:c>
      <x:c r="E108" s="39" t="str">
        <x:v>XLK</x:v>
      </x:c>
      <x:c r="F108" s="39" t="n">
        <x:v>0.1243242373</x:v>
      </x:c>
      <x:c r="G108" s="39" t="n">
        <x:v>0.5815973736</x:v>
      </x:c>
      <x:c r="H108" s="44" t="b">
        <x:v>0</x:v>
      </x:c>
      <x:c r="I108" s="39" t="n">
        <x:v>0.0043178841</x:v>
      </x:c>
    </x:row>
    <x:row r="109" ht="19" customHeight="1">
      <x:c r="A109" s="30" t="str">
        <x:v>stagger_1</x:v>
      </x:c>
      <x:c r="B109" s="39" t="str">
        <x:v>DIS</x:v>
      </x:c>
      <x:c r="C109" s="39" t="str">
        <x:v>Other sectors</x:v>
      </x:c>
      <x:c r="D109" s="31" t="n">
        <x:v>3</x:v>
      </x:c>
      <x:c r="E109" s="39" t="str">
        <x:v>XLP</x:v>
      </x:c>
      <x:c r="F109" s="39" t="n">
        <x:v>-0.0968042718</x:v>
      </x:c>
      <x:c r="G109" s="39" t="n">
        <x:v>-0.4466637148</x:v>
      </x:c>
      <x:c r="H109" s="44" t="b">
        <x:v>0</x:v>
      </x:c>
      <x:c r="I109" s="39" t="n">
        <x:v>0.0025512753</x:v>
      </x:c>
    </x:row>
    <x:row r="110" ht="19" customHeight="1">
      <x:c r="A110" s="30" t="str">
        <x:v>stagger_1</x:v>
      </x:c>
      <x:c r="B110" s="39" t="str">
        <x:v>DIS</x:v>
      </x:c>
      <x:c r="C110" s="39" t="str">
        <x:v>Other sectors</x:v>
      </x:c>
      <x:c r="D110" s="31" t="n">
        <x:v>3</x:v>
      </x:c>
      <x:c r="E110" s="39" t="str">
        <x:v>XLRE</x:v>
      </x:c>
      <x:c r="F110" s="39" t="n">
        <x:v>-0.2273031599</x:v>
      </x:c>
      <x:c r="G110" s="39" t="n">
        <x:v>-1.1706563865</x:v>
      </x:c>
      <x:c r="H110" s="44" t="b">
        <x:v>0</x:v>
      </x:c>
      <x:c r="I110" s="39" t="n">
        <x:v>0.0172663329</x:v>
      </x:c>
    </x:row>
    <x:row r="111" ht="19" customHeight="1">
      <x:c r="A111" s="30" t="str">
        <x:v>stagger_1</x:v>
      </x:c>
      <x:c r="B111" s="39" t="str">
        <x:v>DIS</x:v>
      </x:c>
      <x:c r="C111" s="39" t="str">
        <x:v>Other sectors</x:v>
      </x:c>
      <x:c r="D111" s="31" t="n">
        <x:v>3</x:v>
      </x:c>
      <x:c r="E111" s="39" t="str">
        <x:v>XLU</x:v>
      </x:c>
      <x:c r="F111" s="39" t="n">
        <x:v>-0.1994680297</x:v>
      </x:c>
      <x:c r="G111" s="39" t="n">
        <x:v>-1.207639356</x:v>
      </x:c>
      <x:c r="H111" s="44" t="b">
        <x:v>0</x:v>
      </x:c>
      <x:c r="I111" s="39" t="n">
        <x:v>0.0183541696</x:v>
      </x:c>
    </x:row>
    <x:row r="112" ht="19" customHeight="1">
      <x:c r="A112" s="30" t="str">
        <x:v>stagger_1</x:v>
      </x:c>
      <x:c r="B112" s="39" t="str">
        <x:v>DIS</x:v>
      </x:c>
      <x:c r="C112" s="39" t="str">
        <x:v>Other sectors</x:v>
      </x:c>
      <x:c r="D112" s="31" t="n">
        <x:v>3</x:v>
      </x:c>
      <x:c r="E112" s="39" t="str">
        <x:v>XLY</x:v>
      </x:c>
      <x:c r="F112" s="39" t="n">
        <x:v>0.1492400396</x:v>
      </x:c>
      <x:c r="G112" s="39" t="n">
        <x:v>0.6369948576</x:v>
      </x:c>
      <x:c r="H112" s="44" t="b">
        <x:v>0</x:v>
      </x:c>
      <x:c r="I112" s="39" t="n">
        <x:v>0.0051751611</x:v>
      </x:c>
    </x:row>
    <x:row r="113" ht="19" customHeight="1">
      <x:c r="A113" s="30" t="str">
        <x:v>stagger_1</x:v>
      </x:c>
      <x:c r="B113" s="39" t="str">
        <x:v>CMG</x:v>
      </x:c>
      <x:c r="C113" s="39" t="str">
        <x:v>Other FX</x:v>
      </x:c>
      <x:c r="D113" s="31" t="n">
        <x:v>1</x:v>
      </x:c>
      <x:c r="E113" s="39" t="str">
        <x:v>AUD/USD</x:v>
      </x:c>
      <x:c r="F113" s="39" t="n">
        <x:v>1.0424836686</x:v>
      </x:c>
      <x:c r="G113" s="39" t="n">
        <x:v>2.0309716661</x:v>
      </x:c>
      <x:c r="H113" s="44" t="b">
        <x:v>1</x:v>
      </x:c>
      <x:c r="I113" s="39" t="n">
        <x:v>0.0502265284</x:v>
      </x:c>
    </x:row>
    <x:row r="114" ht="19" customHeight="1">
      <x:c r="A114" s="30" t="str">
        <x:v>stagger_1</x:v>
      </x:c>
      <x:c r="B114" s="39" t="str">
        <x:v>CMG</x:v>
      </x:c>
      <x:c r="C114" s="39" t="str">
        <x:v>Other sectors</x:v>
      </x:c>
      <x:c r="D114" s="31" t="n">
        <x:v>1</x:v>
      </x:c>
      <x:c r="E114" s="39" t="str">
        <x:v>XLB</x:v>
      </x:c>
      <x:c r="F114" s="39" t="n">
        <x:v>-0.0809707994</x:v>
      </x:c>
      <x:c r="G114" s="39" t="n">
        <x:v>-0.2923531462</x:v>
      </x:c>
      <x:c r="H114" s="44" t="b">
        <x:v>0</x:v>
      </x:c>
      <x:c r="I114" s="39" t="n">
        <x:v>0.0010945745</x:v>
      </x:c>
    </x:row>
    <x:row r="115" ht="19" customHeight="1">
      <x:c r="A115" s="30" t="str">
        <x:v>stagger_1</x:v>
      </x:c>
      <x:c r="B115" s="39" t="str">
        <x:v>CMG</x:v>
      </x:c>
      <x:c r="C115" s="39" t="str">
        <x:v>Other sectors</x:v>
      </x:c>
      <x:c r="D115" s="31" t="n">
        <x:v>1</x:v>
      </x:c>
      <x:c r="E115" s="39" t="str">
        <x:v>XLC</x:v>
      </x:c>
      <x:c r="F115" s="39" t="n">
        <x:v>0.5267819222</x:v>
      </x:c>
      <x:c r="G115" s="39" t="n">
        <x:v>1.4087448135</x:v>
      </x:c>
      <x:c r="H115" s="44" t="b">
        <x:v>0</x:v>
      </x:c>
      <x:c r="I115" s="39" t="n">
        <x:v>0.0248118124</x:v>
      </x:c>
    </x:row>
    <x:row r="116" ht="19" customHeight="1">
      <x:c r="A116" s="30" t="str">
        <x:v>stagger_1</x:v>
      </x:c>
      <x:c r="B116" s="39" t="str">
        <x:v>CMG</x:v>
      </x:c>
      <x:c r="C116" s="39" t="str">
        <x:v>Other sectors</x:v>
      </x:c>
      <x:c r="D116" s="31" t="n">
        <x:v>1</x:v>
      </x:c>
      <x:c r="E116" s="39" t="str">
        <x:v>XLE</x:v>
      </x:c>
      <x:c r="F116" s="39" t="n">
        <x:v>-0.3247562354</x:v>
      </x:c>
      <x:c r="G116" s="39" t="n">
        <x:v>-2.2383440814</x:v>
      </x:c>
      <x:c r="H116" s="44" t="b">
        <x:v>1</x:v>
      </x:c>
      <x:c r="I116" s="39" t="n">
        <x:v>0.0603562596</x:v>
      </x:c>
    </x:row>
    <x:row r="117" ht="19" customHeight="1">
      <x:c r="A117" s="30" t="str">
        <x:v>stagger_1</x:v>
      </x:c>
      <x:c r="B117" s="39" t="str">
        <x:v>CMG</x:v>
      </x:c>
      <x:c r="C117" s="39" t="str">
        <x:v>Other sectors</x:v>
      </x:c>
      <x:c r="D117" s="31" t="n">
        <x:v>1</x:v>
      </x:c>
      <x:c r="E117" s="39" t="str">
        <x:v>XLF</x:v>
      </x:c>
      <x:c r="F117" s="39" t="n">
        <x:v>-0.062383856</x:v>
      </x:c>
      <x:c r="G117" s="39" t="n">
        <x:v>-0.176054602</x:v>
      </x:c>
      <x:c r="H117" s="44" t="b">
        <x:v>0</x:v>
      </x:c>
      <x:c r="I117" s="39" t="n">
        <x:v>0.0003972168</x:v>
      </x:c>
    </x:row>
    <x:row r="118" ht="19" customHeight="1">
      <x:c r="A118" s="30" t="str">
        <x:v>stagger_1</x:v>
      </x:c>
      <x:c r="B118" s="39" t="str">
        <x:v>CMG</x:v>
      </x:c>
      <x:c r="C118" s="39" t="str">
        <x:v>Other sectors</x:v>
      </x:c>
      <x:c r="D118" s="31" t="n">
        <x:v>1</x:v>
      </x:c>
      <x:c r="E118" s="39" t="str">
        <x:v>XLI</x:v>
      </x:c>
      <x:c r="F118" s="39" t="n">
        <x:v>-0.1739204335</x:v>
      </x:c>
      <x:c r="G118" s="39" t="n">
        <x:v>-0.4666365019</x:v>
      </x:c>
      <x:c r="H118" s="44" t="b">
        <x:v>0</x:v>
      </x:c>
      <x:c r="I118" s="39" t="n">
        <x:v>0.0027838902</x:v>
      </x:c>
    </x:row>
    <x:row r="119" ht="19" customHeight="1">
      <x:c r="A119" s="30" t="str">
        <x:v>stagger_1</x:v>
      </x:c>
      <x:c r="B119" s="39" t="str">
        <x:v>CMG</x:v>
      </x:c>
      <x:c r="C119" s="39" t="str">
        <x:v>Other sectors</x:v>
      </x:c>
      <x:c r="D119" s="31" t="n">
        <x:v>1</x:v>
      </x:c>
      <x:c r="E119" s="39" t="str">
        <x:v>XLK</x:v>
      </x:c>
      <x:c r="F119" s="39" t="n">
        <x:v>0.1620445928</x:v>
      </x:c>
      <x:c r="G119" s="39" t="n">
        <x:v>0.4883311505</x:v>
      </x:c>
      <x:c r="H119" s="44" t="b">
        <x:v>0</x:v>
      </x:c>
      <x:c r="I119" s="39" t="n">
        <x:v>0.0030479548</x:v>
      </x:c>
    </x:row>
    <x:row r="120" ht="19" customHeight="1">
      <x:c r="A120" s="30" t="str">
        <x:v>stagger_1</x:v>
      </x:c>
      <x:c r="B120" s="39" t="str">
        <x:v>CMG</x:v>
      </x:c>
      <x:c r="C120" s="39" t="str">
        <x:v>Other sectors</x:v>
      </x:c>
      <x:c r="D120" s="31" t="n">
        <x:v>1</x:v>
      </x:c>
      <x:c r="E120" s="39" t="str">
        <x:v>XLP</x:v>
      </x:c>
      <x:c r="F120" s="39" t="n">
        <x:v>0.5256317148</x:v>
      </x:c>
      <x:c r="G120" s="39" t="n">
        <x:v>1.586346915</x:v>
      </x:c>
      <x:c r="H120" s="44" t="b">
        <x:v>0</x:v>
      </x:c>
      <x:c r="I120" s="39" t="n">
        <x:v>0.0312544217</x:v>
      </x:c>
    </x:row>
    <x:row r="121" ht="19" customHeight="1">
      <x:c r="A121" s="30" t="str">
        <x:v>stagger_1</x:v>
      </x:c>
      <x:c r="B121" s="39" t="str">
        <x:v>CMG</x:v>
      </x:c>
      <x:c r="C121" s="39" t="str">
        <x:v>Other sectors</x:v>
      </x:c>
      <x:c r="D121" s="31" t="n">
        <x:v>1</x:v>
      </x:c>
      <x:c r="E121" s="39" t="str">
        <x:v>XLRE</x:v>
      </x:c>
      <x:c r="F121" s="39" t="n">
        <x:v>-0.1378752858</x:v>
      </x:c>
      <x:c r="G121" s="39" t="n">
        <x:v>-0.4543518351</x:v>
      </x:c>
      <x:c r="H121" s="44" t="b">
        <x:v>0</x:v>
      </x:c>
      <x:c r="I121" s="39" t="n">
        <x:v>0.0026396241</x:v>
      </x:c>
    </x:row>
    <x:row r="122" ht="19" customHeight="1">
      <x:c r="A122" s="30" t="str">
        <x:v>stagger_1</x:v>
      </x:c>
      <x:c r="B122" s="39" t="str">
        <x:v>CMG</x:v>
      </x:c>
      <x:c r="C122" s="39" t="str">
        <x:v>Other sectors</x:v>
      </x:c>
      <x:c r="D122" s="31" t="n">
        <x:v>1</x:v>
      </x:c>
      <x:c r="E122" s="39" t="str">
        <x:v>XLU</x:v>
      </x:c>
      <x:c r="F122" s="39" t="n">
        <x:v>0.1241685893</x:v>
      </x:c>
      <x:c r="G122" s="39" t="n">
        <x:v>0.4808236533</x:v>
      </x:c>
      <x:c r="H122" s="44" t="b">
        <x:v>0</x:v>
      </x:c>
      <x:c r="I122" s="39" t="n">
        <x:v>0.0029552328</x:v>
      </x:c>
    </x:row>
    <x:row r="123" ht="19" customHeight="1">
      <x:c r="A123" s="30" t="str">
        <x:v>stagger_1</x:v>
      </x:c>
      <x:c r="B123" s="39" t="str">
        <x:v>CMG</x:v>
      </x:c>
      <x:c r="C123" s="39" t="str">
        <x:v>Other sectors</x:v>
      </x:c>
      <x:c r="D123" s="31" t="n">
        <x:v>1</x:v>
      </x:c>
      <x:c r="E123" s="39" t="str">
        <x:v>XLV</x:v>
      </x:c>
      <x:c r="F123" s="39" t="n">
        <x:v>0.0847899613</x:v>
      </x:c>
      <x:c r="G123" s="39" t="n">
        <x:v>0.2768610072</x:v>
      </x:c>
      <x:c r="H123" s="44" t="b">
        <x:v>0</x:v>
      </x:c>
      <x:c r="I123" s="39" t="n">
        <x:v>0.0009817534</x:v>
      </x:c>
    </x:row>
    <x:row r="124" ht="19" customHeight="1">
      <x:c r="A124" s="30" t="str">
        <x:v>stagger_1</x:v>
      </x:c>
      <x:c r="B124" s="39" t="str">
        <x:v>CMG</x:v>
      </x:c>
      <x:c r="C124" s="39" t="str">
        <x:v>Other sectors</x:v>
      </x:c>
      <x:c r="D124" s="31" t="n">
        <x:v>2</x:v>
      </x:c>
      <x:c r="E124" s="39" t="str">
        <x:v>XLB</x:v>
      </x:c>
      <x:c r="F124" s="39" t="n">
        <x:v>0.1102704629</x:v>
      </x:c>
      <x:c r="G124" s="39" t="n">
        <x:v>0.4109497862</x:v>
      </x:c>
      <x:c r="H124" s="44" t="b">
        <x:v>0</x:v>
      </x:c>
      <x:c r="I124" s="39" t="n">
        <x:v>0.0021604471</x:v>
      </x:c>
    </x:row>
    <x:row r="125" ht="19" customHeight="1">
      <x:c r="A125" s="30" t="str">
        <x:v>stagger_1</x:v>
      </x:c>
      <x:c r="B125" s="39" t="str">
        <x:v>CMG</x:v>
      </x:c>
      <x:c r="C125" s="39" t="str">
        <x:v>Other sectors</x:v>
      </x:c>
      <x:c r="D125" s="31" t="n">
        <x:v>2</x:v>
      </x:c>
      <x:c r="E125" s="39" t="str">
        <x:v>XLC</x:v>
      </x:c>
      <x:c r="F125" s="39" t="n">
        <x:v>0.5818681063</x:v>
      </x:c>
      <x:c r="G125" s="39" t="n">
        <x:v>1.6113860095</x:v>
      </x:c>
      <x:c r="H125" s="44" t="b">
        <x:v>0</x:v>
      </x:c>
      <x:c r="I125" s="39" t="n">
        <x:v>0.0322168181</x:v>
      </x:c>
    </x:row>
    <x:row r="126" ht="19" customHeight="1">
      <x:c r="A126" s="30" t="str">
        <x:v>stagger_1</x:v>
      </x:c>
      <x:c r="B126" s="39" t="str">
        <x:v>CMG</x:v>
      </x:c>
      <x:c r="C126" s="39" t="str">
        <x:v>Other sectors</x:v>
      </x:c>
      <x:c r="D126" s="31" t="n">
        <x:v>2</x:v>
      </x:c>
      <x:c r="E126" s="39" t="str">
        <x:v>XLF</x:v>
      </x:c>
      <x:c r="F126" s="39" t="n">
        <x:v>0.1456288466</x:v>
      </x:c>
      <x:c r="G126" s="39" t="n">
        <x:v>0.4243805762</x:v>
      </x:c>
      <x:c r="H126" s="44" t="b">
        <x:v>0</x:v>
      </x:c>
      <x:c r="I126" s="39" t="n">
        <x:v>0.0023036409</x:v>
      </x:c>
    </x:row>
    <x:row r="127" ht="19" customHeight="1">
      <x:c r="A127" s="30" t="str">
        <x:v>stagger_1</x:v>
      </x:c>
      <x:c r="B127" s="39" t="str">
        <x:v>CMG</x:v>
      </x:c>
      <x:c r="C127" s="39" t="str">
        <x:v>Other sectors</x:v>
      </x:c>
      <x:c r="D127" s="31" t="n">
        <x:v>2</x:v>
      </x:c>
      <x:c r="E127" s="39" t="str">
        <x:v>XLI</x:v>
      </x:c>
      <x:c r="F127" s="39" t="n">
        <x:v>-0.03088822</x:v>
      </x:c>
      <x:c r="G127" s="39" t="n">
        <x:v>-0.0853796371</x:v>
      </x:c>
      <x:c r="H127" s="44" t="b">
        <x:v>0</x:v>
      </x:c>
      <x:c r="I127" s="39" t="n">
        <x:v>0.0000934487</x:v>
      </x:c>
    </x:row>
    <x:row r="128" ht="19" customHeight="1">
      <x:c r="A128" s="30" t="str">
        <x:v>stagger_1</x:v>
      </x:c>
      <x:c r="B128" s="39" t="str">
        <x:v>CMG</x:v>
      </x:c>
      <x:c r="C128" s="39" t="str">
        <x:v>Other sectors</x:v>
      </x:c>
      <x:c r="D128" s="31" t="n">
        <x:v>2</x:v>
      </x:c>
      <x:c r="E128" s="39" t="str">
        <x:v>XLK</x:v>
      </x:c>
      <x:c r="F128" s="39" t="n">
        <x:v>-0.1215534411</x:v>
      </x:c>
      <x:c r="G128" s="39" t="n">
        <x:v>-0.3776585873</x:v>
      </x:c>
      <x:c r="H128" s="44" t="b">
        <x:v>0</x:v>
      </x:c>
      <x:c r="I128" s="39" t="n">
        <x:v>0.0018252011</x:v>
      </x:c>
    </x:row>
    <x:row r="129" ht="19" customHeight="1">
      <x:c r="A129" s="30" t="str">
        <x:v>stagger_1</x:v>
      </x:c>
      <x:c r="B129" s="39" t="str">
        <x:v>CMG</x:v>
      </x:c>
      <x:c r="C129" s="39" t="str">
        <x:v>Other sectors</x:v>
      </x:c>
      <x:c r="D129" s="31" t="n">
        <x:v>2</x:v>
      </x:c>
      <x:c r="E129" s="39" t="str">
        <x:v>XLP</x:v>
      </x:c>
      <x:c r="F129" s="39" t="n">
        <x:v>0.620792719</x:v>
      </x:c>
      <x:c r="G129" s="39" t="n">
        <x:v>1.9480602764</x:v>
      </x:c>
      <x:c r="H129" s="44" t="b">
        <x:v>0</x:v>
      </x:c>
      <x:c r="I129" s="39" t="n">
        <x:v>0.046395766</x:v>
      </x:c>
    </x:row>
    <x:row r="130" ht="19" customHeight="1">
      <x:c r="A130" s="30" t="str">
        <x:v>stagger_1</x:v>
      </x:c>
      <x:c r="B130" s="39" t="str">
        <x:v>CMG</x:v>
      </x:c>
      <x:c r="C130" s="39" t="str">
        <x:v>Other sectors</x:v>
      </x:c>
      <x:c r="D130" s="31" t="n">
        <x:v>2</x:v>
      </x:c>
      <x:c r="E130" s="39" t="str">
        <x:v>XLRE</x:v>
      </x:c>
      <x:c r="F130" s="39" t="n">
        <x:v>-0.0453256766</x:v>
      </x:c>
      <x:c r="G130" s="39" t="n">
        <x:v>-0.1539077659</x:v>
      </x:c>
      <x:c r="H130" s="44" t="b">
        <x:v>0</x:v>
      </x:c>
      <x:c r="I130" s="39" t="n">
        <x:v>0.000303595</x:v>
      </x:c>
    </x:row>
    <x:row r="131" ht="19" customHeight="1">
      <x:c r="A131" s="30" t="str">
        <x:v>stagger_1</x:v>
      </x:c>
      <x:c r="B131" s="39" t="str">
        <x:v>CMG</x:v>
      </x:c>
      <x:c r="C131" s="39" t="str">
        <x:v>Other sectors</x:v>
      </x:c>
      <x:c r="D131" s="31" t="n">
        <x:v>2</x:v>
      </x:c>
      <x:c r="E131" s="39" t="str">
        <x:v>XLU</x:v>
      </x:c>
      <x:c r="F131" s="39" t="n">
        <x:v>0.1687864746</x:v>
      </x:c>
      <x:c r="G131" s="39" t="n">
        <x:v>0.6752320457</x:v>
      </x:c>
      <x:c r="H131" s="44" t="b">
        <x:v>0</x:v>
      </x:c>
      <x:c r="I131" s="39" t="n">
        <x:v>0.0058113933</x:v>
      </x:c>
    </x:row>
    <x:row r="132" ht="19" customHeight="1">
      <x:c r="A132" s="30" t="str">
        <x:v>stagger_1</x:v>
      </x:c>
      <x:c r="B132" s="39" t="str">
        <x:v>CMG</x:v>
      </x:c>
      <x:c r="C132" s="39" t="str">
        <x:v>Other sectors</x:v>
      </x:c>
      <x:c r="D132" s="31" t="n">
        <x:v>2</x:v>
      </x:c>
      <x:c r="E132" s="39" t="str">
        <x:v>XLV</x:v>
      </x:c>
      <x:c r="F132" s="39" t="n">
        <x:v>0.1967566653</x:v>
      </x:c>
      <x:c r="G132" s="39" t="n">
        <x:v>0.6643195834</x:v>
      </x:c>
      <x:c r="H132" s="44" t="b">
        <x:v>0</x:v>
      </x:c>
      <x:c r="I132" s="39" t="n">
        <x:v>0.0056261229</x:v>
      </x:c>
    </x:row>
    <x:row r="133" ht="19" customHeight="1">
      <x:c r="A133" s="30" t="str">
        <x:v>stagger_1</x:v>
      </x:c>
      <x:c r="B133" s="39" t="str">
        <x:v>AMZN</x:v>
      </x:c>
      <x:c r="C133" s="39" t="str">
        <x:v>Other FX</x:v>
      </x:c>
      <x:c r="D133" s="31" t="n">
        <x:v>1</x:v>
      </x:c>
      <x:c r="E133" s="39" t="str">
        <x:v>AUD/USD</x:v>
      </x:c>
      <x:c r="F133" s="39" t="n">
        <x:v>0.8584622246</x:v>
      </x:c>
      <x:c r="G133" s="39" t="n">
        <x:v>1.8582807877</x:v>
      </x:c>
      <x:c r="H133" s="44" t="b">
        <x:v>0</x:v>
      </x:c>
      <x:c r="I133" s="39" t="n">
        <x:v>0.0423949847</x:v>
      </x:c>
    </x:row>
    <x:row r="134" ht="19" customHeight="1">
      <x:c r="A134" s="30" t="str">
        <x:v>stagger_1</x:v>
      </x:c>
      <x:c r="B134" s="39" t="str">
        <x:v>AMZN</x:v>
      </x:c>
      <x:c r="C134" s="39" t="str">
        <x:v>Other sectors</x:v>
      </x:c>
      <x:c r="D134" s="31" t="n">
        <x:v>1</x:v>
      </x:c>
      <x:c r="E134" s="39" t="str">
        <x:v>XLB</x:v>
      </x:c>
      <x:c r="F134" s="39" t="n">
        <x:v>-0.7565963893</x:v>
      </x:c>
      <x:c r="G134" s="39" t="n">
        <x:v>-5.4751388885</x:v>
      </x:c>
      <x:c r="H134" s="44" t="b">
        <x:v>1</x:v>
      </x:c>
      <x:c r="I134" s="39" t="n">
        <x:v>0.2776249142</x:v>
      </x:c>
    </x:row>
    <x:row r="135" ht="19" customHeight="1">
      <x:c r="A135" s="30" t="str">
        <x:v>stagger_1</x:v>
      </x:c>
      <x:c r="B135" s="39" t="str">
        <x:v>AMZN</x:v>
      </x:c>
      <x:c r="C135" s="39" t="str">
        <x:v>Other sectors</x:v>
      </x:c>
      <x:c r="D135" s="31" t="n">
        <x:v>1</x:v>
      </x:c>
      <x:c r="E135" s="39" t="str">
        <x:v>XLC</x:v>
      </x:c>
      <x:c r="F135" s="39" t="n">
        <x:v>0.2942928369</x:v>
      </x:c>
      <x:c r="G135" s="39" t="n">
        <x:v>1.3397900222</x:v>
      </x:c>
      <x:c r="H135" s="44" t="b">
        <x:v>0</x:v>
      </x:c>
      <x:c r="I135" s="39" t="n">
        <x:v>0.0224956008</x:v>
      </x:c>
    </x:row>
    <x:row r="136" ht="19" customHeight="1">
      <x:c r="A136" s="30" t="str">
        <x:v>stagger_1</x:v>
      </x:c>
      <x:c r="B136" s="39" t="str">
        <x:v>AMZN</x:v>
      </x:c>
      <x:c r="C136" s="39" t="str">
        <x:v>Other sectors</x:v>
      </x:c>
      <x:c r="D136" s="31" t="n">
        <x:v>1</x:v>
      </x:c>
      <x:c r="E136" s="39" t="str">
        <x:v>XLE</x:v>
      </x:c>
      <x:c r="F136" s="39" t="n">
        <x:v>-0.0460252753</x:v>
      </x:c>
      <x:c r="G136" s="39" t="n">
        <x:v>-0.5250300238</x:v>
      </x:c>
      <x:c r="H136" s="44" t="b">
        <x:v>0</x:v>
      </x:c>
      <x:c r="I136" s="39" t="n">
        <x:v>0.0035216124</x:v>
      </x:c>
    </x:row>
    <x:row r="137" ht="19" customHeight="1">
      <x:c r="A137" s="30" t="str">
        <x:v>stagger_1</x:v>
      </x:c>
      <x:c r="B137" s="39" t="str">
        <x:v>AMZN</x:v>
      </x:c>
      <x:c r="C137" s="39" t="str">
        <x:v>Other sectors</x:v>
      </x:c>
      <x:c r="D137" s="31" t="n">
        <x:v>1</x:v>
      </x:c>
      <x:c r="E137" s="39" t="str">
        <x:v>XLF</x:v>
      </x:c>
      <x:c r="F137" s="39" t="n">
        <x:v>-0.5147769143</x:v>
      </x:c>
      <x:c r="G137" s="39" t="n">
        <x:v>-2.5789787477</x:v>
      </x:c>
      <x:c r="H137" s="44" t="b">
        <x:v>0</x:v>
      </x:c>
      <x:c r="I137" s="39" t="n">
        <x:v>0.0785710867</x:v>
      </x:c>
    </x:row>
    <x:row r="138" ht="19" customHeight="1">
      <x:c r="A138" s="30" t="str">
        <x:v>stagger_1</x:v>
      </x:c>
      <x:c r="B138" s="39" t="str">
        <x:v>AMZN</x:v>
      </x:c>
      <x:c r="C138" s="39" t="str">
        <x:v>Other sectors</x:v>
      </x:c>
      <x:c r="D138" s="31" t="n">
        <x:v>1</x:v>
      </x:c>
      <x:c r="E138" s="39" t="str">
        <x:v>XLI</x:v>
      </x:c>
      <x:c r="F138" s="39" t="n">
        <x:v>-0.8719435125</x:v>
      </x:c>
      <x:c r="G138" s="39" t="n">
        <x:v>-4.4609328784</x:v>
      </x:c>
      <x:c r="H138" s="44" t="b">
        <x:v>0</x:v>
      </x:c>
      <x:c r="I138" s="39" t="n">
        <x:v>0.2032680079</x:v>
      </x:c>
    </x:row>
    <x:row r="139" ht="19" customHeight="1">
      <x:c r="A139" s="30" t="str">
        <x:v>stagger_1</x:v>
      </x:c>
      <x:c r="B139" s="39" t="str">
        <x:v>AMZN</x:v>
      </x:c>
      <x:c r="C139" s="39" t="str">
        <x:v>Other sectors</x:v>
      </x:c>
      <x:c r="D139" s="31" t="n">
        <x:v>1</x:v>
      </x:c>
      <x:c r="E139" s="39" t="str">
        <x:v>XLK</x:v>
      </x:c>
      <x:c r="F139" s="39" t="n">
        <x:v>0.4228952852</x:v>
      </x:c>
      <x:c r="G139" s="39" t="n">
        <x:v>2.2373138563</x:v>
      </x:c>
      <x:c r="H139" s="44" t="b">
        <x:v>0</x:v>
      </x:c>
      <x:c r="I139" s="39" t="n">
        <x:v>0.0603040626</x:v>
      </x:c>
    </x:row>
    <x:row r="140" ht="19" customHeight="1">
      <x:c r="A140" s="30" t="str">
        <x:v>stagger_1</x:v>
      </x:c>
      <x:c r="B140" s="39" t="str">
        <x:v>AMZN</x:v>
      </x:c>
      <x:c r="C140" s="39" t="str">
        <x:v>Other sectors</x:v>
      </x:c>
      <x:c r="D140" s="31" t="n">
        <x:v>1</x:v>
      </x:c>
      <x:c r="E140" s="39" t="str">
        <x:v>XLP</x:v>
      </x:c>
      <x:c r="F140" s="39" t="n">
        <x:v>-0.6243094573</x:v>
      </x:c>
      <x:c r="G140" s="39" t="n">
        <x:v>-3.3849667121</x:v>
      </x:c>
      <x:c r="H140" s="44" t="b">
        <x:v>0</x:v>
      </x:c>
      <x:c r="I140" s="39" t="n">
        <x:v>0.1280824486</x:v>
      </x:c>
    </x:row>
    <x:row r="141" ht="19" customHeight="1">
      <x:c r="A141" s="30" t="str">
        <x:v>stagger_1</x:v>
      </x:c>
      <x:c r="B141" s="39" t="str">
        <x:v>AMZN</x:v>
      </x:c>
      <x:c r="C141" s="39" t="str">
        <x:v>Other sectors</x:v>
      </x:c>
      <x:c r="D141" s="31" t="n">
        <x:v>1</x:v>
      </x:c>
      <x:c r="E141" s="39" t="str">
        <x:v>XLRE</x:v>
      </x:c>
      <x:c r="F141" s="39" t="n">
        <x:v>-0.5334231065</x:v>
      </x:c>
      <x:c r="G141" s="39" t="n">
        <x:v>-3.180153512</x:v>
      </x:c>
      <x:c r="H141" s="44" t="b">
        <x:v>0</x:v>
      </x:c>
      <x:c r="I141" s="39" t="n">
        <x:v>0.1147768566</x:v>
      </x:c>
    </x:row>
    <x:row r="142" ht="19" customHeight="1">
      <x:c r="A142" s="30" t="str">
        <x:v>stagger_1</x:v>
      </x:c>
      <x:c r="B142" s="39" t="str">
        <x:v>AMZN</x:v>
      </x:c>
      <x:c r="C142" s="39" t="str">
        <x:v>Other sectors</x:v>
      </x:c>
      <x:c r="D142" s="31" t="n">
        <x:v>1</x:v>
      </x:c>
      <x:c r="E142" s="39" t="str">
        <x:v>XLU</x:v>
      </x:c>
      <x:c r="F142" s="39" t="n">
        <x:v>-0.4910851922</x:v>
      </x:c>
      <x:c r="G142" s="39" t="n">
        <x:v>-3.4783331457</x:v>
      </x:c>
      <x:c r="H142" s="44" t="b">
        <x:v>0</x:v>
      </x:c>
      <x:c r="I142" s="39" t="n">
        <x:v>0.1342837116</x:v>
      </x:c>
    </x:row>
    <x:row r="143" ht="19" customHeight="1">
      <x:c r="A143" s="30" t="str">
        <x:v>stagger_1</x:v>
      </x:c>
      <x:c r="B143" s="39" t="str">
        <x:v>AMZN</x:v>
      </x:c>
      <x:c r="C143" s="39" t="str">
        <x:v>Other sectors</x:v>
      </x:c>
      <x:c r="D143" s="31" t="n">
        <x:v>1</x:v>
      </x:c>
      <x:c r="E143" s="39" t="str">
        <x:v>XLV</x:v>
      </x:c>
      <x:c r="F143" s="39" t="n">
        <x:v>-0.5227392977</x:v>
      </x:c>
      <x:c r="G143" s="39" t="n">
        <x:v>-3.0794607216</x:v>
      </x:c>
      <x:c r="H143" s="44" t="b">
        <x:v>0</x:v>
      </x:c>
      <x:c r="I143" s="39" t="n">
        <x:v>0.1083990015</x:v>
      </x:c>
    </x:row>
    <x:row r="144" ht="19" customHeight="1">
      <x:c r="A144" s="30" t="str">
        <x:v>stagger_1</x:v>
      </x:c>
      <x:c r="B144" s="39" t="str">
        <x:v>AMZN</x:v>
      </x:c>
      <x:c r="C144" s="39" t="str">
        <x:v>Other sectors</x:v>
      </x:c>
      <x:c r="D144" s="31" t="n">
        <x:v>2</x:v>
      </x:c>
      <x:c r="E144" s="39" t="str">
        <x:v>XLC</x:v>
      </x:c>
      <x:c r="F144" s="39" t="n">
        <x:v>0.2311897159</x:v>
      </x:c>
      <x:c r="G144" s="39" t="n">
        <x:v>1.2362814086</x:v>
      </x:c>
      <x:c r="H144" s="44" t="b">
        <x:v>0</x:v>
      </x:c>
      <x:c r="I144" s="39" t="n">
        <x:v>0.0192181897</x:v>
      </x:c>
    </x:row>
    <x:row r="145" ht="19" customHeight="1">
      <x:c r="A145" s="30" t="str">
        <x:v>stagger_1</x:v>
      </x:c>
      <x:c r="B145" s="39" t="str">
        <x:v>AMZN</x:v>
      </x:c>
      <x:c r="C145" s="39" t="str">
        <x:v>Other sectors</x:v>
      </x:c>
      <x:c r="D145" s="31" t="n">
        <x:v>2</x:v>
      </x:c>
      <x:c r="E145" s="39" t="str">
        <x:v>XLE</x:v>
      </x:c>
      <x:c r="F145" s="39" t="n">
        <x:v>0.0839526218</x:v>
      </x:c>
      <x:c r="G145" s="39" t="n">
        <x:v>1.1340327734</x:v>
      </x:c>
      <x:c r="H145" s="44" t="b">
        <x:v>0</x:v>
      </x:c>
      <x:c r="I145" s="39" t="n">
        <x:v>0.0162201377</x:v>
      </x:c>
    </x:row>
    <x:row r="146" ht="19" customHeight="1">
      <x:c r="A146" s="30" t="str">
        <x:v>stagger_1</x:v>
      </x:c>
      <x:c r="B146" s="39" t="str">
        <x:v>AMZN</x:v>
      </x:c>
      <x:c r="C146" s="39" t="str">
        <x:v>Other sectors</x:v>
      </x:c>
      <x:c r="D146" s="31" t="n">
        <x:v>2</x:v>
      </x:c>
      <x:c r="E146" s="39" t="str">
        <x:v>XLF</x:v>
      </x:c>
      <x:c r="F146" s="39" t="n">
        <x:v>-0.1648933993</x:v>
      </x:c>
      <x:c r="G146" s="39" t="n">
        <x:v>-0.9382498883</x:v>
      </x:c>
      <x:c r="H146" s="44" t="b">
        <x:v>0</x:v>
      </x:c>
      <x:c r="I146" s="39" t="n">
        <x:v>0.0111601085</x:v>
      </x:c>
    </x:row>
    <x:row r="147" ht="19" customHeight="1">
      <x:c r="A147" s="30" t="str">
        <x:v>stagger_1</x:v>
      </x:c>
      <x:c r="B147" s="39" t="str">
        <x:v>AMZN</x:v>
      </x:c>
      <x:c r="C147" s="39" t="str">
        <x:v>Other sectors</x:v>
      </x:c>
      <x:c r="D147" s="31" t="n">
        <x:v>2</x:v>
      </x:c>
      <x:c r="E147" s="39" t="str">
        <x:v>XLI</x:v>
      </x:c>
      <x:c r="F147" s="39" t="n">
        <x:v>-0.0671073458</x:v>
      </x:c>
      <x:c r="G147" s="39" t="n">
        <x:v>-0.3608646824</x:v>
      </x:c>
      <x:c r="H147" s="44" t="b">
        <x:v>0</x:v>
      </x:c>
      <x:c r="I147" s="39" t="n">
        <x:v>0.001666747</x:v>
      </x:c>
    </x:row>
    <x:row r="148" ht="19" customHeight="1">
      <x:c r="A148" s="30" t="str">
        <x:v>stagger_1</x:v>
      </x:c>
      <x:c r="B148" s="39" t="str">
        <x:v>AMZN</x:v>
      </x:c>
      <x:c r="C148" s="39" t="str">
        <x:v>Other sectors</x:v>
      </x:c>
      <x:c r="D148" s="31" t="n">
        <x:v>2</x:v>
      </x:c>
      <x:c r="E148" s="39" t="str">
        <x:v>XLK</x:v>
      </x:c>
      <x:c r="F148" s="39" t="n">
        <x:v>-0.0148627287</x:v>
      </x:c>
      <x:c r="G148" s="39" t="n">
        <x:v>-0.0896865473</x:v>
      </x:c>
      <x:c r="H148" s="44" t="b">
        <x:v>0</x:v>
      </x:c>
      <x:c r="I148" s="39" t="n">
        <x:v>0.0001031134</x:v>
      </x:c>
    </x:row>
    <x:row r="149" ht="19" customHeight="1">
      <x:c r="A149" s="30" t="str">
        <x:v>stagger_1</x:v>
      </x:c>
      <x:c r="B149" s="39" t="str">
        <x:v>AMZN</x:v>
      </x:c>
      <x:c r="C149" s="39" t="str">
        <x:v>Other sectors</x:v>
      </x:c>
      <x:c r="D149" s="31" t="n">
        <x:v>2</x:v>
      </x:c>
      <x:c r="E149" s="39" t="str">
        <x:v>XLP</x:v>
      </x:c>
      <x:c r="F149" s="39" t="n">
        <x:v>-0.184039466</x:v>
      </x:c>
      <x:c r="G149" s="39" t="n">
        <x:v>-1.1048254069</x:v>
      </x:c>
      <x:c r="H149" s="44" t="b">
        <x:v>0</x:v>
      </x:c>
      <x:c r="I149" s="39" t="n">
        <x:v>0.0154080956</x:v>
      </x:c>
    </x:row>
    <x:row r="150" ht="19" customHeight="1">
      <x:c r="A150" s="30" t="str">
        <x:v>stagger_1</x:v>
      </x:c>
      <x:c r="B150" s="39" t="str">
        <x:v>AMZN</x:v>
      </x:c>
      <x:c r="C150" s="39" t="str">
        <x:v>Other sectors</x:v>
      </x:c>
      <x:c r="D150" s="31" t="n">
        <x:v>2</x:v>
      </x:c>
      <x:c r="E150" s="39" t="str">
        <x:v>XLRE</x:v>
      </x:c>
      <x:c r="F150" s="39" t="n">
        <x:v>-0.2033232096</x:v>
      </x:c>
      <x:c r="G150" s="39" t="n">
        <x:v>-1.357624708</x:v>
      </x:c>
      <x:c r="H150" s="44" t="b">
        <x:v>0</x:v>
      </x:c>
      <x:c r="I150" s="39" t="n">
        <x:v>0.0230845723</x:v>
      </x:c>
    </x:row>
    <x:row r="151" ht="19" customHeight="1">
      <x:c r="A151" s="30" t="str">
        <x:v>stagger_1</x:v>
      </x:c>
      <x:c r="B151" s="39" t="str">
        <x:v>AMZN</x:v>
      </x:c>
      <x:c r="C151" s="39" t="str">
        <x:v>Other sectors</x:v>
      </x:c>
      <x:c r="D151" s="31" t="n">
        <x:v>2</x:v>
      </x:c>
      <x:c r="E151" s="39" t="str">
        <x:v>XLU</x:v>
      </x:c>
      <x:c r="F151" s="39" t="n">
        <x:v>-0.2104358071</x:v>
      </x:c>
      <x:c r="G151" s="39" t="n">
        <x:v>-1.6602822851</x:v>
      </x:c>
      <x:c r="H151" s="44" t="b">
        <x:v>0</x:v>
      </x:c>
      <x:c r="I151" s="39" t="n">
        <x:v>0.034133921</x:v>
      </x:c>
    </x:row>
    <x:row r="152" ht="19" customHeight="1">
      <x:c r="A152" s="30" t="str">
        <x:v>stagger_1</x:v>
      </x:c>
      <x:c r="B152" s="39" t="str">
        <x:v>AMZN</x:v>
      </x:c>
      <x:c r="C152" s="39" t="str">
        <x:v>Other sectors</x:v>
      </x:c>
      <x:c r="D152" s="31" t="n">
        <x:v>2</x:v>
      </x:c>
      <x:c r="E152" s="39" t="str">
        <x:v>XLV</x:v>
      </x:c>
      <x:c r="F152" s="39" t="n">
        <x:v>-0.2905458896</x:v>
      </x:c>
      <x:c r="G152" s="39" t="n">
        <x:v>-1.9472216541</x:v>
      </x:c>
      <x:c r="H152" s="44" t="b">
        <x:v>0</x:v>
      </x:c>
      <x:c r="I152" s="39" t="n">
        <x:v>0.0463576801</x:v>
      </x:c>
    </x:row>
    <x:row r="153" ht="19" customHeight="1">
      <x:c r="A153" s="30" t="str">
        <x:v>stagger_1</x:v>
      </x:c>
      <x:c r="B153" s="39" t="str">
        <x:v>FIX</x:v>
      </x:c>
      <x:c r="C153" s="39" t="str">
        <x:v>Other FX</x:v>
      </x:c>
      <x:c r="D153" s="31" t="n">
        <x:v>1</x:v>
      </x:c>
      <x:c r="E153" s="39" t="str">
        <x:v>AUD/USD</x:v>
      </x:c>
      <x:c r="F153" s="39" t="n">
        <x:v>1.5698075109</x:v>
      </x:c>
      <x:c r="G153" s="39" t="n">
        <x:v>2.7081551403</x:v>
      </x:c>
      <x:c r="H153" s="44" t="b">
        <x:v>1</x:v>
      </x:c>
      <x:c r="I153" s="39" t="n">
        <x:v>0.0859457579</x:v>
      </x:c>
    </x:row>
    <x:row r="154" ht="19" customHeight="1">
      <x:c r="A154" s="30" t="str">
        <x:v>stagger_1</x:v>
      </x:c>
      <x:c r="B154" s="39" t="str">
        <x:v>FIX</x:v>
      </x:c>
      <x:c r="C154" s="39" t="str">
        <x:v>Other sectors</x:v>
      </x:c>
      <x:c r="D154" s="31" t="n">
        <x:v>1</x:v>
      </x:c>
      <x:c r="E154" s="39" t="str">
        <x:v>XLB</x:v>
      </x:c>
      <x:c r="F154" s="39" t="n">
        <x:v>-0.2594727969</x:v>
      </x:c>
      <x:c r="G154" s="39" t="n">
        <x:v>-0.8905534763</x:v>
      </x:c>
      <x:c r="H154" s="44" t="b">
        <x:v>0</x:v>
      </x:c>
      <x:c r="I154" s="39" t="n">
        <x:v>0.0100654199</x:v>
      </x:c>
    </x:row>
    <x:row r="155" ht="19" customHeight="1">
      <x:c r="A155" s="30" t="str">
        <x:v>stagger_1</x:v>
      </x:c>
      <x:c r="B155" s="39" t="str">
        <x:v>FIX</x:v>
      </x:c>
      <x:c r="C155" s="39" t="str">
        <x:v>Other sectors</x:v>
      </x:c>
      <x:c r="D155" s="31" t="n">
        <x:v>1</x:v>
      </x:c>
      <x:c r="E155" s="39" t="str">
        <x:v>XLC</x:v>
      </x:c>
      <x:c r="F155" s="39" t="n">
        <x:v>-0.5976660299</x:v>
      </x:c>
      <x:c r="G155" s="39" t="n">
        <x:v>-1.5154276434</x:v>
      </x:c>
      <x:c r="H155" s="44" t="b">
        <x:v>0</x:v>
      </x:c>
      <x:c r="I155" s="39" t="n">
        <x:v>0.0286005037</x:v>
      </x:c>
    </x:row>
    <x:row r="156" ht="19" customHeight="1">
      <x:c r="A156" s="30" t="str">
        <x:v>stagger_1</x:v>
      </x:c>
      <x:c r="B156" s="39" t="str">
        <x:v>FIX</x:v>
      </x:c>
      <x:c r="C156" s="39" t="str">
        <x:v>Other sectors</x:v>
      </x:c>
      <x:c r="D156" s="31" t="n">
        <x:v>1</x:v>
      </x:c>
      <x:c r="E156" s="39" t="str">
        <x:v>XLE</x:v>
      </x:c>
      <x:c r="F156" s="39" t="n">
        <x:v>-0.1570392891</x:v>
      </x:c>
      <x:c r="G156" s="39" t="n">
        <x:v>-0.9991967181</x:v>
      </x:c>
      <x:c r="H156" s="44" t="b">
        <x:v>0</x:v>
      </x:c>
      <x:c r="I156" s="39" t="n">
        <x:v>0.0126381567</x:v>
      </x:c>
    </x:row>
    <x:row r="157" ht="19" customHeight="1">
      <x:c r="A157" s="30" t="str">
        <x:v>stagger_1</x:v>
      </x:c>
      <x:c r="B157" s="39" t="str">
        <x:v>FIX</x:v>
      </x:c>
      <x:c r="C157" s="39" t="str">
        <x:v>Other sectors</x:v>
      </x:c>
      <x:c r="D157" s="31" t="n">
        <x:v>1</x:v>
      </x:c>
      <x:c r="E157" s="39" t="str">
        <x:v>XLF</x:v>
      </x:c>
      <x:c r="F157" s="39" t="n">
        <x:v>-1.0669387082</x:v>
      </x:c>
      <x:c r="G157" s="39" t="n">
        <x:v>-3.0096444575</x:v>
      </x:c>
      <x:c r="H157" s="44" t="b">
        <x:v>0</x:v>
      </x:c>
      <x:c r="I157" s="39" t="n">
        <x:v>0.1040451647</x:v>
      </x:c>
    </x:row>
    <x:row r="158" ht="19" customHeight="1">
      <x:c r="A158" s="30" t="str">
        <x:v>stagger_1</x:v>
      </x:c>
      <x:c r="B158" s="39" t="str">
        <x:v>FIX</x:v>
      </x:c>
      <x:c r="C158" s="39" t="str">
        <x:v>Other sectors</x:v>
      </x:c>
      <x:c r="D158" s="31" t="n">
        <x:v>1</x:v>
      </x:c>
      <x:c r="E158" s="39" t="str">
        <x:v>XLK</x:v>
      </x:c>
      <x:c r="F158" s="39" t="n">
        <x:v>1.0006889396</x:v>
      </x:c>
      <x:c r="G158" s="39" t="n">
        <x:v>3.0103232948</x:v>
      </x:c>
      <x:c r="H158" s="44" t="b">
        <x:v>0</x:v>
      </x:c>
      <x:c r="I158" s="39" t="n">
        <x:v>0.1040872196</x:v>
      </x:c>
    </x:row>
    <x:row r="159" ht="19" customHeight="1">
      <x:c r="A159" s="30" t="str">
        <x:v>stagger_1</x:v>
      </x:c>
      <x:c r="B159" s="39" t="str">
        <x:v>FIX</x:v>
      </x:c>
      <x:c r="C159" s="39" t="str">
        <x:v>Other sectors</x:v>
      </x:c>
      <x:c r="D159" s="31" t="n">
        <x:v>1</x:v>
      </x:c>
      <x:c r="E159" s="39" t="str">
        <x:v>XLP</x:v>
      </x:c>
      <x:c r="F159" s="39" t="n">
        <x:v>-0.5938196107</x:v>
      </x:c>
      <x:c r="G159" s="39" t="n">
        <x:v>-1.6998258241</x:v>
      </x:c>
      <x:c r="H159" s="44" t="b">
        <x:v>0</x:v>
      </x:c>
      <x:c r="I159" s="39" t="n">
        <x:v>0.0357204721</x:v>
      </x:c>
    </x:row>
    <x:row r="160" ht="19" customHeight="1">
      <x:c r="A160" s="30" t="str">
        <x:v>stagger_1</x:v>
      </x:c>
      <x:c r="B160" s="39" t="str">
        <x:v>FIX</x:v>
      </x:c>
      <x:c r="C160" s="39" t="str">
        <x:v>Other sectors</x:v>
      </x:c>
      <x:c r="D160" s="31" t="n">
        <x:v>1</x:v>
      </x:c>
      <x:c r="E160" s="39" t="str">
        <x:v>XLRE</x:v>
      </x:c>
      <x:c r="F160" s="39" t="n">
        <x:v>-1.0520538314</x:v>
      </x:c>
      <x:c r="G160" s="39" t="n">
        <x:v>-3.5281926555</x:v>
      </x:c>
      <x:c r="H160" s="44" t="b">
        <x:v>1</x:v>
      </x:c>
      <x:c r="I160" s="39" t="n">
        <x:v>0.1376274067</x:v>
      </x:c>
    </x:row>
    <x:row r="161" ht="19" customHeight="1">
      <x:c r="A161" s="30" t="str">
        <x:v>stagger_1</x:v>
      </x:c>
      <x:c r="B161" s="39" t="str">
        <x:v>FIX</x:v>
      </x:c>
      <x:c r="C161" s="39" t="str">
        <x:v>Other sectors</x:v>
      </x:c>
      <x:c r="D161" s="31" t="n">
        <x:v>1</x:v>
      </x:c>
      <x:c r="E161" s="39" t="str">
        <x:v>XLU</x:v>
      </x:c>
      <x:c r="F161" s="39" t="n">
        <x:v>-0.1495048555</x:v>
      </x:c>
      <x:c r="G161" s="39" t="n">
        <x:v>-0.5480892504</x:v>
      </x:c>
      <x:c r="H161" s="44" t="b">
        <x:v>0</x:v>
      </x:c>
      <x:c r="I161" s="39" t="n">
        <x:v>0.0038365298</x:v>
      </x:c>
    </x:row>
    <x:row r="162" ht="19" customHeight="1">
      <x:c r="A162" s="30" t="str">
        <x:v>stagger_1</x:v>
      </x:c>
      <x:c r="B162" s="39" t="str">
        <x:v>FIX</x:v>
      </x:c>
      <x:c r="C162" s="39" t="str">
        <x:v>Other sectors</x:v>
      </x:c>
      <x:c r="D162" s="31" t="n">
        <x:v>1</x:v>
      </x:c>
      <x:c r="E162" s="39" t="str">
        <x:v>XLV</x:v>
      </x:c>
      <x:c r="F162" s="39" t="n">
        <x:v>-0.9924240721</x:v>
      </x:c>
      <x:c r="G162" s="39" t="n">
        <x:v>-3.2681223928</x:v>
      </x:c>
      <x:c r="H162" s="44" t="b">
        <x:v>0</x:v>
      </x:c>
      <x:c r="I162" s="39" t="n">
        <x:v>0.1204392064</x:v>
      </x:c>
    </x:row>
    <x:row r="163" ht="19" customHeight="1">
      <x:c r="A163" s="30" t="str">
        <x:v>stagger_1</x:v>
      </x:c>
      <x:c r="B163" s="39" t="str">
        <x:v>FIX</x:v>
      </x:c>
      <x:c r="C163" s="39" t="str">
        <x:v>Other sectors</x:v>
      </x:c>
      <x:c r="D163" s="31" t="n">
        <x:v>1</x:v>
      </x:c>
      <x:c r="E163" s="39" t="str">
        <x:v>XLY</x:v>
      </x:c>
      <x:c r="F163" s="39" t="n">
        <x:v>0.2447539233</x:v>
      </x:c>
      <x:c r="G163" s="39" t="n">
        <x:v>0.637237033</x:v>
      </x:c>
      <x:c r="H163" s="44" t="b">
        <x:v>0</x:v>
      </x:c>
      <x:c r="I163" s="39" t="n">
        <x:v>0.0051790765</x:v>
      </x:c>
    </x:row>
    <x:row r="164" ht="19" customHeight="1">
      <x:c r="A164" s="30" t="str">
        <x:v>stagger_1</x:v>
      </x:c>
      <x:c r="B164" s="39" t="str">
        <x:v>FIX</x:v>
      </x:c>
      <x:c r="C164" s="39" t="str">
        <x:v>Other sectors</x:v>
      </x:c>
      <x:c r="D164" s="31" t="n">
        <x:v>2</x:v>
      </x:c>
      <x:c r="E164" s="39" t="str">
        <x:v>XLB</x:v>
      </x:c>
      <x:c r="F164" s="39" t="n">
        <x:v>0.122295496</x:v>
      </x:c>
      <x:c r="G164" s="39" t="n">
        <x:v>0.4502960783</x:v>
      </x:c>
      <x:c r="H164" s="44" t="b">
        <x:v>0</x:v>
      </x:c>
      <x:c r="I164" s="39" t="n">
        <x:v>0.002592831</x:v>
      </x:c>
    </x:row>
    <x:row r="165" ht="19" customHeight="1">
      <x:c r="A165" s="30" t="str">
        <x:v>stagger_1</x:v>
      </x:c>
      <x:c r="B165" s="39" t="str">
        <x:v>FIX</x:v>
      </x:c>
      <x:c r="C165" s="39" t="str">
        <x:v>Other sectors</x:v>
      </x:c>
      <x:c r="D165" s="31" t="n">
        <x:v>2</x:v>
      </x:c>
      <x:c r="E165" s="39" t="str">
        <x:v>XLC</x:v>
      </x:c>
      <x:c r="F165" s="39" t="n">
        <x:v>-0.6210745444</x:v>
      </x:c>
      <x:c r="G165" s="39" t="n">
        <x:v>-1.702124589</x:v>
      </x:c>
      <x:c r="H165" s="44" t="b">
        <x:v>0</x:v>
      </x:c>
      <x:c r="I165" s="39" t="n">
        <x:v>0.0358136884</x:v>
      </x:c>
    </x:row>
    <x:row r="166" ht="19" customHeight="1">
      <x:c r="A166" s="30" t="str">
        <x:v>stagger_1</x:v>
      </x:c>
      <x:c r="B166" s="39" t="str">
        <x:v>FIX</x:v>
      </x:c>
      <x:c r="C166" s="39" t="str">
        <x:v>Other sectors</x:v>
      </x:c>
      <x:c r="D166" s="31" t="n">
        <x:v>2</x:v>
      </x:c>
      <x:c r="E166" s="39" t="str">
        <x:v>XLE</x:v>
      </x:c>
      <x:c r="F166" s="39" t="n">
        <x:v>-0.0842919754</x:v>
      </x:c>
      <x:c r="G166" s="39" t="n">
        <x:v>-0.5750934209</x:v>
      </x:c>
      <x:c r="H166" s="44" t="b">
        <x:v>0</x:v>
      </x:c>
      <x:c r="I166" s="39" t="n">
        <x:v>0.0042222565</x:v>
      </x:c>
    </x:row>
    <x:row r="167" ht="19" customHeight="1">
      <x:c r="A167" s="30" t="str">
        <x:v>stagger_1</x:v>
      </x:c>
      <x:c r="B167" s="39" t="str">
        <x:v>FIX</x:v>
      </x:c>
      <x:c r="C167" s="39" t="str">
        <x:v>Other sectors</x:v>
      </x:c>
      <x:c r="D167" s="31" t="n">
        <x:v>2</x:v>
      </x:c>
      <x:c r="E167" s="39" t="str">
        <x:v>XLF</x:v>
      </x:c>
      <x:c r="F167" s="39" t="n">
        <x:v>-0.7893127305</x:v>
      </x:c>
      <x:c r="G167" s="39" t="n">
        <x:v>-2.3483029644</x:v>
      </x:c>
      <x:c r="H167" s="44" t="b">
        <x:v>1</x:v>
      </x:c>
      <x:c r="I167" s="39" t="n">
        <x:v>0.0660307497</x:v>
      </x:c>
    </x:row>
    <x:row r="168" ht="19" customHeight="1">
      <x:c r="A168" s="30" t="str">
        <x:v>stagger_1</x:v>
      </x:c>
      <x:c r="B168" s="39" t="str">
        <x:v>FIX</x:v>
      </x:c>
      <x:c r="C168" s="39" t="str">
        <x:v>Other sectors</x:v>
      </x:c>
      <x:c r="D168" s="31" t="n">
        <x:v>2</x:v>
      </x:c>
      <x:c r="E168" s="39" t="str">
        <x:v>XLK</x:v>
      </x:c>
      <x:c r="F168" s="39" t="n">
        <x:v>0.4348962394</x:v>
      </x:c>
      <x:c r="G168" s="39" t="n">
        <x:v>1.3489400973</x:v>
      </x:c>
      <x:c r="H168" s="44" t="b">
        <x:v>0</x:v>
      </x:c>
      <x:c r="I168" s="39" t="n">
        <x:v>0.0227968881</x:v>
      </x:c>
    </x:row>
    <x:row r="169" ht="19" customHeight="1">
      <x:c r="A169" s="30" t="str">
        <x:v>stagger_1</x:v>
      </x:c>
      <x:c r="B169" s="39" t="str">
        <x:v>FIX</x:v>
      </x:c>
      <x:c r="C169" s="39" t="str">
        <x:v>Other sectors</x:v>
      </x:c>
      <x:c r="D169" s="31" t="n">
        <x:v>2</x:v>
      </x:c>
      <x:c r="E169" s="39" t="str">
        <x:v>XLP</x:v>
      </x:c>
      <x:c r="F169" s="39" t="n">
        <x:v>0.0559157122</x:v>
      </x:c>
      <x:c r="G169" s="39" t="n">
        <x:v>0.1692846241</x:v>
      </x:c>
      <x:c r="H169" s="44" t="b">
        <x:v>0</x:v>
      </x:c>
      <x:c r="I169" s="39" t="n">
        <x:v>0.0003672661</x:v>
      </x:c>
    </x:row>
    <x:row r="170" ht="19" customHeight="1">
      <x:c r="A170" s="30" t="str">
        <x:v>stagger_1</x:v>
      </x:c>
      <x:c r="B170" s="39" t="str">
        <x:v>FIX</x:v>
      </x:c>
      <x:c r="C170" s="39" t="str">
        <x:v>Other sectors</x:v>
      </x:c>
      <x:c r="D170" s="31" t="n">
        <x:v>2</x:v>
      </x:c>
      <x:c r="E170" s="39" t="str">
        <x:v>XLU</x:v>
      </x:c>
      <x:c r="F170" s="39" t="n">
        <x:v>0.3135014563</x:v>
      </x:c>
      <x:c r="G170" s="39" t="n">
        <x:v>1.2475078977</x:v>
      </x:c>
      <x:c r="H170" s="44" t="b">
        <x:v>0</x:v>
      </x:c>
      <x:c r="I170" s="39" t="n">
        <x:v>0.0195619508</x:v>
      </x:c>
    </x:row>
    <x:row r="171" ht="19" customHeight="1">
      <x:c r="A171" s="30" t="str">
        <x:v>stagger_1</x:v>
      </x:c>
      <x:c r="B171" s="39" t="str">
        <x:v>FIX</x:v>
      </x:c>
      <x:c r="C171" s="39" t="str">
        <x:v>Other sectors</x:v>
      </x:c>
      <x:c r="D171" s="31" t="n">
        <x:v>2</x:v>
      </x:c>
      <x:c r="E171" s="39" t="str">
        <x:v>XLV</x:v>
      </x:c>
      <x:c r="F171" s="39" t="n">
        <x:v>-0.5552893876</x:v>
      </x:c>
      <x:c r="G171" s="39" t="n">
        <x:v>-1.8884877104</x:v>
      </x:c>
      <x:c r="H171" s="44" t="b">
        <x:v>0</x:v>
      </x:c>
      <x:c r="I171" s="39" t="n">
        <x:v>0.0437237202</x:v>
      </x:c>
    </x:row>
    <x:row r="172" ht="19" customHeight="1">
      <x:c r="A172" s="30" t="str">
        <x:v>stagger_1</x:v>
      </x:c>
      <x:c r="B172" s="39" t="str">
        <x:v>FIX</x:v>
      </x:c>
      <x:c r="C172" s="39" t="str">
        <x:v>Other sectors</x:v>
      </x:c>
      <x:c r="D172" s="31" t="n">
        <x:v>2</x:v>
      </x:c>
      <x:c r="E172" s="39" t="str">
        <x:v>XLY</x:v>
      </x:c>
      <x:c r="F172" s="39" t="n">
        <x:v>0.3891727772</x:v>
      </x:c>
      <x:c r="G172" s="39" t="n">
        <x:v>1.096632741</x:v>
      </x:c>
      <x:c r="H172" s="44" t="b">
        <x:v>0</x:v>
      </x:c>
      <x:c r="I172" s="39" t="n">
        <x:v>0.0151838869</x:v>
      </x:c>
    </x:row>
    <x:row r="173" ht="19" customHeight="1">
      <x:c r="A173" s="30" t="str">
        <x:v>stagger_1</x:v>
      </x:c>
      <x:c r="B173" s="39" t="str">
        <x:v>FIX</x:v>
      </x:c>
      <x:c r="C173" s="39" t="str">
        <x:v>Other sectors</x:v>
      </x:c>
      <x:c r="D173" s="31" t="n">
        <x:v>3</x:v>
      </x:c>
      <x:c r="E173" s="39" t="str">
        <x:v>XLB</x:v>
      </x:c>
      <x:c r="F173" s="39" t="n">
        <x:v>0.3454486608</x:v>
      </x:c>
      <x:c r="G173" s="39" t="n">
        <x:v>1.3292455272</x:v>
      </x:c>
      <x:c r="H173" s="44" t="b">
        <x:v>0</x:v>
      </x:c>
      <x:c r="I173" s="39" t="n">
        <x:v>0.0221507143</x:v>
      </x:c>
    </x:row>
    <x:row r="174" ht="19" customHeight="1">
      <x:c r="A174" s="30" t="str">
        <x:v>stagger_1</x:v>
      </x:c>
      <x:c r="B174" s="39" t="str">
        <x:v>FIX</x:v>
      </x:c>
      <x:c r="C174" s="39" t="str">
        <x:v>Other sectors</x:v>
      </x:c>
      <x:c r="D174" s="31" t="n">
        <x:v>3</x:v>
      </x:c>
      <x:c r="E174" s="39" t="str">
        <x:v>XLC</x:v>
      </x:c>
      <x:c r="F174" s="39" t="n">
        <x:v>-0.5780135816</x:v>
      </x:c>
      <x:c r="G174" s="39" t="n">
        <x:v>-1.6369461715</x:v>
      </x:c>
      <x:c r="H174" s="44" t="b">
        <x:v>0</x:v>
      </x:c>
      <x:c r="I174" s="39" t="n">
        <x:v>0.0332127701</x:v>
      </x:c>
    </x:row>
    <x:row r="175" ht="19" customHeight="1">
      <x:c r="A175" s="30" t="str">
        <x:v>stagger_1</x:v>
      </x:c>
      <x:c r="B175" s="39" t="str">
        <x:v>FIX</x:v>
      </x:c>
      <x:c r="C175" s="39" t="str">
        <x:v>Other sectors</x:v>
      </x:c>
      <x:c r="D175" s="31" t="n">
        <x:v>3</x:v>
      </x:c>
      <x:c r="E175" s="39" t="str">
        <x:v>XLE</x:v>
      </x:c>
      <x:c r="F175" s="39" t="n">
        <x:v>0.0058770408</x:v>
      </x:c>
      <x:c r="G175" s="39" t="n">
        <x:v>0.0414028809</x:v>
      </x:c>
      <x:c r="H175" s="44" t="b">
        <x:v>0</x:v>
      </x:c>
      <x:c r="I175" s="39" t="n">
        <x:v>0.0000219764</x:v>
      </x:c>
    </x:row>
    <x:row r="176" ht="19" customHeight="1">
      <x:c r="A176" s="30" t="str">
        <x:v>stagger_1</x:v>
      </x:c>
      <x:c r="B176" s="39" t="str">
        <x:v>FIX</x:v>
      </x:c>
      <x:c r="C176" s="39" t="str">
        <x:v>Other sectors</x:v>
      </x:c>
      <x:c r="D176" s="31" t="n">
        <x:v>3</x:v>
      </x:c>
      <x:c r="E176" s="39" t="str">
        <x:v>XLK</x:v>
      </x:c>
      <x:c r="F176" s="39" t="n">
        <x:v>0.0079833303</x:v>
      </x:c>
      <x:c r="G176" s="39" t="n">
        <x:v>0.0253290573</x:v>
      </x:c>
      <x:c r="H176" s="44" t="b">
        <x:v>0</x:v>
      </x:c>
      <x:c r="I176" s="39" t="n">
        <x:v>0.0000082251</x:v>
      </x:c>
    </x:row>
    <x:row r="177" ht="19" customHeight="1">
      <x:c r="A177" s="30" t="str">
        <x:v>stagger_1</x:v>
      </x:c>
      <x:c r="B177" s="39" t="str">
        <x:v>FIX</x:v>
      </x:c>
      <x:c r="C177" s="39" t="str">
        <x:v>Other sectors</x:v>
      </x:c>
      <x:c r="D177" s="31" t="n">
        <x:v>3</x:v>
      </x:c>
      <x:c r="E177" s="39" t="str">
        <x:v>XLP</x:v>
      </x:c>
      <x:c r="F177" s="39" t="n">
        <x:v>0.0717909158</x:v>
      </x:c>
      <x:c r="G177" s="39" t="n">
        <x:v>0.2249302653</x:v>
      </x:c>
      <x:c r="H177" s="44" t="b">
        <x:v>0</x:v>
      </x:c>
      <x:c r="I177" s="39" t="n">
        <x:v>0.0006482158</x:v>
      </x:c>
    </x:row>
    <x:row r="178" ht="19" customHeight="1">
      <x:c r="A178" s="30" t="str">
        <x:v>stagger_1</x:v>
      </x:c>
      <x:c r="B178" s="39" t="str">
        <x:v>FIX</x:v>
      </x:c>
      <x:c r="C178" s="39" t="str">
        <x:v>Other sectors</x:v>
      </x:c>
      <x:c r="D178" s="31" t="n">
        <x:v>3</x:v>
      </x:c>
      <x:c r="E178" s="39" t="str">
        <x:v>XLU</x:v>
      </x:c>
      <x:c r="F178" s="39" t="n">
        <x:v>0.3670978166</x:v>
      </x:c>
      <x:c r="G178" s="39" t="n">
        <x:v>1.5186468998</x:v>
      </x:c>
      <x:c r="H178" s="44" t="b">
        <x:v>0</x:v>
      </x:c>
      <x:c r="I178" s="39" t="n">
        <x:v>0.0287186527</x:v>
      </x:c>
    </x:row>
    <x:row r="179" ht="19" customHeight="1">
      <x:c r="A179" s="30" t="str">
        <x:v>stagger_1</x:v>
      </x:c>
      <x:c r="B179" s="39" t="str">
        <x:v>FIX</x:v>
      </x:c>
      <x:c r="C179" s="39" t="str">
        <x:v>Other sectors</x:v>
      </x:c>
      <x:c r="D179" s="31" t="n">
        <x:v>3</x:v>
      </x:c>
      <x:c r="E179" s="39" t="str">
        <x:v>XLV</x:v>
      </x:c>
      <x:c r="F179" s="39" t="n">
        <x:v>-0.4023461214</x:v>
      </x:c>
      <x:c r="G179" s="39" t="n">
        <x:v>-1.401921589</x:v>
      </x:c>
      <x:c r="H179" s="44" t="b">
        <x:v>0</x:v>
      </x:c>
      <x:c r="I179" s="39" t="n">
        <x:v>0.0245779366</x:v>
      </x:c>
    </x:row>
    <x:row r="180" ht="19" customHeight="1">
      <x:c r="A180" s="30" t="str">
        <x:v>stagger_1</x:v>
      </x:c>
      <x:c r="B180" s="39" t="str">
        <x:v>FIX</x:v>
      </x:c>
      <x:c r="C180" s="39" t="str">
        <x:v>Other sectors</x:v>
      </x:c>
      <x:c r="D180" s="31" t="n">
        <x:v>3</x:v>
      </x:c>
      <x:c r="E180" s="39" t="str">
        <x:v>XLY</x:v>
      </x:c>
      <x:c r="F180" s="39" t="n">
        <x:v>0.3643683941</x:v>
      </x:c>
      <x:c r="G180" s="39" t="n">
        <x:v>1.0619096693</x:v>
      </x:c>
      <x:c r="H180" s="44" t="b">
        <x:v>0</x:v>
      </x:c>
      <x:c r="I180" s="39" t="n">
        <x:v>0.0142510502</x:v>
      </x:c>
    </x:row>
    <x:row r="181" ht="19" customHeight="1">
      <x:c r="A181" s="30" t="str">
        <x:v>stagger_1</x:v>
      </x:c>
      <x:c r="B181" s="39" t="str">
        <x:v>STX</x:v>
      </x:c>
      <x:c r="C181" s="39" t="str">
        <x:v>Other FX</x:v>
      </x:c>
      <x:c r="D181" s="31" t="n">
        <x:v>1</x:v>
      </x:c>
      <x:c r="E181" s="39" t="str">
        <x:v>AUD/USD</x:v>
      </x:c>
      <x:c r="F181" s="39" t="n">
        <x:v>1.103576784</x:v>
      </x:c>
      <x:c r="G181" s="39" t="n">
        <x:v>1.3095107197</x:v>
      </x:c>
      <x:c r="H181" s="44" t="b">
        <x:v>0</x:v>
      </x:c>
      <x:c r="I181" s="39" t="n">
        <x:v>0.0215119141</x:v>
      </x:c>
    </x:row>
    <x:row r="182" ht="19" customHeight="1">
      <x:c r="A182" s="30" t="str">
        <x:v>stagger_1</x:v>
      </x:c>
      <x:c r="B182" s="39" t="str">
        <x:v>STX</x:v>
      </x:c>
      <x:c r="C182" s="39" t="str">
        <x:v>Other sectors</x:v>
      </x:c>
      <x:c r="D182" s="31" t="n">
        <x:v>1</x:v>
      </x:c>
      <x:c r="E182" s="39" t="str">
        <x:v>XLB</x:v>
      </x:c>
      <x:c r="F182" s="39" t="n">
        <x:v>0.6339649806</x:v>
      </x:c>
      <x:c r="G182" s="39" t="n">
        <x:v>1.9157849869</x:v>
      </x:c>
      <x:c r="H182" s="44" t="b">
        <x:v>0</x:v>
      </x:c>
      <x:c r="I182" s="39" t="n">
        <x:v>0.0449396557</x:v>
      </x:c>
    </x:row>
    <x:row r="183" ht="19" customHeight="1">
      <x:c r="A183" s="30" t="str">
        <x:v>stagger_1</x:v>
      </x:c>
      <x:c r="B183" s="39" t="str">
        <x:v>STX</x:v>
      </x:c>
      <x:c r="C183" s="39" t="str">
        <x:v>Other sectors</x:v>
      </x:c>
      <x:c r="D183" s="31" t="n">
        <x:v>1</x:v>
      </x:c>
      <x:c r="E183" s="39" t="str">
        <x:v>XLC</x:v>
      </x:c>
      <x:c r="F183" s="39" t="n">
        <x:v>-0.4212115509</x:v>
      </x:c>
      <x:c r="G183" s="39" t="n">
        <x:v>-0.9152099853</x:v>
      </x:c>
      <x:c r="H183" s="44" t="b">
        <x:v>0</x:v>
      </x:c>
      <x:c r="I183" s="39" t="n">
        <x:v>0.0106244891</x:v>
      </x:c>
    </x:row>
    <x:row r="184" ht="19" customHeight="1">
      <x:c r="A184" s="30" t="str">
        <x:v>stagger_1</x:v>
      </x:c>
      <x:c r="B184" s="39" t="str">
        <x:v>STX</x:v>
      </x:c>
      <x:c r="C184" s="39" t="str">
        <x:v>Other sectors</x:v>
      </x:c>
      <x:c r="D184" s="31" t="n">
        <x:v>1</x:v>
      </x:c>
      <x:c r="E184" s="39" t="str">
        <x:v>XLE</x:v>
      </x:c>
      <x:c r="F184" s="39" t="n">
        <x:v>0.4248873268</x:v>
      </x:c>
      <x:c r="G184" s="39" t="n">
        <x:v>2.4079663841</x:v>
      </x:c>
      <x:c r="H184" s="44" t="b">
        <x:v>1</x:v>
      </x:c>
      <x:c r="I184" s="39" t="n">
        <x:v>0.0691935512</x:v>
      </x:c>
    </x:row>
    <x:row r="185" ht="19" customHeight="1">
      <x:c r="A185" s="30" t="str">
        <x:v>stagger_1</x:v>
      </x:c>
      <x:c r="B185" s="39" t="str">
        <x:v>STX</x:v>
      </x:c>
      <x:c r="C185" s="39" t="str">
        <x:v>Other sectors</x:v>
      </x:c>
      <x:c r="D185" s="31" t="n">
        <x:v>1</x:v>
      </x:c>
      <x:c r="E185" s="39" t="str">
        <x:v>XLF</x:v>
      </x:c>
      <x:c r="F185" s="39" t="n">
        <x:v>-0.0096341195</x:v>
      </x:c>
      <x:c r="G185" s="39" t="n">
        <x:v>-0.022246294</x:v>
      </x:c>
      <x:c r="H185" s="44" t="b">
        <x:v>0</x:v>
      </x:c>
      <x:c r="I185" s="39" t="n">
        <x:v>0.0000063448</x:v>
      </x:c>
    </x:row>
    <x:row r="186" ht="19" customHeight="1">
      <x:c r="A186" s="30" t="str">
        <x:v>stagger_1</x:v>
      </x:c>
      <x:c r="B186" s="39" t="str">
        <x:v>STX</x:v>
      </x:c>
      <x:c r="C186" s="39" t="str">
        <x:v>Other sectors</x:v>
      </x:c>
      <x:c r="D186" s="31" t="n">
        <x:v>1</x:v>
      </x:c>
      <x:c r="E186" s="39" t="str">
        <x:v>XLI</x:v>
      </x:c>
      <x:c r="F186" s="39" t="n">
        <x:v>0.9873729352</x:v>
      </x:c>
      <x:c r="G186" s="39" t="n">
        <x:v>2.2331448606</x:v>
      </x:c>
      <x:c r="H186" s="44" t="b">
        <x:v>0</x:v>
      </x:c>
      <x:c r="I186" s="39" t="n">
        <x:v>0.0600930244</x:v>
      </x:c>
    </x:row>
    <x:row r="187" ht="19" customHeight="1">
      <x:c r="A187" s="30" t="str">
        <x:v>stagger_1</x:v>
      </x:c>
      <x:c r="B187" s="39" t="str">
        <x:v>STX</x:v>
      </x:c>
      <x:c r="C187" s="39" t="str">
        <x:v>Other sectors</x:v>
      </x:c>
      <x:c r="D187" s="31" t="n">
        <x:v>1</x:v>
      </x:c>
      <x:c r="E187" s="39" t="str">
        <x:v>XLP</x:v>
      </x:c>
      <x:c r="F187" s="39" t="n">
        <x:v>-0.1492002199</x:v>
      </x:c>
      <x:c r="G187" s="39" t="n">
        <x:v>-0.3630052005</x:v>
      </x:c>
      <x:c r="H187" s="44" t="b">
        <x:v>0</x:v>
      </x:c>
      <x:c r="I187" s="39" t="n">
        <x:v>0.0016865453</x:v>
      </x:c>
    </x:row>
    <x:row r="188" ht="19" customHeight="1">
      <x:c r="A188" s="30" t="str">
        <x:v>stagger_1</x:v>
      </x:c>
      <x:c r="B188" s="39" t="str">
        <x:v>STX</x:v>
      </x:c>
      <x:c r="C188" s="39" t="str">
        <x:v>Other sectors</x:v>
      </x:c>
      <x:c r="D188" s="31" t="n">
        <x:v>1</x:v>
      </x:c>
      <x:c r="E188" s="39" t="str">
        <x:v>XLRE</x:v>
      </x:c>
      <x:c r="F188" s="39" t="n">
        <x:v>-0.0850518336</x:v>
      </x:c>
      <x:c r="G188" s="39" t="n">
        <x:v>-0.2291485438</x:v>
      </x:c>
      <x:c r="H188" s="44" t="b">
        <x:v>0</x:v>
      </x:c>
      <x:c r="I188" s="39" t="n">
        <x:v>0.0006727401</x:v>
      </x:c>
    </x:row>
    <x:row r="189" ht="19" customHeight="1">
      <x:c r="A189" s="30" t="str">
        <x:v>stagger_1</x:v>
      </x:c>
      <x:c r="B189" s="39" t="str">
        <x:v>STX</x:v>
      </x:c>
      <x:c r="C189" s="39" t="str">
        <x:v>Other sectors</x:v>
      </x:c>
      <x:c r="D189" s="31" t="n">
        <x:v>1</x:v>
      </x:c>
      <x:c r="E189" s="39" t="str">
        <x:v>XLU</x:v>
      </x:c>
      <x:c r="F189" s="39" t="n">
        <x:v>-0.4098814992</x:v>
      </x:c>
      <x:c r="G189" s="39" t="n">
        <x:v>-1.3112322222</x:v>
      </x:c>
      <x:c r="H189" s="44" t="b">
        <x:v>0</x:v>
      </x:c>
      <x:c r="I189" s="39" t="n">
        <x:v>0.0215672904</x:v>
      </x:c>
    </x:row>
    <x:row r="190" ht="19" customHeight="1">
      <x:c r="A190" s="30" t="str">
        <x:v>stagger_1</x:v>
      </x:c>
      <x:c r="B190" s="39" t="str">
        <x:v>STX</x:v>
      </x:c>
      <x:c r="C190" s="39" t="str">
        <x:v>Other sectors</x:v>
      </x:c>
      <x:c r="D190" s="31" t="n">
        <x:v>1</x:v>
      </x:c>
      <x:c r="E190" s="39" t="str">
        <x:v>XLV</x:v>
      </x:c>
      <x:c r="F190" s="39" t="n">
        <x:v>-0.1787072572</x:v>
      </x:c>
      <x:c r="G190" s="39" t="n">
        <x:v>-0.4780098114</x:v>
      </x:c>
      <x:c r="H190" s="44" t="b">
        <x:v>0</x:v>
      </x:c>
      <x:c r="I190" s="39" t="n">
        <x:v>0.002920846</x:v>
      </x:c>
    </x:row>
    <x:row r="191" ht="19" customHeight="1">
      <x:c r="A191" s="30" t="str">
        <x:v>stagger_1</x:v>
      </x:c>
      <x:c r="B191" s="39" t="str">
        <x:v>STX</x:v>
      </x:c>
      <x:c r="C191" s="39" t="str">
        <x:v>Other sectors</x:v>
      </x:c>
      <x:c r="D191" s="31" t="n">
        <x:v>1</x:v>
      </x:c>
      <x:c r="E191" s="39" t="str">
        <x:v>XLY</x:v>
      </x:c>
      <x:c r="F191" s="39" t="n">
        <x:v>-0.4600907195</x:v>
      </x:c>
      <x:c r="G191" s="39" t="n">
        <x:v>-1.0404124432</x:v>
      </x:c>
      <x:c r="H191" s="44" t="b">
        <x:v>0</x:v>
      </x:c>
      <x:c r="I191" s="39" t="n">
        <x:v>0.0136877138</x:v>
      </x:c>
    </x:row>
    <x:row r="192" ht="19" customHeight="1">
      <x:c r="A192" s="30" t="str">
        <x:v>stagger_1</x:v>
      </x:c>
      <x:c r="B192" s="39" t="str">
        <x:v>STX</x:v>
      </x:c>
      <x:c r="C192" s="39" t="str">
        <x:v>Other sectors</x:v>
      </x:c>
      <x:c r="D192" s="31" t="n">
        <x:v>2</x:v>
      </x:c>
      <x:c r="E192" s="39" t="str">
        <x:v>XLB</x:v>
      </x:c>
      <x:c r="F192" s="39" t="n">
        <x:v>0.383758888</x:v>
      </x:c>
      <x:c r="G192" s="39" t="n">
        <x:v>1.1852272721</x:v>
      </x:c>
      <x:c r="H192" s="44" t="b">
        <x:v>0</x:v>
      </x:c>
      <x:c r="I192" s="39" t="n">
        <x:v>0.0176911765</x:v>
      </x:c>
    </x:row>
    <x:row r="193" ht="19" customHeight="1">
      <x:c r="A193" s="30" t="str">
        <x:v>stagger_1</x:v>
      </x:c>
      <x:c r="B193" s="39" t="str">
        <x:v>STX</x:v>
      </x:c>
      <x:c r="C193" s="39" t="str">
        <x:v>Other sectors</x:v>
      </x:c>
      <x:c r="D193" s="31" t="n">
        <x:v>2</x:v>
      </x:c>
      <x:c r="E193" s="39" t="str">
        <x:v>XLC</x:v>
      </x:c>
      <x:c r="F193" s="39" t="n">
        <x:v>-0.4932822887</x:v>
      </x:c>
      <x:c r="G193" s="39" t="n">
        <x:v>-1.11376382</x:v>
      </x:c>
      <x:c r="H193" s="44" t="b">
        <x:v>0</x:v>
      </x:c>
      <x:c r="I193" s="39" t="n">
        <x:v>0.0156544989</x:v>
      </x:c>
    </x:row>
    <x:row r="194" ht="19" customHeight="1">
      <x:c r="A194" s="30" t="str">
        <x:v>stagger_1</x:v>
      </x:c>
      <x:c r="B194" s="39" t="str">
        <x:v>STX</x:v>
      </x:c>
      <x:c r="C194" s="39" t="str">
        <x:v>Other sectors</x:v>
      </x:c>
      <x:c r="D194" s="31" t="n">
        <x:v>2</x:v>
      </x:c>
      <x:c r="E194" s="39" t="str">
        <x:v>XLF</x:v>
      </x:c>
      <x:c r="F194" s="39" t="n">
        <x:v>-0.2817827391</x:v>
      </x:c>
      <x:c r="G194" s="39" t="n">
        <x:v>-0.6763927008</x:v>
      </x:c>
      <x:c r="H194" s="44" t="b">
        <x:v>0</x:v>
      </x:c>
      <x:c r="I194" s="39" t="n">
        <x:v>0.0058312723</x:v>
      </x:c>
    </x:row>
    <x:row r="195" ht="19" customHeight="1">
      <x:c r="A195" s="30" t="str">
        <x:v>stagger_1</x:v>
      </x:c>
      <x:c r="B195" s="39" t="str">
        <x:v>STX</x:v>
      </x:c>
      <x:c r="C195" s="39" t="str">
        <x:v>Other sectors</x:v>
      </x:c>
      <x:c r="D195" s="31" t="n">
        <x:v>2</x:v>
      </x:c>
      <x:c r="E195" s="39" t="str">
        <x:v>XLI</x:v>
      </x:c>
      <x:c r="F195" s="39" t="n">
        <x:v>0.8002400393</x:v>
      </x:c>
      <x:c r="G195" s="39" t="n">
        <x:v>1.85856748</x:v>
      </x:c>
      <x:c r="H195" s="44" t="b">
        <x:v>0</x:v>
      </x:c>
      <x:c r="I195" s="39" t="n">
        <x:v>0.0424075122</x:v>
      </x:c>
    </x:row>
    <x:row r="196" ht="19" customHeight="1">
      <x:c r="A196" s="30" t="str">
        <x:v>stagger_1</x:v>
      </x:c>
      <x:c r="B196" s="39" t="str">
        <x:v>STX</x:v>
      </x:c>
      <x:c r="C196" s="39" t="str">
        <x:v>Other sectors</x:v>
      </x:c>
      <x:c r="D196" s="31" t="n">
        <x:v>2</x:v>
      </x:c>
      <x:c r="E196" s="39" t="str">
        <x:v>XLP</x:v>
      </x:c>
      <x:c r="F196" s="39" t="n">
        <x:v>-0.2737019238</x:v>
      </x:c>
      <x:c r="G196" s="39" t="n">
        <x:v>-0.6917563011</x:v>
      </x:c>
      <x:c r="H196" s="44" t="b">
        <x:v>0</x:v>
      </x:c>
      <x:c r="I196" s="39" t="n">
        <x:v>0.0060975505</x:v>
      </x:c>
    </x:row>
    <x:row r="197" ht="19" customHeight="1">
      <x:c r="A197" s="30" t="str">
        <x:v>stagger_1</x:v>
      </x:c>
      <x:c r="B197" s="39" t="str">
        <x:v>STX</x:v>
      </x:c>
      <x:c r="C197" s="39" t="str">
        <x:v>Other sectors</x:v>
      </x:c>
      <x:c r="D197" s="31" t="n">
        <x:v>2</x:v>
      </x:c>
      <x:c r="E197" s="39" t="str">
        <x:v>XLRE</x:v>
      </x:c>
      <x:c r="F197" s="39" t="n">
        <x:v>-0.2061369792</x:v>
      </x:c>
      <x:c r="G197" s="39" t="n">
        <x:v>-0.5766832967</x:v>
      </x:c>
      <x:c r="H197" s="44" t="b">
        <x:v>0</x:v>
      </x:c>
      <x:c r="I197" s="39" t="n">
        <x:v>0.0042455348</x:v>
      </x:c>
    </x:row>
    <x:row r="198" ht="19" customHeight="1">
      <x:c r="A198" s="30" t="str">
        <x:v>stagger_1</x:v>
      </x:c>
      <x:c r="B198" s="39" t="str">
        <x:v>STX</x:v>
      </x:c>
      <x:c r="C198" s="39" t="str">
        <x:v>Other sectors</x:v>
      </x:c>
      <x:c r="D198" s="31" t="n">
        <x:v>2</x:v>
      </x:c>
      <x:c r="E198" s="39" t="str">
        <x:v>XLU</x:v>
      </x:c>
      <x:c r="F198" s="39" t="n">
        <x:v>-0.46825628</x:v>
      </x:c>
      <x:c r="G198" s="39" t="n">
        <x:v>-1.5595835367</x:v>
      </x:c>
      <x:c r="H198" s="44" t="b">
        <x:v>0</x:v>
      </x:c>
      <x:c r="I198" s="39" t="n">
        <x:v>0.0302403485</x:v>
      </x:c>
    </x:row>
    <x:row r="199" ht="19" customHeight="1">
      <x:c r="A199" s="30" t="str">
        <x:v>stagger_1</x:v>
      </x:c>
      <x:c r="B199" s="39" t="str">
        <x:v>STX</x:v>
      </x:c>
      <x:c r="C199" s="39" t="str">
        <x:v>Other sectors</x:v>
      </x:c>
      <x:c r="D199" s="31" t="n">
        <x:v>2</x:v>
      </x:c>
      <x:c r="E199" s="39" t="str">
        <x:v>XLV</x:v>
      </x:c>
      <x:c r="F199" s="39" t="n">
        <x:v>-0.3251963107</x:v>
      </x:c>
      <x:c r="G199" s="39" t="n">
        <x:v>-0.9049894854</x:v>
      </x:c>
      <x:c r="H199" s="44" t="b">
        <x:v>0</x:v>
      </x:c>
      <x:c r="I199" s="39" t="n">
        <x:v>0.0103909705</x:v>
      </x:c>
    </x:row>
    <x:row r="200" ht="19" customHeight="1">
      <x:c r="A200" s="30" t="str">
        <x:v>stagger_1</x:v>
      </x:c>
      <x:c r="B200" s="39" t="str">
        <x:v>STX</x:v>
      </x:c>
      <x:c r="C200" s="39" t="str">
        <x:v>Other sectors</x:v>
      </x:c>
      <x:c r="D200" s="31" t="n">
        <x:v>2</x:v>
      </x:c>
      <x:c r="E200" s="39" t="str">
        <x:v>XLY</x:v>
      </x:c>
      <x:c r="F200" s="39" t="n">
        <x:v>-0.210045465</x:v>
      </x:c>
      <x:c r="G200" s="39" t="n">
        <x:v>-0.4896879894</x:v>
      </x:c>
      <x:c r="H200" s="44" t="b">
        <x:v>0</x:v>
      </x:c>
      <x:c r="I200" s="39" t="n">
        <x:v>0.003064864</x:v>
      </x:c>
    </x:row>
    <x:row r="201" ht="19" customHeight="1">
      <x:c r="A201" s="30" t="str">
        <x:v>stagger_1</x:v>
      </x:c>
      <x:c r="B201" s="39" t="str">
        <x:v>VLO</x:v>
      </x:c>
      <x:c r="C201" s="39" t="str">
        <x:v>Other FX</x:v>
      </x:c>
      <x:c r="D201" s="31" t="n">
        <x:v>1</x:v>
      </x:c>
      <x:c r="E201" s="39" t="str">
        <x:v>AUD/USD</x:v>
      </x:c>
      <x:c r="F201" s="39" t="n">
        <x:v>0.3563174945</x:v>
      </x:c>
      <x:c r="G201" s="39" t="n">
        <x:v>0.6314913047</x:v>
      </x:c>
      <x:c r="H201" s="44" t="b">
        <x:v>0</x:v>
      </x:c>
      <x:c r="I201" s="39" t="n">
        <x:v>0.0050865748</x:v>
      </x:c>
    </x:row>
    <x:row r="202" ht="19" customHeight="1">
      <x:c r="A202" s="30" t="str">
        <x:v>stagger_1</x:v>
      </x:c>
      <x:c r="B202" s="39" t="str">
        <x:v>VLO</x:v>
      </x:c>
      <x:c r="C202" s="39" t="str">
        <x:v>Other sectors</x:v>
      </x:c>
      <x:c r="D202" s="31" t="n">
        <x:v>1</x:v>
      </x:c>
      <x:c r="E202" s="39" t="str">
        <x:v>XLB</x:v>
      </x:c>
      <x:c r="F202" s="39" t="n">
        <x:v>-0.0629987386</x:v>
      </x:c>
      <x:c r="G202" s="39" t="n">
        <x:v>-0.3128121507</x:v>
      </x:c>
      <x:c r="H202" s="44" t="b">
        <x:v>0</x:v>
      </x:c>
      <x:c r="I202" s="39" t="n">
        <x:v>0.0012529338</x:v>
      </x:c>
    </x:row>
    <x:row r="203" ht="19" customHeight="1">
      <x:c r="A203" s="30" t="str">
        <x:v>stagger_1</x:v>
      </x:c>
      <x:c r="B203" s="39" t="str">
        <x:v>VLO</x:v>
      </x:c>
      <x:c r="C203" s="39" t="str">
        <x:v>Other sectors</x:v>
      </x:c>
      <x:c r="D203" s="31" t="n">
        <x:v>1</x:v>
      </x:c>
      <x:c r="E203" s="39" t="str">
        <x:v>XLC</x:v>
      </x:c>
      <x:c r="F203" s="39" t="n">
        <x:v>-0.0784984599</x:v>
      </x:c>
      <x:c r="G203" s="39" t="n">
        <x:v>-0.2852142067</x:v>
      </x:c>
      <x:c r="H203" s="44" t="b">
        <x:v>0</x:v>
      </x:c>
      <x:c r="I203" s="39" t="n">
        <x:v>0.0010418256</x:v>
      </x:c>
    </x:row>
    <x:row r="204" ht="19" customHeight="1">
      <x:c r="A204" s="30" t="str">
        <x:v>stagger_1</x:v>
      </x:c>
      <x:c r="B204" s="39" t="str">
        <x:v>VLO</x:v>
      </x:c>
      <x:c r="C204" s="39" t="str">
        <x:v>Other sectors</x:v>
      </x:c>
      <x:c r="D204" s="31" t="n">
        <x:v>1</x:v>
      </x:c>
      <x:c r="E204" s="39" t="str">
        <x:v>XLF</x:v>
      </x:c>
      <x:c r="F204" s="39" t="n">
        <x:v>0.3682677648</x:v>
      </x:c>
      <x:c r="G204" s="39" t="n">
        <x:v>1.4479385342</x:v>
      </x:c>
      <x:c r="H204" s="44" t="b">
        <x:v>0</x:v>
      </x:c>
      <x:c r="I204" s="39" t="n">
        <x:v>0.0261749929</x:v>
      </x:c>
    </x:row>
    <x:row r="205" ht="19" customHeight="1">
      <x:c r="A205" s="30" t="str">
        <x:v>stagger_1</x:v>
      </x:c>
      <x:c r="B205" s="39" t="str">
        <x:v>VLO</x:v>
      </x:c>
      <x:c r="C205" s="39" t="str">
        <x:v>Other sectors</x:v>
      </x:c>
      <x:c r="D205" s="31" t="n">
        <x:v>1</x:v>
      </x:c>
      <x:c r="E205" s="39" t="str">
        <x:v>XLI</x:v>
      </x:c>
      <x:c r="F205" s="39" t="n">
        <x:v>0.241389274</x:v>
      </x:c>
      <x:c r="G205" s="39" t="n">
        <x:v>0.8939061746</x:v>
      </x:c>
      <x:c r="H205" s="44" t="b">
        <x:v>0</x:v>
      </x:c>
      <x:c r="I205" s="39" t="n">
        <x:v>0.0101405799</x:v>
      </x:c>
    </x:row>
    <x:row r="206" ht="19" customHeight="1">
      <x:c r="A206" s="30" t="str">
        <x:v>stagger_1</x:v>
      </x:c>
      <x:c r="B206" s="39" t="str">
        <x:v>VLO</x:v>
      </x:c>
      <x:c r="C206" s="39" t="str">
        <x:v>Other sectors</x:v>
      </x:c>
      <x:c r="D206" s="31" t="n">
        <x:v>1</x:v>
      </x:c>
      <x:c r="E206" s="39" t="str">
        <x:v>XLK</x:v>
      </x:c>
      <x:c r="F206" s="39" t="n">
        <x:v>0.0058561516</x:v>
      </x:c>
      <x:c r="G206" s="39" t="n">
        <x:v>0.0242308668</x:v>
      </x:c>
      <x:c r="H206" s="44" t="b">
        <x:v>0</x:v>
      </x:c>
      <x:c r="I206" s="39" t="n">
        <x:v>0.0000075273</x:v>
      </x:c>
    </x:row>
    <x:row r="207" ht="19" customHeight="1">
      <x:c r="A207" s="30" t="str">
        <x:v>stagger_1</x:v>
      </x:c>
      <x:c r="B207" s="39" t="str">
        <x:v>VLO</x:v>
      </x:c>
      <x:c r="C207" s="39" t="str">
        <x:v>Other sectors</x:v>
      </x:c>
      <x:c r="D207" s="31" t="n">
        <x:v>1</x:v>
      </x:c>
      <x:c r="E207" s="39" t="str">
        <x:v>XLP</x:v>
      </x:c>
      <x:c r="F207" s="39" t="n">
        <x:v>-0.2593851925</x:v>
      </x:c>
      <x:c r="G207" s="39" t="n">
        <x:v>-1.0672163837</x:v>
      </x:c>
      <x:c r="H207" s="44" t="b">
        <x:v>0</x:v>
      </x:c>
      <x:c r="I207" s="39" t="n">
        <x:v>0.0143917856</x:v>
      </x:c>
    </x:row>
    <x:row r="208" ht="19" customHeight="1">
      <x:c r="A208" s="30" t="str">
        <x:v>stagger_1</x:v>
      </x:c>
      <x:c r="B208" s="39" t="str">
        <x:v>VLO</x:v>
      </x:c>
      <x:c r="C208" s="39" t="str">
        <x:v>Other sectors</x:v>
      </x:c>
      <x:c r="D208" s="31" t="n">
        <x:v>1</x:v>
      </x:c>
      <x:c r="E208" s="39" t="str">
        <x:v>XLRE</x:v>
      </x:c>
      <x:c r="F208" s="39" t="n">
        <x:v>-0.0413186796</x:v>
      </x:c>
      <x:c r="G208" s="39" t="n">
        <x:v>-0.1870310445</x:v>
      </x:c>
      <x:c r="H208" s="44" t="b">
        <x:v>0</x:v>
      </x:c>
      <x:c r="I208" s="39" t="n">
        <x:v>0.0004482683</x:v>
      </x:c>
    </x:row>
    <x:row r="209" ht="19" customHeight="1">
      <x:c r="A209" s="30" t="str">
        <x:v>stagger_1</x:v>
      </x:c>
      <x:c r="B209" s="39" t="str">
        <x:v>VLO</x:v>
      </x:c>
      <x:c r="C209" s="39" t="str">
        <x:v>Other sectors</x:v>
      </x:c>
      <x:c r="D209" s="31" t="n">
        <x:v>1</x:v>
      </x:c>
      <x:c r="E209" s="39" t="str">
        <x:v>XLU</x:v>
      </x:c>
      <x:c r="F209" s="39" t="n">
        <x:v>0.0264491343</x:v>
      </x:c>
      <x:c r="G209" s="39" t="n">
        <x:v>0.1406487642</x:v>
      </x:c>
      <x:c r="H209" s="44" t="b">
        <x:v>0</x:v>
      </x:c>
      <x:c r="I209" s="39" t="n">
        <x:v>0.000253552</x:v>
      </x:c>
    </x:row>
    <x:row r="210" ht="19" customHeight="1">
      <x:c r="A210" s="30" t="str">
        <x:v>stagger_1</x:v>
      </x:c>
      <x:c r="B210" s="39" t="str">
        <x:v>VLO</x:v>
      </x:c>
      <x:c r="C210" s="39" t="str">
        <x:v>Other sectors</x:v>
      </x:c>
      <x:c r="D210" s="31" t="n">
        <x:v>1</x:v>
      </x:c>
      <x:c r="E210" s="39" t="str">
        <x:v>XLV</x:v>
      </x:c>
      <x:c r="F210" s="39" t="n">
        <x:v>-0.0636201667</x:v>
      </x:c>
      <x:c r="G210" s="39" t="n">
        <x:v>-0.2856695351</x:v>
      </x:c>
      <x:c r="H210" s="44" t="b">
        <x:v>0</x:v>
      </x:c>
      <x:c r="I210" s="39" t="n">
        <x:v>0.0010451512</x:v>
      </x:c>
    </x:row>
    <x:row r="211" ht="19" customHeight="1">
      <x:c r="A211" s="30" t="str">
        <x:v>stagger_1</x:v>
      </x:c>
      <x:c r="B211" s="39" t="str">
        <x:v>VLO</x:v>
      </x:c>
      <x:c r="C211" s="39" t="str">
        <x:v>Other sectors</x:v>
      </x:c>
      <x:c r="D211" s="31" t="n">
        <x:v>1</x:v>
      </x:c>
      <x:c r="E211" s="39" t="str">
        <x:v>XLY</x:v>
      </x:c>
      <x:c r="F211" s="39" t="n">
        <x:v>-0.1094664739</x:v>
      </x:c>
      <x:c r="G211" s="39" t="n">
        <x:v>-0.4135314895</x:v>
      </x:c>
      <x:c r="H211" s="44" t="b">
        <x:v>0</x:v>
      </x:c>
      <x:c r="I211" s="39" t="n">
        <x:v>0.0021876178</x:v>
      </x:c>
    </x:row>
    <x:row r="212" ht="19" customHeight="1">
      <x:c r="A212" s="30" t="str">
        <x:v>stagger_1</x:v>
      </x:c>
      <x:c r="B212" s="39" t="str">
        <x:v>CF</x:v>
      </x:c>
      <x:c r="C212" s="39" t="str">
        <x:v>Other FX</x:v>
      </x:c>
      <x:c r="D212" s="31" t="n">
        <x:v>1</x:v>
      </x:c>
      <x:c r="E212" s="39" t="str">
        <x:v>AUD/USD</x:v>
      </x:c>
      <x:c r="F212" s="39" t="n">
        <x:v>0.2809372421</x:v>
      </x:c>
      <x:c r="G212" s="39" t="n">
        <x:v>0.5153137818</x:v>
      </x:c>
      <x:c r="H212" s="44" t="b">
        <x:v>0</x:v>
      </x:c>
      <x:c r="I212" s="39" t="n">
        <x:v>0.0033929142</x:v>
      </x:c>
    </x:row>
    <x:row r="213" ht="19" customHeight="1">
      <x:c r="A213" s="30" t="str">
        <x:v>stagger_1</x:v>
      </x:c>
      <x:c r="B213" s="39" t="str">
        <x:v>CF</x:v>
      </x:c>
      <x:c r="C213" s="39" t="str">
        <x:v>Other sectors</x:v>
      </x:c>
      <x:c r="D213" s="31" t="n">
        <x:v>1</x:v>
      </x:c>
      <x:c r="E213" s="39" t="str">
        <x:v>XLC</x:v>
      </x:c>
      <x:c r="F213" s="39" t="n">
        <x:v>0.2232555222</x:v>
      </x:c>
      <x:c r="G213" s="39" t="n">
        <x:v>0.5510922606</x:v>
      </x:c>
      <x:c r="H213" s="44" t="b">
        <x:v>0</x:v>
      </x:c>
      <x:c r="I213" s="39" t="n">
        <x:v>0.0038785226</x:v>
      </x:c>
    </x:row>
    <x:row r="214" ht="19" customHeight="1">
      <x:c r="A214" s="30" t="str">
        <x:v>stagger_1</x:v>
      </x:c>
      <x:c r="B214" s="39" t="str">
        <x:v>CF</x:v>
      </x:c>
      <x:c r="C214" s="39" t="str">
        <x:v>Other sectors</x:v>
      </x:c>
      <x:c r="D214" s="31" t="n">
        <x:v>1</x:v>
      </x:c>
      <x:c r="E214" s="39" t="str">
        <x:v>XLE</x:v>
      </x:c>
      <x:c r="F214" s="39" t="n">
        <x:v>0.7883357645</x:v>
      </x:c>
      <x:c r="G214" s="39" t="n">
        <x:v>5.9131732161</x:v>
      </x:c>
      <x:c r="H214" s="44" t="b">
        <x:v>1</x:v>
      </x:c>
      <x:c r="I214" s="39" t="n">
        <x:v>0.3095244222</x:v>
      </x:c>
    </x:row>
    <x:row r="215" ht="19" customHeight="1">
      <x:c r="A215" s="30" t="str">
        <x:v>stagger_1</x:v>
      </x:c>
      <x:c r="B215" s="39" t="str">
        <x:v>CF</x:v>
      </x:c>
      <x:c r="C215" s="39" t="str">
        <x:v>Other sectors</x:v>
      </x:c>
      <x:c r="D215" s="31" t="n">
        <x:v>1</x:v>
      </x:c>
      <x:c r="E215" s="39" t="str">
        <x:v>XLF</x:v>
      </x:c>
      <x:c r="F215" s="39" t="n">
        <x:v>0.353490156</x:v>
      </x:c>
      <x:c r="G215" s="39" t="n">
        <x:v>0.9356695332</x:v>
      </x:c>
      <x:c r="H215" s="44" t="b">
        <x:v>0</x:v>
      </x:c>
      <x:c r="I215" s="39" t="n">
        <x:v>0.0110994888</x:v>
      </x:c>
    </x:row>
    <x:row r="216" ht="19" customHeight="1">
      <x:c r="A216" s="30" t="str">
        <x:v>stagger_1</x:v>
      </x:c>
      <x:c r="B216" s="39" t="str">
        <x:v>CF</x:v>
      </x:c>
      <x:c r="C216" s="39" t="str">
        <x:v>Other sectors</x:v>
      </x:c>
      <x:c r="D216" s="31" t="n">
        <x:v>1</x:v>
      </x:c>
      <x:c r="E216" s="39" t="str">
        <x:v>XLI</x:v>
      </x:c>
      <x:c r="F216" s="39" t="n">
        <x:v>-0.2035119717</x:v>
      </x:c>
      <x:c r="G216" s="39" t="n">
        <x:v>-0.5095265663</x:v>
      </x:c>
      <x:c r="H216" s="44" t="b">
        <x:v>0</x:v>
      </x:c>
      <x:c r="I216" s="39" t="n">
        <x:v>0.0033173855</x:v>
      </x:c>
    </x:row>
    <x:row r="217" ht="19" customHeight="1">
      <x:c r="A217" s="30" t="str">
        <x:v>stagger_1</x:v>
      </x:c>
      <x:c r="B217" s="39" t="str">
        <x:v>CF</x:v>
      </x:c>
      <x:c r="C217" s="39" t="str">
        <x:v>Other sectors</x:v>
      </x:c>
      <x:c r="D217" s="31" t="n">
        <x:v>1</x:v>
      </x:c>
      <x:c r="E217" s="39" t="str">
        <x:v>XLK</x:v>
      </x:c>
      <x:c r="F217" s="39" t="n">
        <x:v>-0.5892534724</x:v>
      </x:c>
      <x:c r="G217" s="39" t="n">
        <x:v>-1.6838568364</x:v>
      </x:c>
      <x:c r="H217" s="44" t="b">
        <x:v>0</x:v>
      </x:c>
      <x:c r="I217" s="39" t="n">
        <x:v>0.0350759044</x:v>
      </x:c>
    </x:row>
    <x:row r="218" ht="19" customHeight="1">
      <x:c r="A218" s="30" t="str">
        <x:v>stagger_1</x:v>
      </x:c>
      <x:c r="B218" s="39" t="str">
        <x:v>CF</x:v>
      </x:c>
      <x:c r="C218" s="39" t="str">
        <x:v>Other sectors</x:v>
      </x:c>
      <x:c r="D218" s="31" t="n">
        <x:v>1</x:v>
      </x:c>
      <x:c r="E218" s="39" t="str">
        <x:v>XLP</x:v>
      </x:c>
      <x:c r="F218" s="39" t="n">
        <x:v>-0.1772383279</x:v>
      </x:c>
      <x:c r="G218" s="39" t="n">
        <x:v>-0.4919084541</x:v>
      </x:c>
      <x:c r="H218" s="44" t="b">
        <x:v>0</x:v>
      </x:c>
      <x:c r="I218" s="39" t="n">
        <x:v>0.0030926358</x:v>
      </x:c>
    </x:row>
    <x:row r="219" ht="19" customHeight="1">
      <x:c r="A219" s="30" t="str">
        <x:v>stagger_1</x:v>
      </x:c>
      <x:c r="B219" s="39" t="str">
        <x:v>CF</x:v>
      </x:c>
      <x:c r="C219" s="39" t="str">
        <x:v>Other sectors</x:v>
      </x:c>
      <x:c r="D219" s="31" t="n">
        <x:v>1</x:v>
      </x:c>
      <x:c r="E219" s="39" t="str">
        <x:v>XLRE</x:v>
      </x:c>
      <x:c r="F219" s="39" t="n">
        <x:v>0.2018456474</x:v>
      </x:c>
      <x:c r="G219" s="39" t="n">
        <x:v>0.6212346032</x:v>
      </x:c>
      <x:c r="H219" s="44" t="b">
        <x:v>0</x:v>
      </x:c>
      <x:c r="I219" s="39" t="n">
        <x:v>0.004923491</x:v>
      </x:c>
    </x:row>
    <x:row r="220" ht="19" customHeight="1">
      <x:c r="A220" s="30" t="str">
        <x:v>stagger_1</x:v>
      </x:c>
      <x:c r="B220" s="39" t="str">
        <x:v>CF</x:v>
      </x:c>
      <x:c r="C220" s="39" t="str">
        <x:v>Other sectors</x:v>
      </x:c>
      <x:c r="D220" s="31" t="n">
        <x:v>1</x:v>
      </x:c>
      <x:c r="E220" s="39" t="str">
        <x:v>XLU</x:v>
      </x:c>
      <x:c r="F220" s="39" t="n">
        <x:v>0.2070240247</x:v>
      </x:c>
      <x:c r="G220" s="39" t="n">
        <x:v>0.7494502206</x:v>
      </x:c>
      <x:c r="H220" s="44" t="b">
        <x:v>0</x:v>
      </x:c>
      <x:c r="I220" s="39" t="n">
        <x:v>0.0071494864</x:v>
      </x:c>
    </x:row>
    <x:row r="221" ht="19" customHeight="1">
      <x:c r="A221" s="30" t="str">
        <x:v>stagger_1</x:v>
      </x:c>
      <x:c r="B221" s="39" t="str">
        <x:v>CF</x:v>
      </x:c>
      <x:c r="C221" s="39" t="str">
        <x:v>Other sectors</x:v>
      </x:c>
      <x:c r="D221" s="31" t="n">
        <x:v>1</x:v>
      </x:c>
      <x:c r="E221" s="39" t="str">
        <x:v>XLV</x:v>
      </x:c>
      <x:c r="F221" s="39" t="n">
        <x:v>-0.2774148484</x:v>
      </x:c>
      <x:c r="G221" s="39" t="n">
        <x:v>-0.8485189369</x:v>
      </x:c>
      <x:c r="H221" s="44" t="b">
        <x:v>0</x:v>
      </x:c>
      <x:c r="I221" s="39" t="n">
        <x:v>0.0091461449</x:v>
      </x:c>
    </x:row>
    <x:row r="222" ht="19" customHeight="1">
      <x:c r="A222" s="30" t="str">
        <x:v>stagger_1</x:v>
      </x:c>
      <x:c r="B222" s="39" t="str">
        <x:v>CF</x:v>
      </x:c>
      <x:c r="C222" s="39" t="str">
        <x:v>Other sectors</x:v>
      </x:c>
      <x:c r="D222" s="31" t="n">
        <x:v>1</x:v>
      </x:c>
      <x:c r="E222" s="39" t="str">
        <x:v>XLY</x:v>
      </x:c>
      <x:c r="F222" s="39" t="n">
        <x:v>0.2742002805</x:v>
      </x:c>
      <x:c r="G222" s="39" t="n">
        <x:v>0.7041910859</x:v>
      </x:c>
      <x:c r="H222" s="44" t="b">
        <x:v>0</x:v>
      </x:c>
      <x:c r="I222" s="39" t="n">
        <x:v>0.0063173386</x:v>
      </x:c>
    </x:row>
    <x:row r="223" ht="19" customHeight="1">
      <x:c r="A223" s="30" t="str">
        <x:v>stagger_1</x:v>
      </x:c>
      <x:c r="B223" s="39" t="str">
        <x:v>CF</x:v>
      </x:c>
      <x:c r="C223" s="39" t="str">
        <x:v>Other sectors</x:v>
      </x:c>
      <x:c r="D223" s="31" t="n">
        <x:v>2</x:v>
      </x:c>
      <x:c r="E223" s="39" t="str">
        <x:v>XLC</x:v>
      </x:c>
      <x:c r="F223" s="39" t="n">
        <x:v>0.0895355061</x:v>
      </x:c>
      <x:c r="G223" s="39" t="n">
        <x:v>0.2655801771</x:v>
      </x:c>
      <x:c r="H223" s="44" t="b">
        <x:v>0</x:v>
      </x:c>
      <x:c r="I223" s="39" t="n">
        <x:v>0.0009034501</x:v>
      </x:c>
    </x:row>
    <x:row r="224" ht="19" customHeight="1">
      <x:c r="A224" s="30" t="str">
        <x:v>stagger_1</x:v>
      </x:c>
      <x:c r="B224" s="39" t="str">
        <x:v>CF</x:v>
      </x:c>
      <x:c r="C224" s="39" t="str">
        <x:v>Other sectors</x:v>
      </x:c>
      <x:c r="D224" s="31" t="n">
        <x:v>2</x:v>
      </x:c>
      <x:c r="E224" s="39" t="str">
        <x:v>XLF</x:v>
      </x:c>
      <x:c r="F224" s="39" t="n">
        <x:v>-0.1514542765</x:v>
      </x:c>
      <x:c r="G224" s="39" t="n">
        <x:v>-0.4804747665</x:v>
      </x:c>
      <x:c r="H224" s="44" t="b">
        <x:v>0</x:v>
      </x:c>
      <x:c r="I224" s="39" t="n">
        <x:v>0.0029509584</x:v>
      </x:c>
    </x:row>
    <x:row r="225" ht="19" customHeight="1">
      <x:c r="A225" s="30" t="str">
        <x:v>stagger_1</x:v>
      </x:c>
      <x:c r="B225" s="39" t="str">
        <x:v>CF</x:v>
      </x:c>
      <x:c r="C225" s="39" t="str">
        <x:v>Other sectors</x:v>
      </x:c>
      <x:c r="D225" s="31" t="n">
        <x:v>2</x:v>
      </x:c>
      <x:c r="E225" s="39" t="str">
        <x:v>XLI</x:v>
      </x:c>
      <x:c r="F225" s="39" t="n">
        <x:v>-0.5507182668</x:v>
      </x:c>
      <x:c r="G225" s="39" t="n">
        <x:v>-1.6865066046</x:v>
      </x:c>
      <x:c r="H225" s="44" t="b">
        <x:v>0</x:v>
      </x:c>
      <x:c r="I225" s="39" t="n">
        <x:v>0.0351824973</x:v>
      </x:c>
    </x:row>
    <x:row r="226" ht="19" customHeight="1">
      <x:c r="A226" s="30" t="str">
        <x:v>stagger_1</x:v>
      </x:c>
      <x:c r="B226" s="39" t="str">
        <x:v>CF</x:v>
      </x:c>
      <x:c r="C226" s="39" t="str">
        <x:v>Other sectors</x:v>
      </x:c>
      <x:c r="D226" s="31" t="n">
        <x:v>2</x:v>
      </x:c>
      <x:c r="E226" s="39" t="str">
        <x:v>XLK</x:v>
      </x:c>
      <x:c r="F226" s="39" t="n">
        <x:v>0.0991720251</x:v>
      </x:c>
      <x:c r="G226" s="39" t="n">
        <x:v>0.3352565655</x:v>
      </x:c>
      <x:c r="H226" s="44" t="b">
        <x:v>0</x:v>
      </x:c>
      <x:c r="I226" s="39" t="n">
        <x:v>0.0014389133</x:v>
      </x:c>
    </x:row>
    <x:row r="227" ht="19" customHeight="1">
      <x:c r="A227" s="30" t="str">
        <x:v>stagger_1</x:v>
      </x:c>
      <x:c r="B227" s="39" t="str">
        <x:v>CF</x:v>
      </x:c>
      <x:c r="C227" s="39" t="str">
        <x:v>Other sectors</x:v>
      </x:c>
      <x:c r="D227" s="31" t="n">
        <x:v>2</x:v>
      </x:c>
      <x:c r="E227" s="39" t="str">
        <x:v>XLP</x:v>
      </x:c>
      <x:c r="F227" s="39" t="n">
        <x:v>-0.4082387362</x:v>
      </x:c>
      <x:c r="G227" s="39" t="n">
        <x:v>-1.3778957764</x:v>
      </x:c>
      <x:c r="H227" s="44" t="b">
        <x:v>0</x:v>
      </x:c>
      <x:c r="I227" s="39" t="n">
        <x:v>0.0237625797</x:v>
      </x:c>
    </x:row>
    <x:row r="228" ht="19" customHeight="1">
      <x:c r="A228" s="30" t="str">
        <x:v>stagger_1</x:v>
      </x:c>
      <x:c r="B228" s="39" t="str">
        <x:v>CF</x:v>
      </x:c>
      <x:c r="C228" s="39" t="str">
        <x:v>Other sectors</x:v>
      </x:c>
      <x:c r="D228" s="31" t="n">
        <x:v>2</x:v>
      </x:c>
      <x:c r="E228" s="39" t="str">
        <x:v>XLRE</x:v>
      </x:c>
      <x:c r="F228" s="39" t="n">
        <x:v>-0.02281568</x:v>
      </x:c>
      <x:c r="G228" s="39" t="n">
        <x:v>-0.0843030965</x:v>
      </x:c>
      <x:c r="H228" s="44" t="b">
        <x:v>0</x:v>
      </x:c>
      <x:c r="I228" s="39" t="n">
        <x:v>0.0000911072</x:v>
      </x:c>
    </x:row>
    <x:row r="229" ht="19" customHeight="1">
      <x:c r="A229" s="30" t="str">
        <x:v>stagger_1</x:v>
      </x:c>
      <x:c r="B229" s="39" t="str">
        <x:v>CF</x:v>
      </x:c>
      <x:c r="C229" s="39" t="str">
        <x:v>Other sectors</x:v>
      </x:c>
      <x:c r="D229" s="31" t="n">
        <x:v>2</x:v>
      </x:c>
      <x:c r="E229" s="39" t="str">
        <x:v>XLU</x:v>
      </x:c>
      <x:c r="F229" s="39" t="n">
        <x:v>0.0987154814</x:v>
      </x:c>
      <x:c r="G229" s="39" t="n">
        <x:v>0.4290292565</x:v>
      </x:c>
      <x:c r="H229" s="44" t="b">
        <x:v>0</x:v>
      </x:c>
      <x:c r="I229" s="39" t="n">
        <x:v>0.0023542662</x:v>
      </x:c>
    </x:row>
    <x:row r="230" ht="19" customHeight="1">
      <x:c r="A230" s="30" t="str">
        <x:v>stagger_1</x:v>
      </x:c>
      <x:c r="B230" s="39" t="str">
        <x:v>CF</x:v>
      </x:c>
      <x:c r="C230" s="39" t="str">
        <x:v>Other sectors</x:v>
      </x:c>
      <x:c r="D230" s="31" t="n">
        <x:v>2</x:v>
      </x:c>
      <x:c r="E230" s="39" t="str">
        <x:v>XLV</x:v>
      </x:c>
      <x:c r="F230" s="39" t="n">
        <x:v>-0.5492105757</x:v>
      </x:c>
      <x:c r="G230" s="39" t="n">
        <x:v>-2.0667033772</x:v>
      </x:c>
      <x:c r="H230" s="44" t="b">
        <x:v>0</x:v>
      </x:c>
      <x:c r="I230" s="39" t="n">
        <x:v>0.0519168261</x:v>
      </x:c>
    </x:row>
    <x:row r="231" ht="19" customHeight="1">
      <x:c r="A231" s="30" t="str">
        <x:v>stagger_1</x:v>
      </x:c>
      <x:c r="B231" s="39" t="str">
        <x:v>CF</x:v>
      </x:c>
      <x:c r="C231" s="39" t="str">
        <x:v>Other sectors</x:v>
      </x:c>
      <x:c r="D231" s="31" t="n">
        <x:v>2</x:v>
      </x:c>
      <x:c r="E231" s="39" t="str">
        <x:v>XLY</x:v>
      </x:c>
      <x:c r="F231" s="39" t="n">
        <x:v>0.7381341388</x:v>
      </x:c>
      <x:c r="G231" s="39" t="n">
        <x:v>2.3534457301</x:v>
      </x:c>
      <x:c r="H231" s="44" t="b">
        <x:v>1</x:v>
      </x:c>
      <x:c r="I231" s="39" t="n">
        <x:v>0.0663010838</x:v>
      </x:c>
    </x:row>
    <x:row r="232" ht="19" customHeight="1">
      <x:c r="A232" s="30" t="str">
        <x:v>stagger_1</x:v>
      </x:c>
      <x:c r="B232" s="39" t="str">
        <x:v>CF</x:v>
      </x:c>
      <x:c r="C232" s="39" t="str">
        <x:v>Other sectors</x:v>
      </x:c>
      <x:c r="D232" s="31" t="n">
        <x:v>3</x:v>
      </x:c>
      <x:c r="E232" s="39" t="str">
        <x:v>XLC</x:v>
      </x:c>
      <x:c r="F232" s="39" t="n">
        <x:v>-0.1514171874</x:v>
      </x:c>
      <x:c r="G232" s="39" t="n">
        <x:v>-0.4652405776</x:v>
      </x:c>
      <x:c r="H232" s="44" t="b">
        <x:v>0</x:v>
      </x:c>
      <x:c r="I232" s="39" t="n">
        <x:v>0.0027673053</x:v>
      </x:c>
    </x:row>
    <x:row r="233" ht="19" customHeight="1">
      <x:c r="A233" s="30" t="str">
        <x:v>stagger_1</x:v>
      </x:c>
      <x:c r="B233" s="39" t="str">
        <x:v>CF</x:v>
      </x:c>
      <x:c r="C233" s="39" t="str">
        <x:v>Other sectors</x:v>
      </x:c>
      <x:c r="D233" s="31" t="n">
        <x:v>3</x:v>
      </x:c>
      <x:c r="E233" s="39" t="str">
        <x:v>XLF</x:v>
      </x:c>
      <x:c r="F233" s="39" t="n">
        <x:v>-0.1295128603</x:v>
      </x:c>
      <x:c r="G233" s="39" t="n">
        <x:v>-0.4250687733</x:v>
      </x:c>
      <x:c r="H233" s="44" t="b">
        <x:v>0</x:v>
      </x:c>
      <x:c r="I233" s="39" t="n">
        <x:v>0.0023111011</x:v>
      </x:c>
    </x:row>
    <x:row r="234" ht="19" customHeight="1">
      <x:c r="A234" s="30" t="str">
        <x:v>stagger_1</x:v>
      </x:c>
      <x:c r="B234" s="39" t="str">
        <x:v>CF</x:v>
      </x:c>
      <x:c r="C234" s="39" t="str">
        <x:v>Other sectors</x:v>
      </x:c>
      <x:c r="D234" s="31" t="n">
        <x:v>3</x:v>
      </x:c>
      <x:c r="E234" s="39" t="str">
        <x:v>XLI</x:v>
      </x:c>
      <x:c r="F234" s="39" t="n">
        <x:v>-0.459255385</x:v>
      </x:c>
      <x:c r="G234" s="39" t="n">
        <x:v>-1.4487652209</x:v>
      </x:c>
      <x:c r="H234" s="44" t="b">
        <x:v>0</x:v>
      </x:c>
      <x:c r="I234" s="39" t="n">
        <x:v>0.0262041067</x:v>
      </x:c>
    </x:row>
    <x:row r="235" ht="19" customHeight="1">
      <x:c r="A235" s="30" t="str">
        <x:v>stagger_1</x:v>
      </x:c>
      <x:c r="B235" s="39" t="str">
        <x:v>CF</x:v>
      </x:c>
      <x:c r="C235" s="39" t="str">
        <x:v>Other sectors</x:v>
      </x:c>
      <x:c r="D235" s="31" t="n">
        <x:v>3</x:v>
      </x:c>
      <x:c r="E235" s="39" t="str">
        <x:v>XLK</x:v>
      </x:c>
      <x:c r="F235" s="39" t="n">
        <x:v>0.2227377026</x:v>
      </x:c>
      <x:c r="G235" s="39" t="n">
        <x:v>0.7817365283</x:v>
      </x:c>
      <x:c r="H235" s="44" t="b">
        <x:v>0</x:v>
      </x:c>
      <x:c r="I235" s="39" t="n">
        <x:v>0.0077738628</x:v>
      </x:c>
    </x:row>
    <x:row r="236" ht="19" customHeight="1">
      <x:c r="A236" s="30" t="str">
        <x:v>stagger_1</x:v>
      </x:c>
      <x:c r="B236" s="39" t="str">
        <x:v>CF</x:v>
      </x:c>
      <x:c r="C236" s="39" t="str">
        <x:v>Other sectors</x:v>
      </x:c>
      <x:c r="D236" s="31" t="n">
        <x:v>3</x:v>
      </x:c>
      <x:c r="E236" s="39" t="str">
        <x:v>XLP</x:v>
      </x:c>
      <x:c r="F236" s="39" t="n">
        <x:v>-0.3303637243</x:v>
      </x:c>
      <x:c r="G236" s="39" t="n">
        <x:v>-1.1497896111</x:v>
      </x:c>
      <x:c r="H236" s="44" t="b">
        <x:v>0</x:v>
      </x:c>
      <x:c r="I236" s="39" t="n">
        <x:v>0.0166664466</x:v>
      </x:c>
    </x:row>
    <x:row r="237" ht="19" customHeight="1">
      <x:c r="A237" s="30" t="str">
        <x:v>stagger_1</x:v>
      </x:c>
      <x:c r="B237" s="39" t="str">
        <x:v>CF</x:v>
      </x:c>
      <x:c r="C237" s="39" t="str">
        <x:v>Other sectors</x:v>
      </x:c>
      <x:c r="D237" s="31" t="n">
        <x:v>3</x:v>
      </x:c>
      <x:c r="E237" s="39" t="str">
        <x:v>XLRE</x:v>
      </x:c>
      <x:c r="F237" s="39" t="n">
        <x:v>-0.0932663649</x:v>
      </x:c>
      <x:c r="G237" s="39" t="n">
        <x:v>-0.3569162349</x:v>
      </x:c>
      <x:c r="H237" s="44" t="b">
        <x:v>0</x:v>
      </x:c>
      <x:c r="I237" s="39" t="n">
        <x:v>0.0016305319</x:v>
      </x:c>
    </x:row>
    <x:row r="238" ht="19" customHeight="1">
      <x:c r="A238" s="30" t="str">
        <x:v>stagger_1</x:v>
      </x:c>
      <x:c r="B238" s="39" t="str">
        <x:v>CF</x:v>
      </x:c>
      <x:c r="C238" s="39" t="str">
        <x:v>Other sectors</x:v>
      </x:c>
      <x:c r="D238" s="31" t="n">
        <x:v>3</x:v>
      </x:c>
      <x:c r="E238" s="39" t="str">
        <x:v>XLU</x:v>
      </x:c>
      <x:c r="F238" s="39" t="n">
        <x:v>0.1249802681</x:v>
      </x:c>
      <x:c r="G238" s="39" t="n">
        <x:v>0.5626097534</x:v>
      </x:c>
      <x:c r="H238" s="44" t="b">
        <x:v>0</x:v>
      </x:c>
      <x:c r="I238" s="39" t="n">
        <x:v>0.0040416721</x:v>
      </x:c>
    </x:row>
    <x:row r="239" ht="19" customHeight="1">
      <x:c r="A239" s="30" t="str">
        <x:v>stagger_1</x:v>
      </x:c>
      <x:c r="B239" s="39" t="str">
        <x:v>CF</x:v>
      </x:c>
      <x:c r="C239" s="39" t="str">
        <x:v>Other sectors</x:v>
      </x:c>
      <x:c r="D239" s="31" t="n">
        <x:v>3</x:v>
      </x:c>
      <x:c r="E239" s="39" t="str">
        <x:v>XLV</x:v>
      </x:c>
      <x:c r="F239" s="39" t="n">
        <x:v>-0.3757893421</x:v>
      </x:c>
      <x:c r="G239" s="39" t="n">
        <x:v>-1.4438804284</x:v>
      </x:c>
      <x:c r="H239" s="44" t="b">
        <x:v>0</x:v>
      </x:c>
      <x:c r="I239" s="39" t="n">
        <x:v>0.0260322924</x:v>
      </x:c>
    </x:row>
    <x:row r="240" ht="19" customHeight="1">
      <x:c r="A240" s="30" t="str">
        <x:v>stagger_1</x:v>
      </x:c>
      <x:c r="B240" s="39" t="str">
        <x:v>NTR</x:v>
      </x:c>
      <x:c r="C240" s="39" t="str">
        <x:v>Other FX</x:v>
      </x:c>
      <x:c r="D240" s="31" t="n">
        <x:v>1</x:v>
      </x:c>
      <x:c r="E240" s="39" t="str">
        <x:v>AUD/USD</x:v>
      </x:c>
      <x:c r="F240" s="39" t="n">
        <x:v>0.692553488</x:v>
      </x:c>
      <x:c r="G240" s="39" t="n">
        <x:v>2.0019461167</x:v>
      </x:c>
      <x:c r="H240" s="44" t="b">
        <x:v>1</x:v>
      </x:c>
      <x:c r="I240" s="39" t="n">
        <x:v>0.0488708248</x:v>
      </x:c>
    </x:row>
    <x:row r="241" ht="19" customHeight="1">
      <x:c r="A241" s="30" t="str">
        <x:v>stagger_1</x:v>
      </x:c>
      <x:c r="B241" s="39" t="str">
        <x:v>NTR</x:v>
      </x:c>
      <x:c r="C241" s="39" t="str">
        <x:v>Other sectors</x:v>
      </x:c>
      <x:c r="D241" s="31" t="n">
        <x:v>1</x:v>
      </x:c>
      <x:c r="E241" s="39" t="str">
        <x:v>XLC</x:v>
      </x:c>
      <x:c r="F241" s="39" t="n">
        <x:v>0.2059341405</x:v>
      </x:c>
      <x:c r="G241" s="39" t="n">
        <x:v>0.803131471</x:v>
      </x:c>
      <x:c r="H241" s="44" t="b">
        <x:v>0</x:v>
      </x:c>
      <x:c r="I241" s="39" t="n">
        <x:v>0.0082016656</x:v>
      </x:c>
    </x:row>
    <x:row r="242" ht="19" customHeight="1">
      <x:c r="A242" s="30" t="str">
        <x:v>stagger_1</x:v>
      </x:c>
      <x:c r="B242" s="39" t="str">
        <x:v>NTR</x:v>
      </x:c>
      <x:c r="C242" s="39" t="str">
        <x:v>Other sectors</x:v>
      </x:c>
      <x:c r="D242" s="31" t="n">
        <x:v>1</x:v>
      </x:c>
      <x:c r="E242" s="39" t="str">
        <x:v>XLE</x:v>
      </x:c>
      <x:c r="F242" s="39" t="n">
        <x:v>0.2836153616</x:v>
      </x:c>
      <x:c r="G242" s="39" t="n">
        <x:v>2.9368333707</x:v>
      </x:c>
      <x:c r="H242" s="44" t="b">
        <x:v>1</x:v>
      </x:c>
      <x:c r="I242" s="39" t="n">
        <x:v>0.0995669982</x:v>
      </x:c>
    </x:row>
    <x:row r="243" ht="19" customHeight="1">
      <x:c r="A243" s="30" t="str">
        <x:v>stagger_1</x:v>
      </x:c>
      <x:c r="B243" s="39" t="str">
        <x:v>NTR</x:v>
      </x:c>
      <x:c r="C243" s="39" t="str">
        <x:v>Other sectors</x:v>
      </x:c>
      <x:c r="D243" s="31" t="n">
        <x:v>1</x:v>
      </x:c>
      <x:c r="E243" s="39" t="str">
        <x:v>XLF</x:v>
      </x:c>
      <x:c r="F243" s="39" t="n">
        <x:v>0.1868545361</x:v>
      </x:c>
      <x:c r="G243" s="39" t="n">
        <x:v>0.7783897007</x:v>
      </x:c>
      <x:c r="H243" s="44" t="b">
        <x:v>0</x:v>
      </x:c>
      <x:c r="I243" s="39" t="n">
        <x:v>0.0077079532</x:v>
      </x:c>
    </x:row>
    <x:row r="244" ht="19" customHeight="1">
      <x:c r="A244" s="30" t="str">
        <x:v>stagger_1</x:v>
      </x:c>
      <x:c r="B244" s="39" t="str">
        <x:v>NTR</x:v>
      </x:c>
      <x:c r="C244" s="39" t="str">
        <x:v>Other sectors</x:v>
      </x:c>
      <x:c r="D244" s="31" t="n">
        <x:v>1</x:v>
      </x:c>
      <x:c r="E244" s="39" t="str">
        <x:v>XLI</x:v>
      </x:c>
      <x:c r="F244" s="39" t="n">
        <x:v>0.1577849615</x:v>
      </x:c>
      <x:c r="G244" s="39" t="n">
        <x:v>0.6232919272</x:v>
      </x:c>
      <x:c r="H244" s="44" t="b">
        <x:v>0</x:v>
      </x:c>
      <x:c r="I244" s="39" t="n">
        <x:v>0.0049559931</x:v>
      </x:c>
    </x:row>
    <x:row r="245" ht="19" customHeight="1">
      <x:c r="A245" s="30" t="str">
        <x:v>stagger_1</x:v>
      </x:c>
      <x:c r="B245" s="39" t="str">
        <x:v>NTR</x:v>
      </x:c>
      <x:c r="C245" s="39" t="str">
        <x:v>Other sectors</x:v>
      </x:c>
      <x:c r="D245" s="31" t="n">
        <x:v>1</x:v>
      </x:c>
      <x:c r="E245" s="39" t="str">
        <x:v>XLK</x:v>
      </x:c>
      <x:c r="F245" s="39" t="n">
        <x:v>-0.5368020843</x:v>
      </x:c>
      <x:c r="G245" s="39" t="n">
        <x:v>-2.4663946637</x:v>
      </x:c>
      <x:c r="H245" s="44" t="b">
        <x:v>0</x:v>
      </x:c>
      <x:c r="I245" s="39" t="n">
        <x:v>0.0723463151</x:v>
      </x:c>
    </x:row>
    <x:row r="246" ht="19" customHeight="1">
      <x:c r="A246" s="30" t="str">
        <x:v>stagger_1</x:v>
      </x:c>
      <x:c r="B246" s="39" t="str">
        <x:v>NTR</x:v>
      </x:c>
      <x:c r="C246" s="39" t="str">
        <x:v>Other sectors</x:v>
      </x:c>
      <x:c r="D246" s="31" t="n">
        <x:v>1</x:v>
      </x:c>
      <x:c r="E246" s="39" t="str">
        <x:v>XLP</x:v>
      </x:c>
      <x:c r="F246" s="39" t="n">
        <x:v>0.120620221</x:v>
      </x:c>
      <x:c r="G246" s="39" t="n">
        <x:v>0.5278861781</x:v>
      </x:c>
      <x:c r="H246" s="44" t="b">
        <x:v>0</x:v>
      </x:c>
      <x:c r="I246" s="39" t="n">
        <x:v>0.0035598949</x:v>
      </x:c>
    </x:row>
    <x:row r="247" ht="19" customHeight="1">
      <x:c r="A247" s="30" t="str">
        <x:v>stagger_1</x:v>
      </x:c>
      <x:c r="B247" s="39" t="str">
        <x:v>NTR</x:v>
      </x:c>
      <x:c r="C247" s="39" t="str">
        <x:v>Other sectors</x:v>
      </x:c>
      <x:c r="D247" s="31" t="n">
        <x:v>1</x:v>
      </x:c>
      <x:c r="E247" s="39" t="str">
        <x:v>XLRE</x:v>
      </x:c>
      <x:c r="F247" s="39" t="n">
        <x:v>0.0662566216</x:v>
      </x:c>
      <x:c r="G247" s="39" t="n">
        <x:v>0.3209016831</x:v>
      </x:c>
      <x:c r="H247" s="44" t="b">
        <x:v>0</x:v>
      </x:c>
      <x:c r="I247" s="39" t="n">
        <x:v>0.0013184887</x:v>
      </x:c>
    </x:row>
    <x:row r="248" ht="19" customHeight="1">
      <x:c r="A248" s="30" t="str">
        <x:v>stagger_1</x:v>
      </x:c>
      <x:c r="B248" s="39" t="str">
        <x:v>NTR</x:v>
      </x:c>
      <x:c r="C248" s="39" t="str">
        <x:v>Other sectors</x:v>
      </x:c>
      <x:c r="D248" s="31" t="n">
        <x:v>1</x:v>
      </x:c>
      <x:c r="E248" s="39" t="str">
        <x:v>XLU</x:v>
      </x:c>
      <x:c r="F248" s="39" t="n">
        <x:v>0.3404950849</x:v>
      </x:c>
      <x:c r="G248" s="39" t="n">
        <x:v>1.9845550188</x:v>
      </x:c>
      <x:c r="H248" s="44" t="b">
        <x:v>0</x:v>
      </x:c>
      <x:c r="I248" s="39" t="n">
        <x:v>0.048066057</x:v>
      </x:c>
    </x:row>
    <x:row r="249" ht="19" customHeight="1">
      <x:c r="A249" s="30" t="str">
        <x:v>stagger_1</x:v>
      </x:c>
      <x:c r="B249" s="39" t="str">
        <x:v>NTR</x:v>
      </x:c>
      <x:c r="C249" s="39" t="str">
        <x:v>Other sectors</x:v>
      </x:c>
      <x:c r="D249" s="31" t="n">
        <x:v>1</x:v>
      </x:c>
      <x:c r="E249" s="39" t="str">
        <x:v>XLV</x:v>
      </x:c>
      <x:c r="F249" s="39" t="n">
        <x:v>0.127040022</x:v>
      </x:c>
      <x:c r="G249" s="39" t="n">
        <x:v>0.6112326375</x:v>
      </x:c>
      <x:c r="H249" s="44" t="b">
        <x:v>0</x:v>
      </x:c>
      <x:c r="I249" s="39" t="n">
        <x:v>0.0047669791</x:v>
      </x:c>
    </x:row>
    <x:row r="250" ht="19" customHeight="1">
      <x:c r="A250" s="30" t="str">
        <x:v>stagger_1</x:v>
      </x:c>
      <x:c r="B250" s="39" t="str">
        <x:v>NTR</x:v>
      </x:c>
      <x:c r="C250" s="39" t="str">
        <x:v>Other sectors</x:v>
      </x:c>
      <x:c r="D250" s="31" t="n">
        <x:v>1</x:v>
      </x:c>
      <x:c r="E250" s="39" t="str">
        <x:v>XLY</x:v>
      </x:c>
      <x:c r="F250" s="39" t="n">
        <x:v>0.1476603065</x:v>
      </x:c>
      <x:c r="G250" s="39" t="n">
        <x:v>0.5973005733</x:v>
      </x:c>
      <x:c r="H250" s="44" t="b">
        <x:v>0</x:v>
      </x:c>
      <x:c r="I250" s="39" t="n">
        <x:v>0.0045531226</x:v>
      </x:c>
    </x:row>
    <x:row r="251" ht="19" customHeight="1">
      <x:c r="A251" s="30" t="str">
        <x:v>stagger_1</x:v>
      </x:c>
      <x:c r="B251" s="39" t="str">
        <x:v>NTR</x:v>
      </x:c>
      <x:c r="C251" s="39" t="str">
        <x:v>Other sectors</x:v>
      </x:c>
      <x:c r="D251" s="31" t="n">
        <x:v>2</x:v>
      </x:c>
      <x:c r="E251" s="39" t="str">
        <x:v>XLC</x:v>
      </x:c>
      <x:c r="F251" s="39" t="n">
        <x:v>0.1578264021</x:v>
      </x:c>
      <x:c r="G251" s="39" t="n">
        <x:v>0.6477222107</x:v>
      </x:c>
      <x:c r="H251" s="44" t="b">
        <x:v>0</x:v>
      </x:c>
      <x:c r="I251" s="39" t="n">
        <x:v>0.0053499936</x:v>
      </x:c>
    </x:row>
    <x:row r="252" ht="19" customHeight="1">
      <x:c r="A252" s="30" t="str">
        <x:v>stagger_1</x:v>
      </x:c>
      <x:c r="B252" s="39" t="str">
        <x:v>NTR</x:v>
      </x:c>
      <x:c r="C252" s="39" t="str">
        <x:v>Other sectors</x:v>
      </x:c>
      <x:c r="D252" s="31" t="n">
        <x:v>2</x:v>
      </x:c>
      <x:c r="E252" s="39" t="str">
        <x:v>XLF</x:v>
      </x:c>
      <x:c r="F252" s="39" t="n">
        <x:v>0.0051933655</x:v>
      </x:c>
      <x:c r="G252" s="39" t="n">
        <x:v>0.0227110814</x:v>
      </x:c>
      <x:c r="H252" s="44" t="b">
        <x:v>0</x:v>
      </x:c>
      <x:c r="I252" s="39" t="n">
        <x:v>0.0000066127</x:v>
      </x:c>
    </x:row>
    <x:row r="253" ht="19" customHeight="1">
      <x:c r="A253" s="30" t="str">
        <x:v>stagger_1</x:v>
      </x:c>
      <x:c r="B253" s="39" t="str">
        <x:v>NTR</x:v>
      </x:c>
      <x:c r="C253" s="39" t="str">
        <x:v>Other sectors</x:v>
      </x:c>
      <x:c r="D253" s="31" t="n">
        <x:v>2</x:v>
      </x:c>
      <x:c r="E253" s="39" t="str">
        <x:v>XLI</x:v>
      </x:c>
      <x:c r="F253" s="39" t="n">
        <x:v>0.0328724009</x:v>
      </x:c>
      <x:c r="G253" s="39" t="n">
        <x:v>0.136522629</x:v>
      </x:c>
      <x:c r="H253" s="44" t="b">
        <x:v>0</x:v>
      </x:c>
      <x:c r="I253" s="39" t="n">
        <x:v>0.0002388971</x:v>
      </x:c>
    </x:row>
    <x:row r="254" ht="19" customHeight="1">
      <x:c r="A254" s="30" t="str">
        <x:v>stagger_1</x:v>
      </x:c>
      <x:c r="B254" s="39" t="str">
        <x:v>NTR</x:v>
      </x:c>
      <x:c r="C254" s="39" t="str">
        <x:v>Other sectors</x:v>
      </x:c>
      <x:c r="D254" s="31" t="n">
        <x:v>2</x:v>
      </x:c>
      <x:c r="E254" s="39" t="str">
        <x:v>XLK</x:v>
      </x:c>
      <x:c r="F254" s="39" t="n">
        <x:v>-0.2891309077</x:v>
      </x:c>
      <x:c r="G254" s="39" t="n">
        <x:v>-1.3643681244</x:v>
      </x:c>
      <x:c r="H254" s="44" t="b">
        <x:v>0</x:v>
      </x:c>
      <x:c r="I254" s="39" t="n">
        <x:v>0.0233091085</x:v>
      </x:c>
    </x:row>
    <x:row r="255" ht="19" customHeight="1">
      <x:c r="A255" s="30" t="str">
        <x:v>stagger_1</x:v>
      </x:c>
      <x:c r="B255" s="39" t="str">
        <x:v>NTR</x:v>
      </x:c>
      <x:c r="C255" s="39" t="str">
        <x:v>Other sectors</x:v>
      </x:c>
      <x:c r="D255" s="31" t="n">
        <x:v>2</x:v>
      </x:c>
      <x:c r="E255" s="39" t="str">
        <x:v>XLP</x:v>
      </x:c>
      <x:c r="F255" s="39" t="n">
        <x:v>0.0375144338</x:v>
      </x:c>
      <x:c r="G255" s="39" t="n">
        <x:v>0.1727434233</x:v>
      </x:c>
      <x:c r="H255" s="44" t="b">
        <x:v>0</x:v>
      </x:c>
      <x:c r="I255" s="39" t="n">
        <x:v>0.0003824215</x:v>
      </x:c>
    </x:row>
    <x:row r="256" ht="19" customHeight="1">
      <x:c r="A256" s="30" t="str">
        <x:v>stagger_1</x:v>
      </x:c>
      <x:c r="B256" s="39" t="str">
        <x:v>NTR</x:v>
      </x:c>
      <x:c r="C256" s="39" t="str">
        <x:v>Other sectors</x:v>
      </x:c>
      <x:c r="D256" s="31" t="n">
        <x:v>2</x:v>
      </x:c>
      <x:c r="E256" s="39" t="str">
        <x:v>XLRE</x:v>
      </x:c>
      <x:c r="F256" s="39" t="n">
        <x:v>-0.0145685883</x:v>
      </x:c>
      <x:c r="G256" s="39" t="n">
        <x:v>-0.0743127534</x:v>
      </x:c>
      <x:c r="H256" s="44" t="b">
        <x:v>0</x:v>
      </x:c>
      <x:c r="I256" s="39" t="n">
        <x:v>0.0000707948</x:v>
      </x:c>
    </x:row>
    <x:row r="257" ht="19" customHeight="1">
      <x:c r="A257" s="30" t="str">
        <x:v>stagger_1</x:v>
      </x:c>
      <x:c r="B257" s="39" t="str">
        <x:v>NTR</x:v>
      </x:c>
      <x:c r="C257" s="39" t="str">
        <x:v>Other sectors</x:v>
      </x:c>
      <x:c r="D257" s="31" t="n">
        <x:v>2</x:v>
      </x:c>
      <x:c r="E257" s="39" t="str">
        <x:v>XLU</x:v>
      </x:c>
      <x:c r="F257" s="39" t="n">
        <x:v>0.3015294968</x:v>
      </x:c>
      <x:c r="G257" s="39" t="n">
        <x:v>1.8460602935</x:v>
      </x:c>
      <x:c r="H257" s="44" t="b">
        <x:v>0</x:v>
      </x:c>
      <x:c r="I257" s="39" t="n">
        <x:v>0.041862485</x:v>
      </x:c>
    </x:row>
    <x:row r="258" ht="19" customHeight="1">
      <x:c r="A258" s="30" t="str">
        <x:v>stagger_1</x:v>
      </x:c>
      <x:c r="B258" s="39" t="str">
        <x:v>NTR</x:v>
      </x:c>
      <x:c r="C258" s="39" t="str">
        <x:v>Other sectors</x:v>
      </x:c>
      <x:c r="D258" s="31" t="n">
        <x:v>2</x:v>
      </x:c>
      <x:c r="E258" s="39" t="str">
        <x:v>XLV</x:v>
      </x:c>
      <x:c r="F258" s="39" t="n">
        <x:v>0.02925752</x:v>
      </x:c>
      <x:c r="G258" s="39" t="n">
        <x:v>0.1480134409</x:v>
      </x:c>
      <x:c r="H258" s="44" t="b">
        <x:v>0</x:v>
      </x:c>
      <x:c r="I258" s="39" t="n">
        <x:v>0.0002807927</x:v>
      </x:c>
    </x:row>
    <x:row r="259" ht="19" customHeight="1">
      <x:c r="A259" s="30" t="str">
        <x:v>stagger_1</x:v>
      </x:c>
      <x:c r="B259" s="39" t="str">
        <x:v>NTR</x:v>
      </x:c>
      <x:c r="C259" s="39" t="str">
        <x:v>Other sectors</x:v>
      </x:c>
      <x:c r="D259" s="31" t="n">
        <x:v>2</x:v>
      </x:c>
      <x:c r="E259" s="39" t="str">
        <x:v>XLY</x:v>
      </x:c>
      <x:c r="F259" s="39" t="n">
        <x:v>0.3145673212</x:v>
      </x:c>
      <x:c r="G259" s="39" t="n">
        <x:v>1.3535285578</x:v>
      </x:c>
      <x:c r="H259" s="44" t="b">
        <x:v>0</x:v>
      </x:c>
      <x:c r="I259" s="39" t="n">
        <x:v>0.0229486753</x:v>
      </x:c>
    </x:row>
    <x:row r="260" ht="19" customHeight="1">
      <x:c r="A260" s="30" t="str">
        <x:v>stagger_1</x:v>
      </x:c>
      <x:c r="B260" s="39" t="str">
        <x:v>LNN</x:v>
      </x:c>
      <x:c r="C260" s="39" t="str">
        <x:v>Other FX</x:v>
      </x:c>
      <x:c r="D260" s="31" t="n">
        <x:v>1</x:v>
      </x:c>
      <x:c r="E260" s="39" t="str">
        <x:v>AUD/USD</x:v>
      </x:c>
      <x:c r="F260" s="39" t="n">
        <x:v>1.0972713827</x:v>
      </x:c>
      <x:c r="G260" s="39" t="n">
        <x:v>3.0161724944</x:v>
      </x:c>
      <x:c r="H260" s="44" t="b">
        <x:v>1</x:v>
      </x:c>
      <x:c r="I260" s="39" t="n">
        <x:v>0.1044498151</x:v>
      </x:c>
    </x:row>
    <x:row r="261" ht="19" customHeight="1">
      <x:c r="A261" s="30" t="str">
        <x:v>stagger_1</x:v>
      </x:c>
      <x:c r="B261" s="39" t="str">
        <x:v>LNN</x:v>
      </x:c>
      <x:c r="C261" s="39" t="str">
        <x:v>Other sectors</x:v>
      </x:c>
      <x:c r="D261" s="31" t="n">
        <x:v>1</x:v>
      </x:c>
      <x:c r="E261" s="39" t="str">
        <x:v>XLB</x:v>
      </x:c>
      <x:c r="F261" s="39" t="n">
        <x:v>0.0426109052</x:v>
      </x:c>
      <x:c r="G261" s="39" t="n">
        <x:v>0.222216443</x:v>
      </x:c>
      <x:c r="H261" s="44" t="b">
        <x:v>0</x:v>
      </x:c>
      <x:c r="I261" s="39" t="n">
        <x:v>0.0006326783</x:v>
      </x:c>
    </x:row>
    <x:row r="262" ht="19" customHeight="1">
      <x:c r="A262" s="30" t="str">
        <x:v>stagger_1</x:v>
      </x:c>
      <x:c r="B262" s="39" t="str">
        <x:v>LNN</x:v>
      </x:c>
      <x:c r="C262" s="39" t="str">
        <x:v>Other sectors</x:v>
      </x:c>
      <x:c r="D262" s="31" t="n">
        <x:v>1</x:v>
      </x:c>
      <x:c r="E262" s="39" t="str">
        <x:v>XLC</x:v>
      </x:c>
      <x:c r="F262" s="39" t="n">
        <x:v>0.44300369</x:v>
      </x:c>
      <x:c r="G262" s="39" t="n">
        <x:v>1.721993715</x:v>
      </x:c>
      <x:c r="H262" s="44" t="b">
        <x:v>0</x:v>
      </x:c>
      <x:c r="I262" s="39" t="n">
        <x:v>0.0366238837</x:v>
      </x:c>
    </x:row>
    <x:row r="263" ht="19" customHeight="1">
      <x:c r="A263" s="30" t="str">
        <x:v>stagger_1</x:v>
      </x:c>
      <x:c r="B263" s="39" t="str">
        <x:v>LNN</x:v>
      </x:c>
      <x:c r="C263" s="39" t="str">
        <x:v>Other sectors</x:v>
      </x:c>
      <x:c r="D263" s="31" t="n">
        <x:v>1</x:v>
      </x:c>
      <x:c r="E263" s="39" t="str">
        <x:v>XLE</x:v>
      </x:c>
      <x:c r="F263" s="39" t="n">
        <x:v>-0.1739296644</x:v>
      </x:c>
      <x:c r="G263" s="39" t="n">
        <x:v>-1.7099861949</x:v>
      </x:c>
      <x:c r="H263" s="44" t="b">
        <x:v>0</x:v>
      </x:c>
      <x:c r="I263" s="39" t="n">
        <x:v>0.0361332964</x:v>
      </x:c>
    </x:row>
    <x:row r="264" ht="19" customHeight="1">
      <x:c r="A264" s="30" t="str">
        <x:v>stagger_1</x:v>
      </x:c>
      <x:c r="B264" s="39" t="str">
        <x:v>LNN</x:v>
      </x:c>
      <x:c r="C264" s="39" t="str">
        <x:v>Other sectors</x:v>
      </x:c>
      <x:c r="D264" s="31" t="n">
        <x:v>1</x:v>
      </x:c>
      <x:c r="E264" s="39" t="str">
        <x:v>XLF</x:v>
      </x:c>
      <x:c r="F264" s="39" t="n">
        <x:v>0.1474390119</x:v>
      </x:c>
      <x:c r="G264" s="39" t="n">
        <x:v>0.6024010094</x:v>
      </x:c>
      <x:c r="H264" s="44" t="b">
        <x:v>0</x:v>
      </x:c>
      <x:c r="I264" s="39" t="n">
        <x:v>0.0046308526</x:v>
      </x:c>
    </x:row>
    <x:row r="265" ht="19" customHeight="1">
      <x:c r="A265" s="30" t="str">
        <x:v>stagger_1</x:v>
      </x:c>
      <x:c r="B265" s="39" t="str">
        <x:v>LNN</x:v>
      </x:c>
      <x:c r="C265" s="39" t="str">
        <x:v>Other sectors</x:v>
      </x:c>
      <x:c r="D265" s="31" t="n">
        <x:v>1</x:v>
      </x:c>
      <x:c r="E265" s="39" t="str">
        <x:v>XLK</x:v>
      </x:c>
      <x:c r="F265" s="39" t="n">
        <x:v>0.0753301941</x:v>
      </x:c>
      <x:c r="G265" s="39" t="n">
        <x:v>0.3276885837</x:v>
      </x:c>
      <x:c r="H265" s="44" t="b">
        <x:v>0</x:v>
      </x:c>
      <x:c r="I265" s="39" t="n">
        <x:v>0.0013747716</x:v>
      </x:c>
    </x:row>
    <x:row r="266" ht="19" customHeight="1">
      <x:c r="A266" s="30" t="str">
        <x:v>stagger_1</x:v>
      </x:c>
      <x:c r="B266" s="39" t="str">
        <x:v>LNN</x:v>
      </x:c>
      <x:c r="C266" s="39" t="str">
        <x:v>Other sectors</x:v>
      </x:c>
      <x:c r="D266" s="31" t="n">
        <x:v>1</x:v>
      </x:c>
      <x:c r="E266" s="39" t="str">
        <x:v>XLP</x:v>
      </x:c>
      <x:c r="F266" s="39" t="n">
        <x:v>0.199206611</x:v>
      </x:c>
      <x:c r="G266" s="39" t="n">
        <x:v>0.8589063423</x:v>
      </x:c>
      <x:c r="H266" s="44" t="b">
        <x:v>0</x:v>
      </x:c>
      <x:c r="I266" s="39" t="n">
        <x:v>0.0093693354</x:v>
      </x:c>
    </x:row>
    <x:row r="267" ht="19" customHeight="1">
      <x:c r="A267" s="30" t="str">
        <x:v>stagger_1</x:v>
      </x:c>
      <x:c r="B267" s="39" t="str">
        <x:v>LNN</x:v>
      </x:c>
      <x:c r="C267" s="39" t="str">
        <x:v>Other sectors</x:v>
      </x:c>
      <x:c r="D267" s="31" t="n">
        <x:v>1</x:v>
      </x:c>
      <x:c r="E267" s="39" t="str">
        <x:v>XLRE</x:v>
      </x:c>
      <x:c r="F267" s="39" t="n">
        <x:v>-0.1576545495</x:v>
      </x:c>
      <x:c r="G267" s="39" t="n">
        <x:v>-0.7522890614</x:v>
      </x:c>
      <x:c r="H267" s="44" t="b">
        <x:v>0</x:v>
      </x:c>
      <x:c r="I267" s="39" t="n">
        <x:v>0.0072033612</x:v>
      </x:c>
    </x:row>
    <x:row r="268" ht="19" customHeight="1">
      <x:c r="A268" s="30" t="str">
        <x:v>stagger_1</x:v>
      </x:c>
      <x:c r="B268" s="39" t="str">
        <x:v>LNN</x:v>
      </x:c>
      <x:c r="C268" s="39" t="str">
        <x:v>Other sectors</x:v>
      </x:c>
      <x:c r="D268" s="31" t="n">
        <x:v>1</x:v>
      </x:c>
      <x:c r="E268" s="39" t="str">
        <x:v>XLU</x:v>
      </x:c>
      <x:c r="F268" s="39" t="n">
        <x:v>-0.0290653798</x:v>
      </x:c>
      <x:c r="G268" s="39" t="n">
        <x:v>-0.1623892524</x:v>
      </x:c>
      <x:c r="H268" s="44" t="b">
        <x:v>0</x:v>
      </x:c>
      <x:c r="I268" s="39" t="n">
        <x:v>0.0003379661</x:v>
      </x:c>
    </x:row>
    <x:row r="269" ht="19" customHeight="1">
      <x:c r="A269" s="30" t="str">
        <x:v>stagger_1</x:v>
      </x:c>
      <x:c r="B269" s="39" t="str">
        <x:v>LNN</x:v>
      </x:c>
      <x:c r="C269" s="39" t="str">
        <x:v>Other sectors</x:v>
      </x:c>
      <x:c r="D269" s="31" t="n">
        <x:v>1</x:v>
      </x:c>
      <x:c r="E269" s="39" t="str">
        <x:v>XLV</x:v>
      </x:c>
      <x:c r="F269" s="39" t="n">
        <x:v>0.1100380382</x:v>
      </x:c>
      <x:c r="G269" s="39" t="n">
        <x:v>0.5197255443</x:v>
      </x:c>
      <x:c r="H269" s="44" t="b">
        <x:v>0</x:v>
      </x:c>
      <x:c r="I269" s="39" t="n">
        <x:v>0.0034510572</x:v>
      </x:c>
    </x:row>
    <x:row r="270" ht="19" customHeight="1">
      <x:c r="A270" s="30" t="str">
        <x:v>stagger_1</x:v>
      </x:c>
      <x:c r="B270" s="39" t="str">
        <x:v>LNN</x:v>
      </x:c>
      <x:c r="C270" s="39" t="str">
        <x:v>Other sectors</x:v>
      </x:c>
      <x:c r="D270" s="31" t="n">
        <x:v>1</x:v>
      </x:c>
      <x:c r="E270" s="39" t="str">
        <x:v>XLY</x:v>
      </x:c>
      <x:c r="F270" s="39" t="n">
        <x:v>0.44219958</x:v>
      </x:c>
      <x:c r="G270" s="39" t="n">
        <x:v>1.7887018922</x:v>
      </x:c>
      <x:c r="H270" s="44" t="b">
        <x:v>0</x:v>
      </x:c>
      <x:c r="I270" s="39" t="n">
        <x:v>0.0394024132</x:v>
      </x:c>
    </x:row>
    <x:row r="271" ht="19" customHeight="1">
      <x:c r="A271" s="30" t="str">
        <x:v>stagger_1</x:v>
      </x:c>
      <x:c r="B271" s="39" t="str">
        <x:v>WDC</x:v>
      </x:c>
      <x:c r="C271" s="39" t="str">
        <x:v>Other FX</x:v>
      </x:c>
      <x:c r="D271" s="31" t="n">
        <x:v>1</x:v>
      </x:c>
      <x:c r="E271" s="39" t="str">
        <x:v>AUD/USD</x:v>
      </x:c>
      <x:c r="F271" s="39" t="n">
        <x:v>1.8996132701</x:v>
      </x:c>
      <x:c r="G271" s="39" t="n">
        <x:v>2.0854923087</x:v>
      </x:c>
      <x:c r="H271" s="44" t="b">
        <x:v>1</x:v>
      </x:c>
      <x:c r="I271" s="39" t="n">
        <x:v>0.0528150127</x:v>
      </x:c>
    </x:row>
    <x:row r="272" ht="19" customHeight="1">
      <x:c r="A272" s="30" t="str">
        <x:v>stagger_1</x:v>
      </x:c>
      <x:c r="B272" s="39" t="str">
        <x:v>WDC</x:v>
      </x:c>
      <x:c r="C272" s="39" t="str">
        <x:v>Other sectors</x:v>
      </x:c>
      <x:c r="D272" s="31" t="n">
        <x:v>1</x:v>
      </x:c>
      <x:c r="E272" s="39" t="str">
        <x:v>XLB</x:v>
      </x:c>
      <x:c r="F272" s="39" t="n">
        <x:v>1.1058076206</x:v>
      </x:c>
      <x:c r="G272" s="39" t="n">
        <x:v>2.7969136182</x:v>
      </x:c>
      <x:c r="H272" s="44" t="b">
        <x:v>0</x:v>
      </x:c>
      <x:c r="I272" s="39" t="n">
        <x:v>0.0911498174</x:v>
      </x:c>
    </x:row>
    <x:row r="273" ht="19" customHeight="1">
      <x:c r="A273" s="30" t="str">
        <x:v>stagger_1</x:v>
      </x:c>
      <x:c r="B273" s="39" t="str">
        <x:v>WDC</x:v>
      </x:c>
      <x:c r="C273" s="39" t="str">
        <x:v>Other sectors</x:v>
      </x:c>
      <x:c r="D273" s="31" t="n">
        <x:v>1</x:v>
      </x:c>
      <x:c r="E273" s="39" t="str">
        <x:v>XLC</x:v>
      </x:c>
      <x:c r="F273" s="39" t="n">
        <x:v>-0.4817167666</x:v>
      </x:c>
      <x:c r="G273" s="39" t="n">
        <x:v>-0.854009143</x:v>
      </x:c>
      <x:c r="H273" s="44" t="b">
        <x:v>0</x:v>
      </x:c>
      <x:c r="I273" s="39" t="n">
        <x:v>0.0092637852</x:v>
      </x:c>
    </x:row>
    <x:row r="274" ht="19" customHeight="1">
      <x:c r="A274" s="30" t="str">
        <x:v>stagger_1</x:v>
      </x:c>
      <x:c r="B274" s="39" t="str">
        <x:v>WDC</x:v>
      </x:c>
      <x:c r="C274" s="39" t="str">
        <x:v>Other sectors</x:v>
      </x:c>
      <x:c r="D274" s="31" t="n">
        <x:v>1</x:v>
      </x:c>
      <x:c r="E274" s="39" t="str">
        <x:v>XLE</x:v>
      </x:c>
      <x:c r="F274" s="39" t="n">
        <x:v>0.2584711915</x:v>
      </x:c>
      <x:c r="G274" s="39" t="n">
        <x:v>1.1638739808</x:v>
      </x:c>
      <x:c r="H274" s="44" t="b">
        <x:v>0</x:v>
      </x:c>
      <x:c r="I274" s="39" t="n">
        <x:v>0.0170702467</x:v>
      </x:c>
    </x:row>
    <x:row r="275" ht="19" customHeight="1">
      <x:c r="A275" s="30" t="str">
        <x:v>stagger_1</x:v>
      </x:c>
      <x:c r="B275" s="39" t="str">
        <x:v>WDC</x:v>
      </x:c>
      <x:c r="C275" s="39" t="str">
        <x:v>Other sectors</x:v>
      </x:c>
      <x:c r="D275" s="31" t="n">
        <x:v>1</x:v>
      </x:c>
      <x:c r="E275" s="39" t="str">
        <x:v>XLF</x:v>
      </x:c>
      <x:c r="F275" s="39" t="n">
        <x:v>0.3339549715</x:v>
      </x:c>
      <x:c r="G275" s="39" t="n">
        <x:v>0.6312295766</x:v>
      </x:c>
      <x:c r="H275" s="44" t="b">
        <x:v>0</x:v>
      </x:c>
      <x:c r="I275" s="39" t="n">
        <x:v>0.0050823808</x:v>
      </x:c>
    </x:row>
    <x:row r="276" ht="19" customHeight="1">
      <x:c r="A276" s="30" t="str">
        <x:v>stagger_1</x:v>
      </x:c>
      <x:c r="B276" s="39" t="str">
        <x:v>WDC</x:v>
      </x:c>
      <x:c r="C276" s="39" t="str">
        <x:v>Other sectors</x:v>
      </x:c>
      <x:c r="D276" s="31" t="n">
        <x:v>1</x:v>
      </x:c>
      <x:c r="E276" s="39" t="str">
        <x:v>XLI</x:v>
      </x:c>
      <x:c r="F276" s="39" t="n">
        <x:v>1.735408514</x:v>
      </x:c>
      <x:c r="G276" s="39" t="n">
        <x:v>3.3190650583</x:v>
      </x:c>
      <x:c r="H276" s="44" t="b">
        <x:v>1</x:v>
      </x:c>
      <x:c r="I276" s="39" t="n">
        <x:v>0.1237549316</x:v>
      </x:c>
    </x:row>
    <x:row r="277" ht="19" customHeight="1">
      <x:c r="A277" s="30" t="str">
        <x:v>stagger_1</x:v>
      </x:c>
      <x:c r="B277" s="39" t="str">
        <x:v>WDC</x:v>
      </x:c>
      <x:c r="C277" s="39" t="str">
        <x:v>Other sectors</x:v>
      </x:c>
      <x:c r="D277" s="31" t="n">
        <x:v>1</x:v>
      </x:c>
      <x:c r="E277" s="39" t="str">
        <x:v>XLP</x:v>
      </x:c>
      <x:c r="F277" s="39" t="n">
        <x:v>-0.2042096463</x:v>
      </x:c>
      <x:c r="G277" s="39" t="n">
        <x:v>-0.4057510646</x:v>
      </x:c>
      <x:c r="H277" s="44" t="b">
        <x:v>0</x:v>
      </x:c>
      <x:c r="I277" s="39" t="n">
        <x:v>0.0021062457</x:v>
      </x:c>
    </x:row>
    <x:row r="278" ht="19" customHeight="1">
      <x:c r="A278" s="30" t="str">
        <x:v>stagger_1</x:v>
      </x:c>
      <x:c r="B278" s="39" t="str">
        <x:v>WDC</x:v>
      </x:c>
      <x:c r="C278" s="39" t="str">
        <x:v>Other sectors</x:v>
      </x:c>
      <x:c r="D278" s="31" t="n">
        <x:v>1</x:v>
      </x:c>
      <x:c r="E278" s="39" t="str">
        <x:v>XLRE</x:v>
      </x:c>
      <x:c r="F278" s="39" t="n">
        <x:v>-0.2227220914</x:v>
      </x:c>
      <x:c r="G278" s="39" t="n">
        <x:v>-0.4905329131</x:v>
      </x:c>
      <x:c r="H278" s="44" t="b">
        <x:v>0</x:v>
      </x:c>
      <x:c r="I278" s="39" t="n">
        <x:v>0.003075417</x:v>
      </x:c>
    </x:row>
    <x:row r="279" ht="19" customHeight="1">
      <x:c r="A279" s="30" t="str">
        <x:v>stagger_1</x:v>
      </x:c>
      <x:c r="B279" s="39" t="str">
        <x:v>WDC</x:v>
      </x:c>
      <x:c r="C279" s="39" t="str">
        <x:v>Other sectors</x:v>
      </x:c>
      <x:c r="D279" s="31" t="n">
        <x:v>1</x:v>
      </x:c>
      <x:c r="E279" s="39" t="str">
        <x:v>XLU</x:v>
      </x:c>
      <x:c r="F279" s="39" t="n">
        <x:v>-0.0506318919</x:v>
      </x:c>
      <x:c r="G279" s="39" t="n">
        <x:v>-0.1308299877</x:v>
      </x:c>
      <x:c r="H279" s="44" t="b">
        <x:v>0</x:v>
      </x:c>
      <x:c r="I279" s="39" t="n">
        <x:v>0.000219394</x:v>
      </x:c>
    </x:row>
    <x:row r="280" ht="19" customHeight="1">
      <x:c r="A280" s="30" t="str">
        <x:v>stagger_1</x:v>
      </x:c>
      <x:c r="B280" s="39" t="str">
        <x:v>WDC</x:v>
      </x:c>
      <x:c r="C280" s="39" t="str">
        <x:v>Other sectors</x:v>
      </x:c>
      <x:c r="D280" s="31" t="n">
        <x:v>1</x:v>
      </x:c>
      <x:c r="E280" s="39" t="str">
        <x:v>XLV</x:v>
      </x:c>
      <x:c r="F280" s="39" t="n">
        <x:v>-0.4489515451</x:v>
      </x:c>
      <x:c r="G280" s="39" t="n">
        <x:v>-0.9851281105</x:v>
      </x:c>
      <x:c r="H280" s="44" t="b">
        <x:v>0</x:v>
      </x:c>
      <x:c r="I280" s="39" t="n">
        <x:v>0.0122891165</x:v>
      </x:c>
    </x:row>
    <x:row r="281" ht="19" customHeight="1">
      <x:c r="A281" s="30" t="str">
        <x:v>stagger_1</x:v>
      </x:c>
      <x:c r="B281" s="39" t="str">
        <x:v>WDC</x:v>
      </x:c>
      <x:c r="C281" s="39" t="str">
        <x:v>Other sectors</x:v>
      </x:c>
      <x:c r="D281" s="31" t="n">
        <x:v>1</x:v>
      </x:c>
      <x:c r="E281" s="39" t="str">
        <x:v>XLY</x:v>
      </x:c>
      <x:c r="F281" s="39" t="n">
        <x:v>-0.3556790339</x:v>
      </x:c>
      <x:c r="G281" s="39" t="n">
        <x:v>-0.6539788126</x:v>
      </x:c>
      <x:c r="H281" s="44" t="b">
        <x:v>0</x:v>
      </x:c>
      <x:c r="I281" s="39" t="n">
        <x:v>0.0054532818</x:v>
      </x:c>
    </x:row>
    <x:row r="282" ht="19" customHeight="1">
      <x:c r="A282" s="30" t="str">
        <x:v>stagger_1</x:v>
      </x:c>
      <x:c r="B282" s="39" t="str">
        <x:v>WDC</x:v>
      </x:c>
      <x:c r="C282" s="39" t="str">
        <x:v>Other sectors</x:v>
      </x:c>
      <x:c r="D282" s="31" t="n">
        <x:v>2</x:v>
      </x:c>
      <x:c r="E282" s="39" t="str">
        <x:v>XLB</x:v>
      </x:c>
      <x:c r="F282" s="39" t="n">
        <x:v>0.0881367018</x:v>
      </x:c>
      <x:c r="G282" s="39" t="n">
        <x:v>0.2271083848</x:v>
      </x:c>
      <x:c r="H282" s="44" t="b">
        <x:v>0</x:v>
      </x:c>
      <x:c r="I282" s="39" t="n">
        <x:v>0.0006608222</x:v>
      </x:c>
    </x:row>
    <x:row r="283" ht="19" customHeight="1">
      <x:c r="A283" s="30" t="str">
        <x:v>stagger_1</x:v>
      </x:c>
      <x:c r="B283" s="39" t="str">
        <x:v>WDC</x:v>
      </x:c>
      <x:c r="C283" s="39" t="str">
        <x:v>Other sectors</x:v>
      </x:c>
      <x:c r="D283" s="31" t="n">
        <x:v>2</x:v>
      </x:c>
      <x:c r="E283" s="39" t="str">
        <x:v>XLC</x:v>
      </x:c>
      <x:c r="F283" s="39" t="n">
        <x:v>-0.2332424261</x:v>
      </x:c>
      <x:c r="G283" s="39" t="n">
        <x:v>-0.4402338247</x:v>
      </x:c>
      <x:c r="H283" s="44" t="b">
        <x:v>0</x:v>
      </x:c>
      <x:c r="I283" s="39" t="n">
        <x:v>0.0024785316</x:v>
      </x:c>
    </x:row>
    <x:row r="284" ht="19" customHeight="1">
      <x:c r="A284" s="30" t="str">
        <x:v>stagger_1</x:v>
      </x:c>
      <x:c r="B284" s="39" t="str">
        <x:v>WDC</x:v>
      </x:c>
      <x:c r="C284" s="39" t="str">
        <x:v>Other sectors</x:v>
      </x:c>
      <x:c r="D284" s="31" t="n">
        <x:v>2</x:v>
      </x:c>
      <x:c r="E284" s="39" t="str">
        <x:v>XLE</x:v>
      </x:c>
      <x:c r="F284" s="39" t="n">
        <x:v>0.1355514484</x:v>
      </x:c>
      <x:c r="G284" s="39" t="n">
        <x:v>0.6482059528</x:v>
      </x:c>
      <x:c r="H284" s="44" t="b">
        <x:v>0</x:v>
      </x:c>
      <x:c r="I284" s="39" t="n">
        <x:v>0.0053579449</x:v>
      </x:c>
    </x:row>
    <x:row r="285" ht="19" customHeight="1">
      <x:c r="A285" s="30" t="str">
        <x:v>stagger_1</x:v>
      </x:c>
      <x:c r="B285" s="39" t="str">
        <x:v>WDC</x:v>
      </x:c>
      <x:c r="C285" s="39" t="str">
        <x:v>Other sectors</x:v>
      </x:c>
      <x:c r="D285" s="31" t="n">
        <x:v>2</x:v>
      </x:c>
      <x:c r="E285" s="39" t="str">
        <x:v>XLF</x:v>
      </x:c>
      <x:c r="F285" s="39" t="n">
        <x:v>-0.1993056081</x:v>
      </x:c>
      <x:c r="G285" s="39" t="n">
        <x:v>-0.40183594</x:v>
      </x:c>
      <x:c r="H285" s="44" t="b">
        <x:v>0</x:v>
      </x:c>
      <x:c r="I285" s="39" t="n">
        <x:v>0.0020658787</x:v>
      </x:c>
    </x:row>
    <x:row r="286" ht="19" customHeight="1">
      <x:c r="A286" s="30" t="str">
        <x:v>stagger_1</x:v>
      </x:c>
      <x:c r="B286" s="39" t="str">
        <x:v>WDC</x:v>
      </x:c>
      <x:c r="C286" s="39" t="str">
        <x:v>Other sectors</x:v>
      </x:c>
      <x:c r="D286" s="31" t="n">
        <x:v>2</x:v>
      </x:c>
      <x:c r="E286" s="39" t="str">
        <x:v>XLP</x:v>
      </x:c>
      <x:c r="F286" s="39" t="n">
        <x:v>-0.8731957969</x:v>
      </x:c>
      <x:c r="G286" s="39" t="n">
        <x:v>-1.8935814924</x:v>
      </x:c>
      <x:c r="H286" s="44" t="b">
        <x:v>0</x:v>
      </x:c>
      <x:c r="I286" s="39" t="n">
        <x:v>0.0439495283</x:v>
      </x:c>
    </x:row>
    <x:row r="287" ht="19" customHeight="1">
      <x:c r="A287" s="30" t="str">
        <x:v>stagger_1</x:v>
      </x:c>
      <x:c r="B287" s="39" t="str">
        <x:v>WDC</x:v>
      </x:c>
      <x:c r="C287" s="39" t="str">
        <x:v>Other sectors</x:v>
      </x:c>
      <x:c r="D287" s="31" t="n">
        <x:v>2</x:v>
      </x:c>
      <x:c r="E287" s="39" t="str">
        <x:v>XLRE</x:v>
      </x:c>
      <x:c r="F287" s="39" t="n">
        <x:v>-0.6020758287</x:v>
      </x:c>
      <x:c r="G287" s="39" t="n">
        <x:v>-1.4329019597</x:v>
      </x:c>
      <x:c r="H287" s="44" t="b">
        <x:v>0</x:v>
      </x:c>
      <x:c r="I287" s="39" t="n">
        <x:v>0.0256480418</x:v>
      </x:c>
    </x:row>
    <x:row r="288" ht="19" customHeight="1">
      <x:c r="A288" s="30" t="str">
        <x:v>stagger_1</x:v>
      </x:c>
      <x:c r="B288" s="39" t="str">
        <x:v>WDC</x:v>
      </x:c>
      <x:c r="C288" s="39" t="str">
        <x:v>Other sectors</x:v>
      </x:c>
      <x:c r="D288" s="31" t="n">
        <x:v>2</x:v>
      </x:c>
      <x:c r="E288" s="39" t="str">
        <x:v>XLU</x:v>
      </x:c>
      <x:c r="F288" s="39" t="n">
        <x:v>-0.5062142686</x:v>
      </x:c>
      <x:c r="G288" s="39" t="n">
        <x:v>-1.4150146378</x:v>
      </x:c>
      <x:c r="H288" s="44" t="b">
        <x:v>0</x:v>
      </x:c>
      <x:c r="I288" s="39" t="n">
        <x:v>0.0250276213</x:v>
      </x:c>
    </x:row>
    <x:row r="289" ht="19" customHeight="1">
      <x:c r="A289" s="30" t="str">
        <x:v>stagger_1</x:v>
      </x:c>
      <x:c r="B289" s="39" t="str">
        <x:v>WDC</x:v>
      </x:c>
      <x:c r="C289" s="39" t="str">
        <x:v>Other sectors</x:v>
      </x:c>
      <x:c r="D289" s="31" t="n">
        <x:v>2</x:v>
      </x:c>
      <x:c r="E289" s="39" t="str">
        <x:v>XLV</x:v>
      </x:c>
      <x:c r="F289" s="39" t="n">
        <x:v>-0.6738097014</x:v>
      </x:c>
      <x:c r="G289" s="39" t="n">
        <x:v>-1.5951566447</x:v>
      </x:c>
      <x:c r="H289" s="44" t="b">
        <x:v>0</x:v>
      </x:c>
      <x:c r="I289" s="39" t="n">
        <x:v>0.0315915294</x:v>
      </x:c>
    </x:row>
    <x:row r="290" ht="19" customHeight="1">
      <x:c r="A290" s="30" t="str">
        <x:v>stagger_1</x:v>
      </x:c>
      <x:c r="B290" s="39" t="str">
        <x:v>WDC</x:v>
      </x:c>
      <x:c r="C290" s="39" t="str">
        <x:v>Other sectors</x:v>
      </x:c>
      <x:c r="D290" s="31" t="n">
        <x:v>2</x:v>
      </x:c>
      <x:c r="E290" s="39" t="str">
        <x:v>XLY</x:v>
      </x:c>
      <x:c r="F290" s="39" t="n">
        <x:v>-0.1506907836</x:v>
      </x:c>
      <x:c r="G290" s="39" t="n">
        <x:v>-0.2953483944</x:v>
      </x:c>
      <x:c r="H290" s="44" t="b">
        <x:v>0</x:v>
      </x:c>
      <x:c r="I290" s="39" t="n">
        <x:v>0.0011170927</x:v>
      </x:c>
    </x:row>
    <x:row r="291" ht="19" customHeight="1">
      <x:c r="A291" s="30" t="str">
        <x:v>stagger_1</x:v>
      </x:c>
      <x:c r="B291" s="39" t="str">
        <x:v>ASND</x:v>
      </x:c>
      <x:c r="C291" s="39" t="str">
        <x:v>Other FX</x:v>
      </x:c>
      <x:c r="D291" s="31" t="n">
        <x:v>1</x:v>
      </x:c>
      <x:c r="E291" s="39" t="str">
        <x:v>AUD/USD</x:v>
      </x:c>
      <x:c r="F291" s="39" t="n">
        <x:v>0.5264076415</x:v>
      </x:c>
      <x:c r="G291" s="39" t="n">
        <x:v>1.0006687989</x:v>
      </x:c>
      <x:c r="H291" s="44" t="b">
        <x:v>0</x:v>
      </x:c>
      <x:c r="I291" s="39" t="n">
        <x:v>0.0126749504</x:v>
      </x:c>
    </x:row>
    <x:row r="292" ht="19" customHeight="1">
      <x:c r="A292" s="30" t="str">
        <x:v>stagger_1</x:v>
      </x:c>
      <x:c r="B292" s="39" t="str">
        <x:v>ASND</x:v>
      </x:c>
      <x:c r="C292" s="39" t="str">
        <x:v>Other sectors</x:v>
      </x:c>
      <x:c r="D292" s="31" t="n">
        <x:v>1</x:v>
      </x:c>
      <x:c r="E292" s="39" t="str">
        <x:v>XLB</x:v>
      </x:c>
      <x:c r="F292" s="39" t="n">
        <x:v>-0.3859516714</x:v>
      </x:c>
      <x:c r="G292" s="39" t="n">
        <x:v>-1.3146129933</x:v>
      </x:c>
      <x:c r="H292" s="44" t="b">
        <x:v>0</x:v>
      </x:c>
      <x:c r="I292" s="39" t="n">
        <x:v>0.0216762345</x:v>
      </x:c>
    </x:row>
    <x:row r="293" ht="19" customHeight="1">
      <x:c r="A293" s="30" t="str">
        <x:v>stagger_1</x:v>
      </x:c>
      <x:c r="B293" s="39" t="str">
        <x:v>ASND</x:v>
      </x:c>
      <x:c r="C293" s="39" t="str">
        <x:v>Other sectors</x:v>
      </x:c>
      <x:c r="D293" s="31" t="n">
        <x:v>1</x:v>
      </x:c>
      <x:c r="E293" s="39" t="str">
        <x:v>XLC</x:v>
      </x:c>
      <x:c r="F293" s="39" t="n">
        <x:v>0.3057370762</x:v>
      </x:c>
      <x:c r="G293" s="39" t="n">
        <x:v>0.7565649868</x:v>
      </x:c>
      <x:c r="H293" s="44" t="b">
        <x:v>0</x:v>
      </x:c>
      <x:c r="I293" s="39" t="n">
        <x:v>0.0072848818</x:v>
      </x:c>
    </x:row>
    <x:row r="294" ht="19" customHeight="1">
      <x:c r="A294" s="30" t="str">
        <x:v>stagger_1</x:v>
      </x:c>
      <x:c r="B294" s="39" t="str">
        <x:v>ASND</x:v>
      </x:c>
      <x:c r="C294" s="39" t="str">
        <x:v>Other sectors</x:v>
      </x:c>
      <x:c r="D294" s="31" t="n">
        <x:v>1</x:v>
      </x:c>
      <x:c r="E294" s="39" t="str">
        <x:v>XLE</x:v>
      </x:c>
      <x:c r="F294" s="39" t="n">
        <x:v>0.1816255264</x:v>
      </x:c>
      <x:c r="G294" s="39" t="n">
        <x:v>1.1423401323</x:v>
      </x:c>
      <x:c r="H294" s="44" t="b">
        <x:v>0</x:v>
      </x:c>
      <x:c r="I294" s="39" t="n">
        <x:v>0.0164547248</x:v>
      </x:c>
    </x:row>
    <x:row r="295" ht="19" customHeight="1">
      <x:c r="A295" s="30" t="str">
        <x:v>stagger_1</x:v>
      </x:c>
      <x:c r="B295" s="39" t="str">
        <x:v>ASND</x:v>
      </x:c>
      <x:c r="C295" s="39" t="str">
        <x:v>Other sectors</x:v>
      </x:c>
      <x:c r="D295" s="31" t="n">
        <x:v>1</x:v>
      </x:c>
      <x:c r="E295" s="39" t="str">
        <x:v>XLF</x:v>
      </x:c>
      <x:c r="F295" s="39" t="n">
        <x:v>0.1213920548</x:v>
      </x:c>
      <x:c r="G295" s="39" t="n">
        <x:v>0.3199843829</x:v>
      </x:c>
      <x:c r="H295" s="44" t="b">
        <x:v>0</x:v>
      </x:c>
      <x:c r="I295" s="39" t="n">
        <x:v>0.0013109715</x:v>
      </x:c>
    </x:row>
    <x:row r="296" ht="19" customHeight="1">
      <x:c r="A296" s="30" t="str">
        <x:v>stagger_1</x:v>
      </x:c>
      <x:c r="B296" s="39" t="str">
        <x:v>ASND</x:v>
      </x:c>
      <x:c r="C296" s="39" t="str">
        <x:v>Other sectors</x:v>
      </x:c>
      <x:c r="D296" s="31" t="n">
        <x:v>1</x:v>
      </x:c>
      <x:c r="E296" s="39" t="str">
        <x:v>XLI</x:v>
      </x:c>
      <x:c r="F296" s="39" t="n">
        <x:v>-0.3530755857</x:v>
      </x:c>
      <x:c r="G296" s="39" t="n">
        <x:v>-0.8876416605</x:v>
      </x:c>
      <x:c r="H296" s="44" t="b">
        <x:v>0</x:v>
      </x:c>
      <x:c r="I296" s="39" t="n">
        <x:v>0.0100003635</x:v>
      </x:c>
    </x:row>
    <x:row r="297" ht="19" customHeight="1">
      <x:c r="A297" s="30" t="str">
        <x:v>stagger_1</x:v>
      </x:c>
      <x:c r="B297" s="39" t="str">
        <x:v>ASND</x:v>
      </x:c>
      <x:c r="C297" s="39" t="str">
        <x:v>Other sectors</x:v>
      </x:c>
      <x:c r="D297" s="31" t="n">
        <x:v>1</x:v>
      </x:c>
      <x:c r="E297" s="39" t="str">
        <x:v>XLK</x:v>
      </x:c>
      <x:c r="F297" s="39" t="n">
        <x:v>-0.1308144262</x:v>
      </x:c>
      <x:c r="G297" s="39" t="n">
        <x:v>-0.3678016765</x:v>
      </x:c>
      <x:c r="H297" s="44" t="b">
        <x:v>0</x:v>
      </x:c>
      <x:c r="I297" s="39" t="n">
        <x:v>0.0017313316</x:v>
      </x:c>
    </x:row>
    <x:row r="298" ht="19" customHeight="1">
      <x:c r="A298" s="30" t="str">
        <x:v>stagger_1</x:v>
      </x:c>
      <x:c r="B298" s="39" t="str">
        <x:v>ASND</x:v>
      </x:c>
      <x:c r="C298" s="39" t="str">
        <x:v>Other sectors</x:v>
      </x:c>
      <x:c r="D298" s="31" t="n">
        <x:v>1</x:v>
      </x:c>
      <x:c r="E298" s="39" t="str">
        <x:v>XLP</x:v>
      </x:c>
      <x:c r="F298" s="39" t="n">
        <x:v>-0.1391076472</x:v>
      </x:c>
      <x:c r="G298" s="39" t="n">
        <x:v>-0.3861463715</x:v>
      </x:c>
      <x:c r="H298" s="44" t="b">
        <x:v>0</x:v>
      </x:c>
      <x:c r="I298" s="39" t="n">
        <x:v>0.0019080067</x:v>
      </x:c>
    </x:row>
    <x:row r="299" ht="19" customHeight="1">
      <x:c r="A299" s="30" t="str">
        <x:v>stagger_1</x:v>
      </x:c>
      <x:c r="B299" s="39" t="str">
        <x:v>ASND</x:v>
      </x:c>
      <x:c r="C299" s="39" t="str">
        <x:v>Other sectors</x:v>
      </x:c>
      <x:c r="D299" s="31" t="n">
        <x:v>1</x:v>
      </x:c>
      <x:c r="E299" s="39" t="str">
        <x:v>XLRE</x:v>
      </x:c>
      <x:c r="F299" s="39" t="n">
        <x:v>0.003242916</x:v>
      </x:c>
      <x:c r="G299" s="39" t="n">
        <x:v>0.0099639757</x:v>
      </x:c>
      <x:c r="H299" s="44" t="b">
        <x:v>0</x:v>
      </x:c>
      <x:c r="I299" s="39" t="n">
        <x:v>0.0000012728</x:v>
      </x:c>
    </x:row>
    <x:row r="300" ht="19" customHeight="1">
      <x:c r="A300" s="30" t="str">
        <x:v>stagger_1</x:v>
      </x:c>
      <x:c r="B300" s="39" t="str">
        <x:v>ASND</x:v>
      </x:c>
      <x:c r="C300" s="39" t="str">
        <x:v>Other sectors</x:v>
      </x:c>
      <x:c r="D300" s="31" t="n">
        <x:v>1</x:v>
      </x:c>
      <x:c r="E300" s="39" t="str">
        <x:v>XLU</x:v>
      </x:c>
      <x:c r="F300" s="39" t="n">
        <x:v>-0.1768314881</x:v>
      </x:c>
      <x:c r="G300" s="39" t="n">
        <x:v>-0.6400194313</x:v>
      </x:c>
      <x:c r="H300" s="44" t="b">
        <x:v>0</x:v>
      </x:c>
      <x:c r="I300" s="39" t="n">
        <x:v>0.0052241657</x:v>
      </x:c>
    </x:row>
    <x:row r="301" ht="19" customHeight="1">
      <x:c r="A301" s="30" t="str">
        <x:v>stagger_1</x:v>
      </x:c>
      <x:c r="B301" s="39" t="str">
        <x:v>ASND</x:v>
      </x:c>
      <x:c r="C301" s="39" t="str">
        <x:v>Other sectors</x:v>
      </x:c>
      <x:c r="D301" s="31" t="n">
        <x:v>1</x:v>
      </x:c>
      <x:c r="E301" s="39" t="str">
        <x:v>XLY</x:v>
      </x:c>
      <x:c r="F301" s="39" t="n">
        <x:v>0.0308750833</x:v>
      </x:c>
      <x:c r="G301" s="39" t="n">
        <x:v>0.0791050551</x:v>
      </x:c>
      <x:c r="H301" s="44" t="b">
        <x:v>0</x:v>
      </x:c>
      <x:c r="I301" s="39" t="n">
        <x:v>0.0000802193</x:v>
      </x:c>
    </x:row>
    <x:row r="302" ht="19" customHeight="1">
      <x:c r="A302" s="30" t="str">
        <x:v>stagger_1</x:v>
      </x:c>
      <x:c r="B302" s="39" t="str">
        <x:v>DOCN</x:v>
      </x:c>
      <x:c r="C302" s="39" t="str">
        <x:v>Other FX</x:v>
      </x:c>
      <x:c r="D302" s="31" t="n">
        <x:v>1</x:v>
      </x:c>
      <x:c r="E302" s="39" t="str">
        <x:v>AUD/USD</x:v>
      </x:c>
      <x:c r="F302" s="39" t="n">
        <x:v>1.3562786107</x:v>
      </x:c>
      <x:c r="G302" s="39" t="n">
        <x:v>1.2521509725</x:v>
      </x:c>
      <x:c r="H302" s="44" t="b">
        <x:v>0</x:v>
      </x:c>
      <x:c r="I302" s="39" t="n">
        <x:v>0.0225374413</x:v>
      </x:c>
    </x:row>
    <x:row r="303" ht="19" customHeight="1">
      <x:c r="A303" s="30" t="str">
        <x:v>stagger_1</x:v>
      </x:c>
      <x:c r="B303" s="39" t="str">
        <x:v>DOCN</x:v>
      </x:c>
      <x:c r="C303" s="39" t="str">
        <x:v>Other sectors</x:v>
      </x:c>
      <x:c r="D303" s="31" t="n">
        <x:v>1</x:v>
      </x:c>
      <x:c r="E303" s="39" t="str">
        <x:v>XLB</x:v>
      </x:c>
      <x:c r="F303" s="39" t="n">
        <x:v>0.6093798351</x:v>
      </x:c>
      <x:c r="G303" s="39" t="n">
        <x:v>1.1473564232</x:v>
      </x:c>
      <x:c r="H303" s="44" t="b">
        <x:v>0</x:v>
      </x:c>
      <x:c r="I303" s="39" t="n">
        <x:v>0.0189915554</x:v>
      </x:c>
    </x:row>
    <x:row r="304" ht="19" customHeight="1">
      <x:c r="A304" s="30" t="str">
        <x:v>stagger_1</x:v>
      </x:c>
      <x:c r="B304" s="39" t="str">
        <x:v>DOCN</x:v>
      </x:c>
      <x:c r="C304" s="39" t="str">
        <x:v>Other sectors</x:v>
      </x:c>
      <x:c r="D304" s="31" t="n">
        <x:v>1</x:v>
      </x:c>
      <x:c r="E304" s="39" t="str">
        <x:v>XLC</x:v>
      </x:c>
      <x:c r="F304" s="39" t="n">
        <x:v>-0.5844895646</x:v>
      </x:c>
      <x:c r="G304" s="39" t="n">
        <x:v>-0.8086013128</x:v>
      </x:c>
      <x:c r="H304" s="44" t="b">
        <x:v>0</x:v>
      </x:c>
      <x:c r="I304" s="39" t="n">
        <x:v>0.0095236642</x:v>
      </x:c>
    </x:row>
    <x:row r="305" ht="19" customHeight="1">
      <x:c r="A305" s="30" t="str">
        <x:v>stagger_1</x:v>
      </x:c>
      <x:c r="B305" s="39" t="str">
        <x:v>DOCN</x:v>
      </x:c>
      <x:c r="C305" s="39" t="str">
        <x:v>Other sectors</x:v>
      </x:c>
      <x:c r="D305" s="31" t="n">
        <x:v>1</x:v>
      </x:c>
      <x:c r="E305" s="39" t="str">
        <x:v>XLE</x:v>
      </x:c>
      <x:c r="F305" s="39" t="n">
        <x:v>0.7941591511</x:v>
      </x:c>
      <x:c r="G305" s="39" t="n">
        <x:v>2.8559634173</x:v>
      </x:c>
      <x:c r="H305" s="44" t="b">
        <x:v>1</x:v>
      </x:c>
      <x:c r="I305" s="39" t="n">
        <x:v>0.1071021403</x:v>
      </x:c>
    </x:row>
    <x:row r="306" ht="19" customHeight="1">
      <x:c r="A306" s="30" t="str">
        <x:v>stagger_1</x:v>
      </x:c>
      <x:c r="B306" s="39" t="str">
        <x:v>DOCN</x:v>
      </x:c>
      <x:c r="C306" s="39" t="str">
        <x:v>Other sectors</x:v>
      </x:c>
      <x:c r="D306" s="31" t="n">
        <x:v>1</x:v>
      </x:c>
      <x:c r="E306" s="39" t="str">
        <x:v>XLF</x:v>
      </x:c>
      <x:c r="F306" s="39" t="n">
        <x:v>0.0796966672</x:v>
      </x:c>
      <x:c r="G306" s="39" t="n">
        <x:v>0.1139827786</x:v>
      </x:c>
      <x:c r="H306" s="44" t="b">
        <x:v>0</x:v>
      </x:c>
      <x:c r="I306" s="39" t="n">
        <x:v>0.0001910234</x:v>
      </x:c>
    </x:row>
    <x:row r="307" ht="19" customHeight="1">
      <x:c r="A307" s="30" t="str">
        <x:v>stagger_1</x:v>
      </x:c>
      <x:c r="B307" s="39" t="str">
        <x:v>DOCN</x:v>
      </x:c>
      <x:c r="C307" s="39" t="str">
        <x:v>Other sectors</x:v>
      </x:c>
      <x:c r="D307" s="31" t="n">
        <x:v>1</x:v>
      </x:c>
      <x:c r="E307" s="39" t="str">
        <x:v>XLI</x:v>
      </x:c>
      <x:c r="F307" s="39" t="n">
        <x:v>-0.1674351769</x:v>
      </x:c>
      <x:c r="G307" s="39" t="n">
        <x:v>-0.2339184425</x:v>
      </x:c>
      <x:c r="H307" s="44" t="b">
        <x:v>0</x:v>
      </x:c>
      <x:c r="I307" s="39" t="n">
        <x:v>0.0008040271</x:v>
      </x:c>
    </x:row>
    <x:row r="308" ht="19" customHeight="1">
      <x:c r="A308" s="30" t="str">
        <x:v>stagger_1</x:v>
      </x:c>
      <x:c r="B308" s="39" t="str">
        <x:v>DOCN</x:v>
      </x:c>
      <x:c r="C308" s="39" t="str">
        <x:v>Other sectors</x:v>
      </x:c>
      <x:c r="D308" s="31" t="n">
        <x:v>1</x:v>
      </x:c>
      <x:c r="E308" s="39" t="str">
        <x:v>XLP</x:v>
      </x:c>
      <x:c r="F308" s="39" t="n">
        <x:v>-0.2445507304</x:v>
      </x:c>
      <x:c r="G308" s="39" t="n">
        <x:v>-0.3821016332</x:v>
      </x:c>
      <x:c r="H308" s="44" t="b">
        <x:v>0</x:v>
      </x:c>
      <x:c r="I308" s="39" t="n">
        <x:v>0.0021424831</x:v>
      </x:c>
    </x:row>
    <x:row r="309" ht="19" customHeight="1">
      <x:c r="A309" s="30" t="str">
        <x:v>stagger_1</x:v>
      </x:c>
      <x:c r="B309" s="39" t="str">
        <x:v>DOCN</x:v>
      </x:c>
      <x:c r="C309" s="39" t="str">
        <x:v>Other sectors</x:v>
      </x:c>
      <x:c r="D309" s="31" t="n">
        <x:v>1</x:v>
      </x:c>
      <x:c r="E309" s="39" t="str">
        <x:v>XLRE</x:v>
      </x:c>
      <x:c r="F309" s="39" t="n">
        <x:v>0.5735981318</x:v>
      </x:c>
      <x:c r="G309" s="39" t="n">
        <x:v>0.9900298126</x:v>
      </x:c>
      <x:c r="H309" s="44" t="b">
        <x:v>0</x:v>
      </x:c>
      <x:c r="I309" s="39" t="n">
        <x:v>0.0142092892</x:v>
      </x:c>
    </x:row>
    <x:row r="310" ht="19" customHeight="1">
      <x:c r="A310" s="30" t="str">
        <x:v>stagger_1</x:v>
      </x:c>
      <x:c r="B310" s="39" t="str">
        <x:v>DOCN</x:v>
      </x:c>
      <x:c r="C310" s="39" t="str">
        <x:v>Other sectors</x:v>
      </x:c>
      <x:c r="D310" s="31" t="n">
        <x:v>1</x:v>
      </x:c>
      <x:c r="E310" s="39" t="str">
        <x:v>XLU</x:v>
      </x:c>
      <x:c r="F310" s="39" t="n">
        <x:v>0.375393009</x:v>
      </x:c>
      <x:c r="G310" s="39" t="n">
        <x:v>0.7529800265</x:v>
      </x:c>
      <x:c r="H310" s="44" t="b">
        <x:v>0</x:v>
      </x:c>
      <x:c r="I310" s="39" t="n">
        <x:v>0.0082689792</x:v>
      </x:c>
    </x:row>
    <x:row r="311" ht="19" customHeight="1">
      <x:c r="A311" s="30" t="str">
        <x:v>stagger_1</x:v>
      </x:c>
      <x:c r="B311" s="39" t="str">
        <x:v>DOCN</x:v>
      </x:c>
      <x:c r="C311" s="39" t="str">
        <x:v>Other sectors</x:v>
      </x:c>
      <x:c r="D311" s="31" t="n">
        <x:v>1</x:v>
      </x:c>
      <x:c r="E311" s="39" t="str">
        <x:v>XLV</x:v>
      </x:c>
      <x:c r="F311" s="39" t="n">
        <x:v>0.3466636801</x:v>
      </x:c>
      <x:c r="G311" s="39" t="n">
        <x:v>0.5987989035</x:v>
      </x:c>
      <x:c r="H311" s="44" t="b">
        <x:v>0</x:v>
      </x:c>
      <x:c r="I311" s="39" t="n">
        <x:v>0.005245285</x:v>
      </x:c>
    </x:row>
    <x:row r="312" ht="19" customHeight="1">
      <x:c r="A312" s="30" t="str">
        <x:v>stagger_1</x:v>
      </x:c>
      <x:c r="B312" s="39" t="str">
        <x:v>DOCN</x:v>
      </x:c>
      <x:c r="C312" s="39" t="str">
        <x:v>Other sectors</x:v>
      </x:c>
      <x:c r="D312" s="31" t="n">
        <x:v>1</x:v>
      </x:c>
      <x:c r="E312" s="39" t="str">
        <x:v>XLY</x:v>
      </x:c>
      <x:c r="F312" s="39" t="n">
        <x:v>-0.0339695744</x:v>
      </x:c>
      <x:c r="G312" s="39" t="n">
        <x:v>-0.0482736501</x:v>
      </x:c>
      <x:c r="H312" s="44" t="b">
        <x:v>0</x:v>
      </x:c>
      <x:c r="I312" s="39" t="n">
        <x:v>0.0000342686</x:v>
      </x:c>
    </x:row>
    <x:row r="313" ht="19" customHeight="1">
      <x:c r="A313" s="30" t="str">
        <x:v>stagger_1</x:v>
      </x:c>
      <x:c r="B313" s="39" t="str">
        <x:v>DOCN</x:v>
      </x:c>
      <x:c r="C313" s="39" t="str">
        <x:v>Other sectors</x:v>
      </x:c>
      <x:c r="D313" s="31" t="n">
        <x:v>2</x:v>
      </x:c>
      <x:c r="E313" s="39" t="str">
        <x:v>XLB</x:v>
      </x:c>
      <x:c r="F313" s="39" t="n">
        <x:v>0.1268795486</x:v>
      </x:c>
      <x:c r="G313" s="39" t="n">
        <x:v>0.2505172856</x:v>
      </x:c>
      <x:c r="H313" s="44" t="b">
        <x:v>0</x:v>
      </x:c>
      <x:c r="I313" s="39" t="n">
        <x:v>0.0009220741</x:v>
      </x:c>
    </x:row>
    <x:row r="314" ht="19" customHeight="1">
      <x:c r="A314" s="30" t="str">
        <x:v>stagger_1</x:v>
      </x:c>
      <x:c r="B314" s="39" t="str">
        <x:v>DOCN</x:v>
      </x:c>
      <x:c r="C314" s="39" t="str">
        <x:v>Other sectors</x:v>
      </x:c>
      <x:c r="D314" s="31" t="n">
        <x:v>2</x:v>
      </x:c>
      <x:c r="E314" s="39" t="str">
        <x:v>XLC</x:v>
      </x:c>
      <x:c r="F314" s="39" t="n">
        <x:v>-0.6494722892</x:v>
      </x:c>
      <x:c r="G314" s="39" t="n">
        <x:v>-0.9526166991</x:v>
      </x:c>
      <x:c r="H314" s="44" t="b">
        <x:v>0</x:v>
      </x:c>
      <x:c r="I314" s="39" t="n">
        <x:v>0.0131695223</x:v>
      </x:c>
    </x:row>
    <x:row r="315" ht="19" customHeight="1">
      <x:c r="A315" s="30" t="str">
        <x:v>stagger_1</x:v>
      </x:c>
      <x:c r="B315" s="39" t="str">
        <x:v>DOCN</x:v>
      </x:c>
      <x:c r="C315" s="39" t="str">
        <x:v>Other sectors</x:v>
      </x:c>
      <x:c r="D315" s="31" t="n">
        <x:v>2</x:v>
      </x:c>
      <x:c r="E315" s="39" t="str">
        <x:v>XLF</x:v>
      </x:c>
      <x:c r="F315" s="39" t="n">
        <x:v>-0.3518355455</x:v>
      </x:c>
      <x:c r="G315" s="39" t="n">
        <x:v>-0.5335851154</x:v>
      </x:c>
      <x:c r="H315" s="44" t="b">
        <x:v>0</x:v>
      </x:c>
      <x:c r="I315" s="39" t="n">
        <x:v>0.0041694995</x:v>
      </x:c>
    </x:row>
    <x:row r="316" ht="19" customHeight="1">
      <x:c r="A316" s="30" t="str">
        <x:v>stagger_1</x:v>
      </x:c>
      <x:c r="B316" s="39" t="str">
        <x:v>DOCN</x:v>
      </x:c>
      <x:c r="C316" s="39" t="str">
        <x:v>Other sectors</x:v>
      </x:c>
      <x:c r="D316" s="31" t="n">
        <x:v>2</x:v>
      </x:c>
      <x:c r="E316" s="39" t="str">
        <x:v>XLI</x:v>
      </x:c>
      <x:c r="F316" s="39" t="n">
        <x:v>-0.4915310343</x:v>
      </x:c>
      <x:c r="G316" s="39" t="n">
        <x:v>-0.7292641163</x:v>
      </x:c>
      <x:c r="H316" s="44" t="b">
        <x:v>0</x:v>
      </x:c>
      <x:c r="I316" s="39" t="n">
        <x:v>0.0077602799</x:v>
      </x:c>
    </x:row>
    <x:row r="317" ht="19" customHeight="1">
      <x:c r="A317" s="30" t="str">
        <x:v>stagger_1</x:v>
      </x:c>
      <x:c r="B317" s="39" t="str">
        <x:v>DOCN</x:v>
      </x:c>
      <x:c r="C317" s="39" t="str">
        <x:v>Other sectors</x:v>
      </x:c>
      <x:c r="D317" s="31" t="n">
        <x:v>2</x:v>
      </x:c>
      <x:c r="E317" s="39" t="str">
        <x:v>XLP</x:v>
      </x:c>
      <x:c r="F317" s="39" t="n">
        <x:v>-0.5156534138</x:v>
      </x:c>
      <x:c r="G317" s="39" t="n">
        <x:v>-0.8563084524</x:v>
      </x:c>
      <x:c r="H317" s="44" t="b">
        <x:v>0</x:v>
      </x:c>
      <x:c r="I317" s="39" t="n">
        <x:v>0.0106682576</x:v>
      </x:c>
    </x:row>
    <x:row r="318" ht="19" customHeight="1">
      <x:c r="A318" s="30" t="str">
        <x:v>stagger_1</x:v>
      </x:c>
      <x:c r="B318" s="39" t="str">
        <x:v>DOCN</x:v>
      </x:c>
      <x:c r="C318" s="39" t="str">
        <x:v>Other sectors</x:v>
      </x:c>
      <x:c r="D318" s="31" t="n">
        <x:v>2</x:v>
      </x:c>
      <x:c r="E318" s="39" t="str">
        <x:v>XLRE</x:v>
      </x:c>
      <x:c r="F318" s="39" t="n">
        <x:v>0.3007339661</x:v>
      </x:c>
      <x:c r="G318" s="39" t="n">
        <x:v>0.5465960287</x:v>
      </x:c>
      <x:c r="H318" s="44" t="b">
        <x:v>0</x:v>
      </x:c>
      <x:c r="I318" s="39" t="n">
        <x:v>0.004374416</x:v>
      </x:c>
    </x:row>
    <x:row r="319" ht="19" customHeight="1">
      <x:c r="A319" s="30" t="str">
        <x:v>stagger_1</x:v>
      </x:c>
      <x:c r="B319" s="39" t="str">
        <x:v>DOCN</x:v>
      </x:c>
      <x:c r="C319" s="39" t="str">
        <x:v>Other sectors</x:v>
      </x:c>
      <x:c r="D319" s="31" t="n">
        <x:v>2</x:v>
      </x:c>
      <x:c r="E319" s="39" t="str">
        <x:v>XLU</x:v>
      </x:c>
      <x:c r="F319" s="39" t="n">
        <x:v>0.1927313748</x:v>
      </x:c>
      <x:c r="G319" s="39" t="n">
        <x:v>0.4079213871</x:v>
      </x:c>
      <x:c r="H319" s="44" t="b">
        <x:v>0</x:v>
      </x:c>
      <x:c r="I319" s="39" t="n">
        <x:v>0.0024410833</x:v>
      </x:c>
    </x:row>
    <x:row r="320" ht="19" customHeight="1">
      <x:c r="A320" s="30" t="str">
        <x:v>stagger_1</x:v>
      </x:c>
      <x:c r="B320" s="39" t="str">
        <x:v>DOCN</x:v>
      </x:c>
      <x:c r="C320" s="39" t="str">
        <x:v>Other sectors</x:v>
      </x:c>
      <x:c r="D320" s="31" t="n">
        <x:v>2</x:v>
      </x:c>
      <x:c r="E320" s="39" t="str">
        <x:v>XLV</x:v>
      </x:c>
      <x:c r="F320" s="39" t="n">
        <x:v>0.055094111</x:v>
      </x:c>
      <x:c r="G320" s="39" t="n">
        <x:v>0.1004539843</x:v>
      </x:c>
      <x:c r="H320" s="44" t="b">
        <x:v>0</x:v>
      </x:c>
      <x:c r="I320" s="39" t="n">
        <x:v>0.0001483751</x:v>
      </x:c>
    </x:row>
    <x:row r="321" ht="19" customHeight="1">
      <x:c r="A321" s="30" t="str">
        <x:v>stagger_1</x:v>
      </x:c>
      <x:c r="B321" s="39" t="str">
        <x:v>DOCN</x:v>
      </x:c>
      <x:c r="C321" s="39" t="str">
        <x:v>Other sectors</x:v>
      </x:c>
      <x:c r="D321" s="31" t="n">
        <x:v>2</x:v>
      </x:c>
      <x:c r="E321" s="39" t="str">
        <x:v>XLY</x:v>
      </x:c>
      <x:c r="F321" s="39" t="n">
        <x:v>0.3641553618</x:v>
      </x:c>
      <x:c r="G321" s="39" t="n">
        <x:v>0.5488557969</x:v>
      </x:c>
      <x:c r="H321" s="44" t="b">
        <x:v>0</x:v>
      </x:c>
      <x:c r="I321" s="39" t="n">
        <x:v>0.0044105008</x:v>
      </x:c>
    </x:row>
    <x:row r="322" ht="19" customHeight="1">
      <x:c r="A322" s="30" t="str">
        <x:v>stagger_1</x:v>
      </x:c>
      <x:c r="B322" s="39" t="str">
        <x:v>CME</x:v>
      </x:c>
      <x:c r="C322" s="39" t="str">
        <x:v>Other FX</x:v>
      </x:c>
      <x:c r="D322" s="31" t="n">
        <x:v>1</x:v>
      </x:c>
      <x:c r="E322" s="39" t="str">
        <x:v>AUD/USD</x:v>
      </x:c>
      <x:c r="F322" s="39" t="n">
        <x:v>0.686428376</x:v>
      </x:c>
      <x:c r="G322" s="39" t="n">
        <x:v>2.393136201</x:v>
      </x:c>
      <x:c r="H322" s="44" t="b">
        <x:v>1</x:v>
      </x:c>
      <x:c r="I322" s="39" t="n">
        <x:v>0.0684019967</x:v>
      </x:c>
    </x:row>
    <x:row r="323" ht="19" customHeight="1">
      <x:c r="A323" s="30" t="str">
        <x:v>stagger_1</x:v>
      </x:c>
      <x:c r="B323" s="39" t="str">
        <x:v>CME</x:v>
      </x:c>
      <x:c r="C323" s="39" t="str">
        <x:v>Other sectors</x:v>
      </x:c>
      <x:c r="D323" s="31" t="n">
        <x:v>1</x:v>
      </x:c>
      <x:c r="E323" s="39" t="str">
        <x:v>XLB</x:v>
      </x:c>
      <x:c r="F323" s="39" t="n">
        <x:v>0.1007837015</x:v>
      </x:c>
      <x:c r="G323" s="39" t="n">
        <x:v>0.6243674201</x:v>
      </x:c>
      <x:c r="H323" s="44" t="b">
        <x:v>0</x:v>
      </x:c>
      <x:c r="I323" s="39" t="n">
        <x:v>0.0049730259</x:v>
      </x:c>
    </x:row>
    <x:row r="324" ht="19" customHeight="1">
      <x:c r="A324" s="30" t="str">
        <x:v>stagger_1</x:v>
      </x:c>
      <x:c r="B324" s="39" t="str">
        <x:v>CME</x:v>
      </x:c>
      <x:c r="C324" s="39" t="str">
        <x:v>Other sectors</x:v>
      </x:c>
      <x:c r="D324" s="31" t="n">
        <x:v>1</x:v>
      </x:c>
      <x:c r="E324" s="39" t="str">
        <x:v>XLC</x:v>
      </x:c>
      <x:c r="F324" s="39" t="n">
        <x:v>0.4093523773</x:v>
      </x:c>
      <x:c r="G324" s="39" t="n">
        <x:v>1.8933280094</x:v>
      </x:c>
      <x:c r="H324" s="44" t="b">
        <x:v>0</x:v>
      </x:c>
      <x:c r="I324" s="39" t="n">
        <x:v>0.0439382795</x:v>
      </x:c>
    </x:row>
    <x:row r="325" ht="19" customHeight="1">
      <x:c r="A325" s="30" t="str">
        <x:v>stagger_1</x:v>
      </x:c>
      <x:c r="B325" s="39" t="str">
        <x:v>CME</x:v>
      </x:c>
      <x:c r="C325" s="39" t="str">
        <x:v>Other sectors</x:v>
      </x:c>
      <x:c r="D325" s="31" t="n">
        <x:v>1</x:v>
      </x:c>
      <x:c r="E325" s="39" t="str">
        <x:v>XLE</x:v>
      </x:c>
      <x:c r="F325" s="39" t="n">
        <x:v>0.2183383619</x:v>
      </x:c>
      <x:c r="G325" s="39" t="n">
        <x:v>2.6044389662</x:v>
      </x:c>
      <x:c r="H325" s="44" t="b">
        <x:v>0</x:v>
      </x:c>
      <x:c r="I325" s="39" t="n">
        <x:v>0.0800053565</x:v>
      </x:c>
    </x:row>
    <x:row r="326" ht="19" customHeight="1">
      <x:c r="A326" s="30" t="str">
        <x:v>stagger_1</x:v>
      </x:c>
      <x:c r="B326" s="39" t="str">
        <x:v>CME</x:v>
      </x:c>
      <x:c r="C326" s="39" t="str">
        <x:v>Other sectors</x:v>
      </x:c>
      <x:c r="D326" s="31" t="n">
        <x:v>1</x:v>
      </x:c>
      <x:c r="E326" s="39" t="str">
        <x:v>XLI</x:v>
      </x:c>
      <x:c r="F326" s="39" t="n">
        <x:v>0.2595071985</x:v>
      </x:c>
      <x:c r="G326" s="39" t="n">
        <x:v>1.2016588278</x:v>
      </x:c>
      <x:c r="H326" s="44" t="b">
        <x:v>0</x:v>
      </x:c>
      <x:c r="I326" s="39" t="n">
        <x:v>0.018176127</x:v>
      </x:c>
    </x:row>
    <x:row r="327" ht="19" customHeight="1">
      <x:c r="A327" s="30" t="str">
        <x:v>stagger_1</x:v>
      </x:c>
      <x:c r="B327" s="39" t="str">
        <x:v>CME</x:v>
      </x:c>
      <x:c r="C327" s="39" t="str">
        <x:v>Other sectors</x:v>
      </x:c>
      <x:c r="D327" s="31" t="n">
        <x:v>1</x:v>
      </x:c>
      <x:c r="E327" s="39" t="str">
        <x:v>XLK</x:v>
      </x:c>
      <x:c r="F327" s="39" t="n">
        <x:v>-0.4276964999</x:v>
      </x:c>
      <x:c r="G327" s="39" t="n">
        <x:v>-2.2758261875</x:v>
      </x:c>
      <x:c r="H327" s="44" t="b">
        <x:v>0</x:v>
      </x:c>
      <x:c r="I327" s="39" t="n">
        <x:v>0.0622676502</x:v>
      </x:c>
    </x:row>
    <x:row r="328" ht="19" customHeight="1">
      <x:c r="A328" s="30" t="str">
        <x:v>stagger_1</x:v>
      </x:c>
      <x:c r="B328" s="39" t="str">
        <x:v>CME</x:v>
      </x:c>
      <x:c r="C328" s="39" t="str">
        <x:v>Other sectors</x:v>
      </x:c>
      <x:c r="D328" s="31" t="n">
        <x:v>1</x:v>
      </x:c>
      <x:c r="E328" s="39" t="str">
        <x:v>XLP</x:v>
      </x:c>
      <x:c r="F328" s="39" t="n">
        <x:v>0.4999942678</x:v>
      </x:c>
      <x:c r="G328" s="39" t="n">
        <x:v>2.655901176</x:v>
      </x:c>
      <x:c r="H328" s="44" t="b">
        <x:v>1</x:v>
      </x:c>
      <x:c r="I328" s="39" t="n">
        <x:v>0.0829335096</x:v>
      </x:c>
    </x:row>
    <x:row r="329" ht="19" customHeight="1">
      <x:c r="A329" s="30" t="str">
        <x:v>stagger_1</x:v>
      </x:c>
      <x:c r="B329" s="39" t="str">
        <x:v>CME</x:v>
      </x:c>
      <x:c r="C329" s="39" t="str">
        <x:v>Other sectors</x:v>
      </x:c>
      <x:c r="D329" s="31" t="n">
        <x:v>1</x:v>
      </x:c>
      <x:c r="E329" s="39" t="str">
        <x:v>XLRE</x:v>
      </x:c>
      <x:c r="F329" s="39" t="n">
        <x:v>0.095014484</x:v>
      </x:c>
      <x:c r="G329" s="39" t="n">
        <x:v>0.5364723024</x:v>
      </x:c>
      <x:c r="H329" s="44" t="b">
        <x:v>0</x:v>
      </x:c>
      <x:c r="I329" s="39" t="n">
        <x:v>0.0036762116</x:v>
      </x:c>
    </x:row>
    <x:row r="330" ht="19" customHeight="1">
      <x:c r="A330" s="30" t="str">
        <x:v>stagger_1</x:v>
      </x:c>
      <x:c r="B330" s="39" t="str">
        <x:v>CME</x:v>
      </x:c>
      <x:c r="C330" s="39" t="str">
        <x:v>Other sectors</x:v>
      </x:c>
      <x:c r="D330" s="31" t="n">
        <x:v>1</x:v>
      </x:c>
      <x:c r="E330" s="39" t="str">
        <x:v>XLU</x:v>
      </x:c>
      <x:c r="F330" s="39" t="n">
        <x:v>0.1695152344</x:v>
      </x:c>
      <x:c r="G330" s="39" t="n">
        <x:v>1.1316237457</x:v>
      </x:c>
      <x:c r="H330" s="44" t="b">
        <x:v>0</x:v>
      </x:c>
      <x:c r="I330" s="39" t="n">
        <x:v>0.0161524099</x:v>
      </x:c>
    </x:row>
    <x:row r="331" ht="19" customHeight="1">
      <x:c r="A331" s="30" t="str">
        <x:v>stagger_1</x:v>
      </x:c>
      <x:c r="B331" s="39" t="str">
        <x:v>CME</x:v>
      </x:c>
      <x:c r="C331" s="39" t="str">
        <x:v>Other sectors</x:v>
      </x:c>
      <x:c r="D331" s="31" t="n">
        <x:v>1</x:v>
      </x:c>
      <x:c r="E331" s="39" t="str">
        <x:v>XLV</x:v>
      </x:c>
      <x:c r="F331" s="39" t="n">
        <x:v>0.161430336</x:v>
      </x:c>
      <x:c r="G331" s="39" t="n">
        <x:v>0.9069703846</x:v>
      </x:c>
      <x:c r="H331" s="44" t="b">
        <x:v>0</x:v>
      </x:c>
      <x:c r="I331" s="39" t="n">
        <x:v>0.0104360339</x:v>
      </x:c>
    </x:row>
    <x:row r="332" ht="19" customHeight="1">
      <x:c r="A332" s="30" t="str">
        <x:v>stagger_1</x:v>
      </x:c>
      <x:c r="B332" s="39" t="str">
        <x:v>CME</x:v>
      </x:c>
      <x:c r="C332" s="39" t="str">
        <x:v>Other sectors</x:v>
      </x:c>
      <x:c r="D332" s="31" t="n">
        <x:v>1</x:v>
      </x:c>
      <x:c r="E332" s="39" t="str">
        <x:v>XLY</x:v>
      </x:c>
      <x:c r="F332" s="39" t="n">
        <x:v>0.0453550552</x:v>
      </x:c>
      <x:c r="G332" s="39" t="n">
        <x:v>0.2132023295</x:v>
      </x:c>
      <x:c r="H332" s="44" t="b">
        <x:v>0</x:v>
      </x:c>
      <x:c r="I332" s="39" t="n">
        <x:v>0.00058242</x:v>
      </x:c>
    </x:row>
    <x:row r="333" ht="19" customHeight="1">
      <x:c r="A333" s="30" t="str">
        <x:v>stagger_1</x:v>
      </x:c>
      <x:c r="B333" s="39" t="str">
        <x:v>CME</x:v>
      </x:c>
      <x:c r="C333" s="39" t="str">
        <x:v>Other sectors</x:v>
      </x:c>
      <x:c r="D333" s="31" t="n">
        <x:v>2</x:v>
      </x:c>
      <x:c r="E333" s="39" t="str">
        <x:v>XLB</x:v>
      </x:c>
      <x:c r="F333" s="39" t="n">
        <x:v>-0.0963585587</x:v>
      </x:c>
      <x:c r="G333" s="39" t="n">
        <x:v>-0.6233562476</x:v>
      </x:c>
      <x:c r="H333" s="44" t="b">
        <x:v>0</x:v>
      </x:c>
      <x:c r="I333" s="39" t="n">
        <x:v>0.0049570109</x:v>
      </x:c>
    </x:row>
    <x:row r="334" ht="19" customHeight="1">
      <x:c r="A334" s="30" t="str">
        <x:v>stagger_1</x:v>
      </x:c>
      <x:c r="B334" s="39" t="str">
        <x:v>CME</x:v>
      </x:c>
      <x:c r="C334" s="39" t="str">
        <x:v>Other sectors</x:v>
      </x:c>
      <x:c r="D334" s="31" t="n">
        <x:v>2</x:v>
      </x:c>
      <x:c r="E334" s="39" t="str">
        <x:v>XLC</x:v>
      </x:c>
      <x:c r="F334" s="39" t="n">
        <x:v>0.3749783017</x:v>
      </x:c>
      <x:c r="G334" s="39" t="n">
        <x:v>1.8075385509</x:v>
      </x:c>
      <x:c r="H334" s="44" t="b">
        <x:v>0</x:v>
      </x:c>
      <x:c r="I334" s="39" t="n">
        <x:v>0.0402031298</x:v>
      </x:c>
    </x:row>
    <x:row r="335" ht="19" customHeight="1">
      <x:c r="A335" s="30" t="str">
        <x:v>stagger_1</x:v>
      </x:c>
      <x:c r="B335" s="39" t="str">
        <x:v>CME</x:v>
      </x:c>
      <x:c r="C335" s="39" t="str">
        <x:v>Other sectors</x:v>
      </x:c>
      <x:c r="D335" s="31" t="n">
        <x:v>2</x:v>
      </x:c>
      <x:c r="E335" s="39" t="str">
        <x:v>XLE</x:v>
      </x:c>
      <x:c r="F335" s="39" t="n">
        <x:v>0.1893777611</x:v>
      </x:c>
      <x:c r="G335" s="39" t="n">
        <x:v>2.34070342</x:v>
      </x:c>
      <x:c r="H335" s="44" t="b">
        <x:v>1</x:v>
      </x:c>
      <x:c r="I335" s="39" t="n">
        <x:v>0.0656320698</x:v>
      </x:c>
    </x:row>
    <x:row r="336" ht="19" customHeight="1">
      <x:c r="A336" s="30" t="str">
        <x:v>stagger_1</x:v>
      </x:c>
      <x:c r="B336" s="39" t="str">
        <x:v>CME</x:v>
      </x:c>
      <x:c r="C336" s="39" t="str">
        <x:v>Other sectors</x:v>
      </x:c>
      <x:c r="D336" s="31" t="n">
        <x:v>2</x:v>
      </x:c>
      <x:c r="E336" s="39" t="str">
        <x:v>XLI</x:v>
      </x:c>
      <x:c r="F336" s="39" t="n">
        <x:v>0.0226001985</x:v>
      </x:c>
      <x:c r="G336" s="39" t="n">
        <x:v>0.1082911716</x:v>
      </x:c>
      <x:c r="H336" s="44" t="b">
        <x:v>0</x:v>
      </x:c>
      <x:c r="I336" s="39" t="n">
        <x:v>0.0001503233</x:v>
      </x:c>
    </x:row>
    <x:row r="337" ht="19" customHeight="1">
      <x:c r="A337" s="30" t="str">
        <x:v>stagger_1</x:v>
      </x:c>
      <x:c r="B337" s="39" t="str">
        <x:v>CME</x:v>
      </x:c>
      <x:c r="C337" s="39" t="str">
        <x:v>Other sectors</x:v>
      </x:c>
      <x:c r="D337" s="31" t="n">
        <x:v>2</x:v>
      </x:c>
      <x:c r="E337" s="39" t="str">
        <x:v>XLK</x:v>
      </x:c>
      <x:c r="F337" s="39" t="n">
        <x:v>-0.1816950434</x:v>
      </x:c>
      <x:c r="G337" s="39" t="n">
        <x:v>-0.9837004325</x:v>
      </x:c>
      <x:c r="H337" s="44" t="b">
        <x:v>0</x:v>
      </x:c>
      <x:c r="I337" s="39" t="n">
        <x:v>0.0122539589</x:v>
      </x:c>
    </x:row>
    <x:row r="338" ht="19" customHeight="1">
      <x:c r="A338" s="30" t="str">
        <x:v>stagger_1</x:v>
      </x:c>
      <x:c r="B338" s="39" t="str">
        <x:v>CME</x:v>
      </x:c>
      <x:c r="C338" s="39" t="str">
        <x:v>Other sectors</x:v>
      </x:c>
      <x:c r="D338" s="31" t="n">
        <x:v>2</x:v>
      </x:c>
      <x:c r="E338" s="39" t="str">
        <x:v>XLRE</x:v>
      </x:c>
      <x:c r="F338" s="39" t="n">
        <x:v>-0.1565461362</x:v>
      </x:c>
      <x:c r="G338" s="39" t="n">
        <x:v>-0.926351068</x:v>
      </x:c>
      <x:c r="H338" s="44" t="b">
        <x:v>0</x:v>
      </x:c>
      <x:c r="I338" s="39" t="n">
        <x:v>0.0108819007</x:v>
      </x:c>
    </x:row>
    <x:row r="339" ht="19" customHeight="1">
      <x:c r="A339" s="30" t="str">
        <x:v>stagger_1</x:v>
      </x:c>
      <x:c r="B339" s="39" t="str">
        <x:v>CME</x:v>
      </x:c>
      <x:c r="C339" s="39" t="str">
        <x:v>Other sectors</x:v>
      </x:c>
      <x:c r="D339" s="31" t="n">
        <x:v>2</x:v>
      </x:c>
      <x:c r="E339" s="39" t="str">
        <x:v>XLU</x:v>
      </x:c>
      <x:c r="F339" s="39" t="n">
        <x:v>-0.025937295</x:v>
      </x:c>
      <x:c r="G339" s="39" t="n">
        <x:v>-0.1793787771</x:v>
      </x:c>
      <x:c r="H339" s="44" t="b">
        <x:v>0</x:v>
      </x:c>
      <x:c r="I339" s="39" t="n">
        <x:v>0.0004123523</x:v>
      </x:c>
    </x:row>
    <x:row r="340" ht="19" customHeight="1">
      <x:c r="A340" s="30" t="str">
        <x:v>stagger_1</x:v>
      </x:c>
      <x:c r="B340" s="39" t="str">
        <x:v>CME</x:v>
      </x:c>
      <x:c r="C340" s="39" t="str">
        <x:v>Other sectors</x:v>
      </x:c>
      <x:c r="D340" s="31" t="n">
        <x:v>2</x:v>
      </x:c>
      <x:c r="E340" s="39" t="str">
        <x:v>XLV</x:v>
      </x:c>
      <x:c r="F340" s="39" t="n">
        <x:v>-0.0507490394</x:v>
      </x:c>
      <x:c r="G340" s="39" t="n">
        <x:v>-0.2963477671</x:v>
      </x:c>
      <x:c r="H340" s="44" t="b">
        <x:v>0</x:v>
      </x:c>
      <x:c r="I340" s="39" t="n">
        <x:v>0.0011246568</x:v>
      </x:c>
    </x:row>
    <x:row r="341" ht="19" customHeight="1">
      <x:c r="A341" s="30" t="str">
        <x:v>stagger_1</x:v>
      </x:c>
      <x:c r="B341" s="39" t="str">
        <x:v>CME</x:v>
      </x:c>
      <x:c r="C341" s="39" t="str">
        <x:v>Other sectors</x:v>
      </x:c>
      <x:c r="D341" s="31" t="n">
        <x:v>2</x:v>
      </x:c>
      <x:c r="E341" s="39" t="str">
        <x:v>XLY</x:v>
      </x:c>
      <x:c r="F341" s="39" t="n">
        <x:v>0.1071628116</x:v>
      </x:c>
      <x:c r="G341" s="39" t="n">
        <x:v>0.5268108122</x:v>
      </x:c>
      <x:c r="H341" s="44" t="b">
        <x:v>0</x:v>
      </x:c>
      <x:c r="I341" s="39" t="n">
        <x:v>0.0035454572</x:v>
      </x:c>
    </x:row>
    <x:row r="342" ht="19" customHeight="1">
      <x:c r="A342" s="30" t="str">
        <x:v>stagger_1</x:v>
      </x:c>
      <x:c r="B342" s="39" t="str">
        <x:v>CME</x:v>
      </x:c>
      <x:c r="C342" s="39" t="str">
        <x:v>Other sectors</x:v>
      </x:c>
      <x:c r="D342" s="31" t="n">
        <x:v>3</x:v>
      </x:c>
      <x:c r="E342" s="39" t="str">
        <x:v>XLB</x:v>
      </x:c>
      <x:c r="F342" s="39" t="n">
        <x:v>-0.2078786409</x:v>
      </x:c>
      <x:c r="G342" s="39" t="n">
        <x:v>-1.4052279027</x:v>
      </x:c>
      <x:c r="H342" s="44" t="b">
        <x:v>0</x:v>
      </x:c>
      <x:c r="I342" s="39" t="n">
        <x:v>0.0246911375</x:v>
      </x:c>
    </x:row>
    <x:row r="343" ht="19" customHeight="1">
      <x:c r="A343" s="30" t="str">
        <x:v>stagger_1</x:v>
      </x:c>
      <x:c r="B343" s="39" t="str">
        <x:v>CME</x:v>
      </x:c>
      <x:c r="C343" s="39" t="str">
        <x:v>Other sectors</x:v>
      </x:c>
      <x:c r="D343" s="31" t="n">
        <x:v>3</x:v>
      </x:c>
      <x:c r="E343" s="39" t="str">
        <x:v>XLC</x:v>
      </x:c>
      <x:c r="F343" s="39" t="n">
        <x:v>0.3428554444</x:v>
      </x:c>
      <x:c r="G343" s="39" t="n">
        <x:v>1.7059964403</x:v>
      </x:c>
      <x:c r="H343" s="44" t="b">
        <x:v>0</x:v>
      </x:c>
      <x:c r="I343" s="39" t="n">
        <x:v>0.0359709382</x:v>
      </x:c>
    </x:row>
    <x:row r="344" ht="19" customHeight="1">
      <x:c r="A344" s="30" t="str">
        <x:v>stagger_1</x:v>
      </x:c>
      <x:c r="B344" s="39" t="str">
        <x:v>CME</x:v>
      </x:c>
      <x:c r="C344" s="39" t="str">
        <x:v>Other sectors</x:v>
      </x:c>
      <x:c r="D344" s="31" t="n">
        <x:v>3</x:v>
      </x:c>
      <x:c r="E344" s="39" t="str">
        <x:v>XLI</x:v>
      </x:c>
      <x:c r="F344" s="39" t="n">
        <x:v>-0.0608073465</x:v>
      </x:c>
      <x:c r="G344" s="39" t="n">
        <x:v>-0.3015770525</x:v>
      </x:c>
      <x:c r="H344" s="44" t="b">
        <x:v>0</x:v>
      </x:c>
      <x:c r="I344" s="39" t="n">
        <x:v>0.0011646512</x:v>
      </x:c>
    </x:row>
    <x:row r="345" ht="19" customHeight="1">
      <x:c r="A345" s="30" t="str">
        <x:v>stagger_1</x:v>
      </x:c>
      <x:c r="B345" s="39" t="str">
        <x:v>CME</x:v>
      </x:c>
      <x:c r="C345" s="39" t="str">
        <x:v>Other sectors</x:v>
      </x:c>
      <x:c r="D345" s="31" t="n">
        <x:v>3</x:v>
      </x:c>
      <x:c r="E345" s="39" t="str">
        <x:v>XLK</x:v>
      </x:c>
      <x:c r="F345" s="39" t="n">
        <x:v>-0.0163182011</x:v>
      </x:c>
      <x:c r="G345" s="39" t="n">
        <x:v>-0.0908403339</x:v>
      </x:c>
      <x:c r="H345" s="44" t="b">
        <x:v>0</x:v>
      </x:c>
      <x:c r="I345" s="39" t="n">
        <x:v>0.0001057832</x:v>
      </x:c>
    </x:row>
    <x:row r="346" ht="19" customHeight="1">
      <x:c r="A346" s="30" t="str">
        <x:v>stagger_1</x:v>
      </x:c>
      <x:c r="B346" s="39" t="str">
        <x:v>CME</x:v>
      </x:c>
      <x:c r="C346" s="39" t="str">
        <x:v>Other sectors</x:v>
      </x:c>
      <x:c r="D346" s="31" t="n">
        <x:v>3</x:v>
      </x:c>
      <x:c r="E346" s="39" t="str">
        <x:v>XLRE</x:v>
      </x:c>
      <x:c r="F346" s="39" t="n">
        <x:v>-0.2105153472</x:v>
      </x:c>
      <x:c r="G346" s="39" t="n">
        <x:v>-1.2954009547</x:v>
      </x:c>
      <x:c r="H346" s="44" t="b">
        <x:v>0</x:v>
      </x:c>
      <x:c r="I346" s="39" t="n">
        <x:v>0.0210605474</x:v>
      </x:c>
    </x:row>
    <x:row r="347" ht="19" customHeight="1">
      <x:c r="A347" s="30" t="str">
        <x:v>stagger_1</x:v>
      </x:c>
      <x:c r="B347" s="39" t="str">
        <x:v>CME</x:v>
      </x:c>
      <x:c r="C347" s="39" t="str">
        <x:v>Other sectors</x:v>
      </x:c>
      <x:c r="D347" s="31" t="n">
        <x:v>3</x:v>
      </x:c>
      <x:c r="E347" s="39" t="str">
        <x:v>XLU</x:v>
      </x:c>
      <x:c r="F347" s="39" t="n">
        <x:v>-0.0519556876</x:v>
      </x:c>
      <x:c r="G347" s="39" t="n">
        <x:v>-0.3719767677</x:v>
      </x:c>
      <x:c r="H347" s="44" t="b">
        <x:v>0</x:v>
      </x:c>
      <x:c r="I347" s="39" t="n">
        <x:v>0.001770791</x:v>
      </x:c>
    </x:row>
    <x:row r="348" ht="19" customHeight="1">
      <x:c r="A348" s="30" t="str">
        <x:v>stagger_1</x:v>
      </x:c>
      <x:c r="B348" s="39" t="str">
        <x:v>CME</x:v>
      </x:c>
      <x:c r="C348" s="39" t="str">
        <x:v>Other sectors</x:v>
      </x:c>
      <x:c r="D348" s="31" t="n">
        <x:v>3</x:v>
      </x:c>
      <x:c r="E348" s="39" t="str">
        <x:v>XLV</x:v>
      </x:c>
      <x:c r="F348" s="39" t="n">
        <x:v>-0.1160410997</x:v>
      </x:c>
      <x:c r="G348" s="39" t="n">
        <x:v>-0.7028347374</x:v>
      </x:c>
      <x:c r="H348" s="44" t="b">
        <x:v>0</x:v>
      </x:c>
      <x:c r="I348" s="39" t="n">
        <x:v>0.0062931793</x:v>
      </x:c>
    </x:row>
    <x:row r="349" ht="19" customHeight="1">
      <x:c r="A349" s="30" t="str">
        <x:v>stagger_1</x:v>
      </x:c>
      <x:c r="B349" s="39" t="str">
        <x:v>CME</x:v>
      </x:c>
      <x:c r="C349" s="39" t="str">
        <x:v>Other sectors</x:v>
      </x:c>
      <x:c r="D349" s="31" t="n">
        <x:v>3</x:v>
      </x:c>
      <x:c r="E349" s="39" t="str">
        <x:v>XLY</x:v>
      </x:c>
      <x:c r="F349" s="39" t="n">
        <x:v>0.2186112063</x:v>
      </x:c>
      <x:c r="G349" s="39" t="n">
        <x:v>1.1186883854</x:v>
      </x:c>
      <x:c r="H349" s="44" t="b">
        <x:v>0</x:v>
      </x:c>
      <x:c r="I349" s="39" t="n">
        <x:v>0.0157910485</x:v>
      </x:c>
    </x:row>
    <x:row r="350" ht="19" customHeight="1">
      <x:c r="A350" s="30" t="str">
        <x:v>stagger_1</x:v>
      </x:c>
      <x:c r="B350" s="39" t="str">
        <x:v>NET</x:v>
      </x:c>
      <x:c r="C350" s="39" t="str">
        <x:v>Other FX</x:v>
      </x:c>
      <x:c r="D350" s="31" t="n">
        <x:v>1</x:v>
      </x:c>
      <x:c r="E350" s="39" t="str">
        <x:v>AUD/USD</x:v>
      </x:c>
      <x:c r="F350" s="39" t="n">
        <x:v>0.0732420634</x:v>
      </x:c>
      <x:c r="G350" s="39" t="n">
        <x:v>0.0945971301</x:v>
      </x:c>
      <x:c r="H350" s="44" t="b">
        <x:v>0</x:v>
      </x:c>
      <x:c r="I350" s="39" t="n">
        <x:v>0.0001147127</x:v>
      </x:c>
    </x:row>
    <x:row r="351" ht="19" customHeight="1">
      <x:c r="A351" s="30" t="str">
        <x:v>stagger_1</x:v>
      </x:c>
      <x:c r="B351" s="39" t="str">
        <x:v>NET</x:v>
      </x:c>
      <x:c r="C351" s="39" t="str">
        <x:v>Other sectors</x:v>
      </x:c>
      <x:c r="D351" s="31" t="n">
        <x:v>1</x:v>
      </x:c>
      <x:c r="E351" s="39" t="str">
        <x:v>XLB</x:v>
      </x:c>
      <x:c r="F351" s="39" t="n">
        <x:v>-0.387238504</x:v>
      </x:c>
      <x:c r="G351" s="39" t="n">
        <x:v>-0.9590845024</x:v>
      </x:c>
      <x:c r="H351" s="44" t="b">
        <x:v>0</x:v>
      </x:c>
      <x:c r="I351" s="39" t="n">
        <x:v>0.0116554094</x:v>
      </x:c>
    </x:row>
    <x:row r="352" ht="19" customHeight="1">
      <x:c r="A352" s="30" t="str">
        <x:v>stagger_1</x:v>
      </x:c>
      <x:c r="B352" s="39" t="str">
        <x:v>NET</x:v>
      </x:c>
      <x:c r="C352" s="39" t="str">
        <x:v>Other sectors</x:v>
      </x:c>
      <x:c r="D352" s="31" t="n">
        <x:v>1</x:v>
      </x:c>
      <x:c r="E352" s="39" t="str">
        <x:v>XLC</x:v>
      </x:c>
      <x:c r="F352" s="39" t="n">
        <x:v>0.5330197342</x:v>
      </x:c>
      <x:c r="G352" s="39" t="n">
        <x:v>0.9661919799</x:v>
      </x:c>
      <x:c r="H352" s="44" t="b">
        <x:v>0</x:v>
      </x:c>
      <x:c r="I352" s="39" t="n">
        <x:v>0.0118267481</x:v>
      </x:c>
    </x:row>
    <x:row r="353" ht="19" customHeight="1">
      <x:c r="A353" s="30" t="str">
        <x:v>stagger_1</x:v>
      </x:c>
      <x:c r="B353" s="39" t="str">
        <x:v>NET</x:v>
      </x:c>
      <x:c r="C353" s="39" t="str">
        <x:v>Other sectors</x:v>
      </x:c>
      <x:c r="D353" s="31" t="n">
        <x:v>1</x:v>
      </x:c>
      <x:c r="E353" s="39" t="str">
        <x:v>XLE</x:v>
      </x:c>
      <x:c r="F353" s="39" t="n">
        <x:v>0.2228444065</x:v>
      </x:c>
      <x:c r="G353" s="39" t="n">
        <x:v>1.0226710335</x:v>
      </x:c>
      <x:c r="H353" s="44" t="b">
        <x:v>0</x:v>
      </x:c>
      <x:c r="I353" s="39" t="n">
        <x:v>0.0132310041</x:v>
      </x:c>
    </x:row>
    <x:row r="354" ht="19" customHeight="1">
      <x:c r="A354" s="30" t="str">
        <x:v>stagger_1</x:v>
      </x:c>
      <x:c r="B354" s="39" t="str">
        <x:v>NET</x:v>
      </x:c>
      <x:c r="C354" s="39" t="str">
        <x:v>Other sectors</x:v>
      </x:c>
      <x:c r="D354" s="31" t="n">
        <x:v>1</x:v>
      </x:c>
      <x:c r="E354" s="39" t="str">
        <x:v>XLF</x:v>
      </x:c>
      <x:c r="F354" s="39" t="n">
        <x:v>0.6139631434</x:v>
      </x:c>
      <x:c r="G354" s="39" t="n">
        <x:v>1.1927434728</x:v>
      </x:c>
      <x:c r="H354" s="44" t="b">
        <x:v>0</x:v>
      </x:c>
      <x:c r="I354" s="39" t="n">
        <x:v>0.0179122357</x:v>
      </x:c>
    </x:row>
    <x:row r="355" ht="19" customHeight="1">
      <x:c r="A355" s="30" t="str">
        <x:v>stagger_1</x:v>
      </x:c>
      <x:c r="B355" s="39" t="str">
        <x:v>NET</x:v>
      </x:c>
      <x:c r="C355" s="39" t="str">
        <x:v>Other sectors</x:v>
      </x:c>
      <x:c r="D355" s="31" t="n">
        <x:v>1</x:v>
      </x:c>
      <x:c r="E355" s="39" t="str">
        <x:v>XLI</x:v>
      </x:c>
      <x:c r="F355" s="39" t="n">
        <x:v>-0.2132281947</x:v>
      </x:c>
      <x:c r="G355" s="39" t="n">
        <x:v>-0.3901951101</x:v>
      </x:c>
      <x:c r="H355" s="44" t="b">
        <x:v>0</x:v>
      </x:c>
      <x:c r="I355" s="39" t="n">
        <x:v>0.0019481489</x:v>
      </x:c>
    </x:row>
    <x:row r="356" ht="19" customHeight="1">
      <x:c r="A356" s="30" t="str">
        <x:v>stagger_1</x:v>
      </x:c>
      <x:c r="B356" s="39" t="str">
        <x:v>NET</x:v>
      </x:c>
      <x:c r="C356" s="39" t="str">
        <x:v>Other sectors</x:v>
      </x:c>
      <x:c r="D356" s="31" t="n">
        <x:v>1</x:v>
      </x:c>
      <x:c r="E356" s="39" t="str">
        <x:v>XLP</x:v>
      </x:c>
      <x:c r="F356" s="39" t="n">
        <x:v>-1.0906603779</x:v>
      </x:c>
      <x:c r="G356" s="39" t="n">
        <x:v>-2.2832356249</x:v>
      </x:c>
      <x:c r="H356" s="44" t="b">
        <x:v>0</x:v>
      </x:c>
      <x:c r="I356" s="39" t="n">
        <x:v>0.0626483192</x:v>
      </x:c>
    </x:row>
    <x:row r="357" ht="19" customHeight="1">
      <x:c r="A357" s="30" t="str">
        <x:v>stagger_1</x:v>
      </x:c>
      <x:c r="B357" s="39" t="str">
        <x:v>NET</x:v>
      </x:c>
      <x:c r="C357" s="39" t="str">
        <x:v>Other sectors</x:v>
      </x:c>
      <x:c r="D357" s="31" t="n">
        <x:v>1</x:v>
      </x:c>
      <x:c r="E357" s="39" t="str">
        <x:v>XLRE</x:v>
      </x:c>
      <x:c r="F357" s="39" t="n">
        <x:v>0.1550828193</x:v>
      </x:c>
      <x:c r="G357" s="39" t="n">
        <x:v>0.3485174222</x:v>
      </x:c>
      <x:c r="H357" s="44" t="b">
        <x:v>0</x:v>
      </x:c>
      <x:c r="I357" s="39" t="n">
        <x:v>0.0015548146</x:v>
      </x:c>
    </x:row>
    <x:row r="358" ht="19" customHeight="1">
      <x:c r="A358" s="30" t="str">
        <x:v>stagger_1</x:v>
      </x:c>
      <x:c r="B358" s="39" t="str">
        <x:v>NET</x:v>
      </x:c>
      <x:c r="C358" s="39" t="str">
        <x:v>Other sectors</x:v>
      </x:c>
      <x:c r="D358" s="31" t="n">
        <x:v>1</x:v>
      </x:c>
      <x:c r="E358" s="39" t="str">
        <x:v>XLU</x:v>
      </x:c>
      <x:c r="F358" s="39" t="n">
        <x:v>-0.1187980618</x:v>
      </x:c>
      <x:c r="G358" s="39" t="n">
        <x:v>-0.3136212024</x:v>
      </x:c>
      <x:c r="H358" s="44" t="b">
        <x:v>0</x:v>
      </x:c>
      <x:c r="I358" s="39" t="n">
        <x:v>0.0012594152</x:v>
      </x:c>
    </x:row>
    <x:row r="359" ht="19" customHeight="1">
      <x:c r="A359" s="30" t="str">
        <x:v>stagger_1</x:v>
      </x:c>
      <x:c r="B359" s="39" t="str">
        <x:v>NET</x:v>
      </x:c>
      <x:c r="C359" s="39" t="str">
        <x:v>Other sectors</x:v>
      </x:c>
      <x:c r="D359" s="31" t="n">
        <x:v>1</x:v>
      </x:c>
      <x:c r="E359" s="39" t="str">
        <x:v>XLV</x:v>
      </x:c>
      <x:c r="F359" s="39" t="n">
        <x:v>-0.5971184391</x:v>
      </x:c>
      <x:c r="G359" s="39" t="n">
        <x:v>-1.3450379321</x:v>
      </x:c>
      <x:c r="H359" s="44" t="b">
        <x:v>0</x:v>
      </x:c>
      <x:c r="I359" s="39" t="n">
        <x:v>0.0226681722</x:v>
      </x:c>
    </x:row>
    <x:row r="360" ht="19" customHeight="1">
      <x:c r="A360" s="30" t="str">
        <x:v>stagger_1</x:v>
      </x:c>
      <x:c r="B360" s="39" t="str">
        <x:v>NET</x:v>
      </x:c>
      <x:c r="C360" s="39" t="str">
        <x:v>Other sectors</x:v>
      </x:c>
      <x:c r="D360" s="31" t="n">
        <x:v>1</x:v>
      </x:c>
      <x:c r="E360" s="39" t="str">
        <x:v>XLY</x:v>
      </x:c>
      <x:c r="F360" s="39" t="n">
        <x:v>1.460140591</x:v>
      </x:c>
      <x:c r="G360" s="39" t="n">
        <x:v>2.8752440185</x:v>
      </x:c>
      <x:c r="H360" s="44" t="b">
        <x:v>1</x:v>
      </x:c>
      <x:c r="I360" s="39" t="n">
        <x:v>0.0958306823</x:v>
      </x:c>
    </x:row>
    <x:row r="361" ht="19" customHeight="1">
      <x:c r="A361" s="30" t="str">
        <x:v>stagger_1</x:v>
      </x:c>
      <x:c r="B361" s="39" t="str">
        <x:v>NET</x:v>
      </x:c>
      <x:c r="C361" s="39" t="str">
        <x:v>Other sectors</x:v>
      </x:c>
      <x:c r="D361" s="31" t="n">
        <x:v>2</x:v>
      </x:c>
      <x:c r="E361" s="39" t="str">
        <x:v>XLB</x:v>
      </x:c>
      <x:c r="F361" s="39" t="n">
        <x:v>-0.3074631139</x:v>
      </x:c>
      <x:c r="G361" s="39" t="n">
        <x:v>-0.7994154593</x:v>
      </x:c>
      <x:c r="H361" s="44" t="b">
        <x:v>0</x:v>
      </x:c>
      <x:c r="I361" s="39" t="n">
        <x:v>0.0081265599</x:v>
      </x:c>
    </x:row>
    <x:row r="362" ht="19" customHeight="1">
      <x:c r="A362" s="30" t="str">
        <x:v>stagger_1</x:v>
      </x:c>
      <x:c r="B362" s="39" t="str">
        <x:v>NET</x:v>
      </x:c>
      <x:c r="C362" s="39" t="str">
        <x:v>Other sectors</x:v>
      </x:c>
      <x:c r="D362" s="31" t="n">
        <x:v>2</x:v>
      </x:c>
      <x:c r="E362" s="39" t="str">
        <x:v>XLC</x:v>
      </x:c>
      <x:c r="F362" s="39" t="n">
        <x:v>0.056378986</x:v>
      </x:c>
      <x:c r="G362" s="39" t="n">
        <x:v>0.1068466338</x:v>
      </x:c>
      <x:c r="H362" s="44" t="b">
        <x:v>0</x:v>
      </x:c>
      <x:c r="I362" s="39" t="n">
        <x:v>0.0001463402</x:v>
      </x:c>
    </x:row>
    <x:row r="363" ht="19" customHeight="1">
      <x:c r="A363" s="30" t="str">
        <x:v>stagger_1</x:v>
      </x:c>
      <x:c r="B363" s="39" t="str">
        <x:v>NET</x:v>
      </x:c>
      <x:c r="C363" s="39" t="str">
        <x:v>Other sectors</x:v>
      </x:c>
      <x:c r="D363" s="31" t="n">
        <x:v>2</x:v>
      </x:c>
      <x:c r="E363" s="39" t="str">
        <x:v>XLE</x:v>
      </x:c>
      <x:c r="F363" s="39" t="n">
        <x:v>0.3678101601</x:v>
      </x:c>
      <x:c r="G363" s="39" t="n">
        <x:v>1.7995940746</x:v>
      </x:c>
      <x:c r="H363" s="44" t="b">
        <x:v>0</x:v>
      </x:c>
      <x:c r="I363" s="39" t="n">
        <x:v>0.0398645628</x:v>
      </x:c>
    </x:row>
    <x:row r="364" ht="19" customHeight="1">
      <x:c r="A364" s="30" t="str">
        <x:v>stagger_1</x:v>
      </x:c>
      <x:c r="B364" s="39" t="str">
        <x:v>NET</x:v>
      </x:c>
      <x:c r="C364" s="39" t="str">
        <x:v>Other sectors</x:v>
      </x:c>
      <x:c r="D364" s="31" t="n">
        <x:v>2</x:v>
      </x:c>
      <x:c r="E364" s="39" t="str">
        <x:v>XLF</x:v>
      </x:c>
      <x:c r="F364" s="39" t="n">
        <x:v>0.6573665719</x:v>
      </x:c>
      <x:c r="G364" s="39" t="n">
        <x:v>1.3463285654</x:v>
      </x:c>
      <x:c r="H364" s="44" t="b">
        <x:v>0</x:v>
      </x:c>
      <x:c r="I364" s="39" t="n">
        <x:v>0.0227107072</x:v>
      </x:c>
    </x:row>
    <x:row r="365" ht="19" customHeight="1">
      <x:c r="A365" s="30" t="str">
        <x:v>stagger_1</x:v>
      </x:c>
      <x:c r="B365" s="39" t="str">
        <x:v>NET</x:v>
      </x:c>
      <x:c r="C365" s="39" t="str">
        <x:v>Other sectors</x:v>
      </x:c>
      <x:c r="D365" s="31" t="n">
        <x:v>2</x:v>
      </x:c>
      <x:c r="E365" s="39" t="str">
        <x:v>XLI</x:v>
      </x:c>
      <x:c r="F365" s="39" t="n">
        <x:v>-0.0323008275</x:v>
      </x:c>
      <x:c r="G365" s="39" t="n">
        <x:v>-0.0621030955</x:v>
      </x:c>
      <x:c r="H365" s="44" t="b">
        <x:v>0</x:v>
      </x:c>
      <x:c r="I365" s="39" t="n">
        <x:v>0.0000494436</x:v>
      </x:c>
    </x:row>
    <x:row r="366" ht="19" customHeight="1">
      <x:c r="A366" s="30" t="str">
        <x:v>stagger_1</x:v>
      </x:c>
      <x:c r="B366" s="39" t="str">
        <x:v>NET</x:v>
      </x:c>
      <x:c r="C366" s="39" t="str">
        <x:v>Other sectors</x:v>
      </x:c>
      <x:c r="D366" s="31" t="n">
        <x:v>2</x:v>
      </x:c>
      <x:c r="E366" s="39" t="str">
        <x:v>XLP</x:v>
      </x:c>
      <x:c r="F366" s="39" t="n">
        <x:v>-0.9366118657</x:v>
      </x:c>
      <x:c r="G366" s="39" t="n">
        <x:v>-2.0494459114</x:v>
      </x:c>
      <x:c r="H366" s="44" t="b">
        <x:v>1</x:v>
      </x:c>
      <x:c r="I366" s="39" t="n">
        <x:v>0.0510975288</x:v>
      </x:c>
    </x:row>
    <x:row r="367" ht="19" customHeight="1">
      <x:c r="A367" s="30" t="str">
        <x:v>stagger_1</x:v>
      </x:c>
      <x:c r="B367" s="39" t="str">
        <x:v>NET</x:v>
      </x:c>
      <x:c r="C367" s="39" t="str">
        <x:v>Other sectors</x:v>
      </x:c>
      <x:c r="D367" s="31" t="n">
        <x:v>2</x:v>
      </x:c>
      <x:c r="E367" s="39" t="str">
        <x:v>XLRE</x:v>
      </x:c>
      <x:c r="F367" s="39" t="n">
        <x:v>0.0157207449</x:v>
      </x:c>
      <x:c r="G367" s="39" t="n">
        <x:v>0.0371257293</x:v>
      </x:c>
      <x:c r="H367" s="44" t="b">
        <x:v>0</x:v>
      </x:c>
      <x:c r="I367" s="39" t="n">
        <x:v>0.0000176705</x:v>
      </x:c>
    </x:row>
    <x:row r="368" ht="19" customHeight="1">
      <x:c r="A368" s="30" t="str">
        <x:v>stagger_1</x:v>
      </x:c>
      <x:c r="B368" s="39" t="str">
        <x:v>NET</x:v>
      </x:c>
      <x:c r="C368" s="39" t="str">
        <x:v>Other sectors</x:v>
      </x:c>
      <x:c r="D368" s="31" t="n">
        <x:v>2</x:v>
      </x:c>
      <x:c r="E368" s="39" t="str">
        <x:v>XLU</x:v>
      </x:c>
      <x:c r="F368" s="39" t="n">
        <x:v>-0.0668423546</x:v>
      </x:c>
      <x:c r="G368" s="39" t="n">
        <x:v>-0.1855004818</x:v>
      </x:c>
      <x:c r="H368" s="44" t="b">
        <x:v>0</x:v>
      </x:c>
      <x:c r="I368" s="39" t="n">
        <x:v>0.0004409648</x:v>
      </x:c>
    </x:row>
    <x:row r="369" ht="19" customHeight="1">
      <x:c r="A369" s="30" t="str">
        <x:v>stagger_1</x:v>
      </x:c>
      <x:c r="B369" s="39" t="str">
        <x:v>NET</x:v>
      </x:c>
      <x:c r="C369" s="39" t="str">
        <x:v>Other sectors</x:v>
      </x:c>
      <x:c r="D369" s="31" t="n">
        <x:v>2</x:v>
      </x:c>
      <x:c r="E369" s="39" t="str">
        <x:v>XLV</x:v>
      </x:c>
      <x:c r="F369" s="39" t="n">
        <x:v>-0.2540650979</x:v>
      </x:c>
      <x:c r="G369" s="39" t="n">
        <x:v>-0.5963524609</x:v>
      </x:c>
      <x:c r="H369" s="44" t="b">
        <x:v>0</x:v>
      </x:c>
      <x:c r="I369" s="39" t="n">
        <x:v>0.0045387451</x:v>
      </x:c>
    </x:row>
    <x:row r="370" ht="19" customHeight="1">
      <x:c r="A370" s="30" t="str">
        <x:v>stagger_1</x:v>
      </x:c>
      <x:c r="B370" s="39" t="str">
        <x:v>NET</x:v>
      </x:c>
      <x:c r="C370" s="39" t="str">
        <x:v>Other sectors</x:v>
      </x:c>
      <x:c r="D370" s="31" t="n">
        <x:v>3</x:v>
      </x:c>
      <x:c r="E370" s="39" t="str">
        <x:v>XLB</x:v>
      </x:c>
      <x:c r="F370" s="39" t="n">
        <x:v>0.0618326802</x:v>
      </x:c>
      <x:c r="G370" s="39" t="n">
        <x:v>0.1643955887</x:v>
      </x:c>
      <x:c r="H370" s="44" t="b">
        <x:v>0</x:v>
      </x:c>
      <x:c r="I370" s="39" t="n">
        <x:v>0.000346366</x:v>
      </x:c>
    </x:row>
    <x:row r="371" ht="19" customHeight="1">
      <x:c r="A371" s="30" t="str">
        <x:v>stagger_1</x:v>
      </x:c>
      <x:c r="B371" s="39" t="str">
        <x:v>NET</x:v>
      </x:c>
      <x:c r="C371" s="39" t="str">
        <x:v>Other sectors</x:v>
      </x:c>
      <x:c r="D371" s="31" t="n">
        <x:v>3</x:v>
      </x:c>
      <x:c r="E371" s="39" t="str">
        <x:v>XLC</x:v>
      </x:c>
      <x:c r="F371" s="39" t="n">
        <x:v>0.1207700584</x:v>
      </x:c>
      <x:c r="G371" s="39" t="n">
        <x:v>0.2350249737</x:v>
      </x:c>
      <x:c r="H371" s="44" t="b">
        <x:v>0</x:v>
      </x:c>
      <x:c r="I371" s="39" t="n">
        <x:v>0.0007076622</x:v>
      </x:c>
    </x:row>
    <x:row r="372" ht="19" customHeight="1">
      <x:c r="A372" s="30" t="str">
        <x:v>stagger_1</x:v>
      </x:c>
      <x:c r="B372" s="39" t="str">
        <x:v>NET</x:v>
      </x:c>
      <x:c r="C372" s="39" t="str">
        <x:v>Other sectors</x:v>
      </x:c>
      <x:c r="D372" s="31" t="n">
        <x:v>3</x:v>
      </x:c>
      <x:c r="E372" s="39" t="str">
        <x:v>XLE</x:v>
      </x:c>
      <x:c r="F372" s="39" t="n">
        <x:v>0.4220604667</x:v>
      </x:c>
      <x:c r="G372" s="39" t="n">
        <x:v>2.1371655923</x:v>
      </x:c>
      <x:c r="H372" s="44" t="b">
        <x:v>1</x:v>
      </x:c>
      <x:c r="I372" s="39" t="n">
        <x:v>0.0553181101</x:v>
      </x:c>
    </x:row>
    <x:row r="373" ht="19" customHeight="1">
      <x:c r="A373" s="30" t="str">
        <x:v>stagger_1</x:v>
      </x:c>
      <x:c r="B373" s="39" t="str">
        <x:v>NET</x:v>
      </x:c>
      <x:c r="C373" s="39" t="str">
        <x:v>Other sectors</x:v>
      </x:c>
      <x:c r="D373" s="31" t="n">
        <x:v>3</x:v>
      </x:c>
      <x:c r="E373" s="39" t="str">
        <x:v>XLF</x:v>
      </x:c>
      <x:c r="F373" s="39" t="n">
        <x:v>0.678244866</x:v>
      </x:c>
      <x:c r="G373" s="39" t="n">
        <x:v>1.4280221291</x:v>
      </x:c>
      <x:c r="H373" s="44" t="b">
        <x:v>0</x:v>
      </x:c>
      <x:c r="I373" s="39" t="n">
        <x:v>0.0254780907</x:v>
      </x:c>
    </x:row>
    <x:row r="374" ht="19" customHeight="1">
      <x:c r="A374" s="30" t="str">
        <x:v>stagger_1</x:v>
      </x:c>
      <x:c r="B374" s="39" t="str">
        <x:v>NET</x:v>
      </x:c>
      <x:c r="C374" s="39" t="str">
        <x:v>Other sectors</x:v>
      </x:c>
      <x:c r="D374" s="31" t="n">
        <x:v>3</x:v>
      </x:c>
      <x:c r="E374" s="39" t="str">
        <x:v>XLI</x:v>
      </x:c>
      <x:c r="F374" s="39" t="n">
        <x:v>0.4114840746</x:v>
      </x:c>
      <x:c r="G374" s="39" t="n">
        <x:v>0.815596063</x:v>
      </x:c>
      <x:c r="H374" s="44" t="b">
        <x:v>0</x:v>
      </x:c>
      <x:c r="I374" s="39" t="n">
        <x:v>0.0084560513</x:v>
      </x:c>
    </x:row>
    <x:row r="375" ht="19" customHeight="1">
      <x:c r="A375" s="30" t="str">
        <x:v>stagger_1</x:v>
      </x:c>
      <x:c r="B375" s="39" t="str">
        <x:v>NET</x:v>
      </x:c>
      <x:c r="C375" s="39" t="str">
        <x:v>Other sectors</x:v>
      </x:c>
      <x:c r="D375" s="31" t="n">
        <x:v>3</x:v>
      </x:c>
      <x:c r="E375" s="39" t="str">
        <x:v>XLRE</x:v>
      </x:c>
      <x:c r="F375" s="39" t="n">
        <x:v>0.4869554711</x:v>
      </x:c>
      <x:c r="G375" s="39" t="n">
        <x:v>1.1912184375</x:v>
      </x:c>
      <x:c r="H375" s="44" t="b">
        <x:v>0</x:v>
      </x:c>
      <x:c r="I375" s="39" t="n">
        <x:v>0.0178672779</x:v>
      </x:c>
    </x:row>
    <x:row r="376" ht="19" customHeight="1">
      <x:c r="A376" s="30" t="str">
        <x:v>stagger_1</x:v>
      </x:c>
      <x:c r="B376" s="39" t="str">
        <x:v>NET</x:v>
      </x:c>
      <x:c r="C376" s="39" t="str">
        <x:v>Other sectors</x:v>
      </x:c>
      <x:c r="D376" s="31" t="n">
        <x:v>3</x:v>
      </x:c>
      <x:c r="E376" s="39" t="str">
        <x:v>XLU</x:v>
      </x:c>
      <x:c r="F376" s="39" t="n">
        <x:v>0.2992881592</x:v>
      </x:c>
      <x:c r="G376" s="39" t="n">
        <x:v>0.8564634471</x:v>
      </x:c>
      <x:c r="H376" s="44" t="b">
        <x:v>0</x:v>
      </x:c>
      <x:c r="I376" s="39" t="n">
        <x:v>0.0093166106</x:v>
      </x:c>
    </x:row>
    <x:row r="377" ht="19" customHeight="1">
      <x:c r="A377" s="30" t="str">
        <x:v>stagger_1</x:v>
      </x:c>
      <x:c r="B377" s="39" t="str">
        <x:v>NET</x:v>
      </x:c>
      <x:c r="C377" s="39" t="str">
        <x:v>Other sectors</x:v>
      </x:c>
      <x:c r="D377" s="31" t="n">
        <x:v>3</x:v>
      </x:c>
      <x:c r="E377" s="39" t="str">
        <x:v>XLV</x:v>
      </x:c>
      <x:c r="F377" s="39" t="n">
        <x:v>0.1433988999</x:v>
      </x:c>
      <x:c r="G377" s="39" t="n">
        <x:v>0.3450137083</x:v>
      </x:c>
      <x:c r="H377" s="44" t="b">
        <x:v>0</x:v>
      </x:c>
      <x:c r="I377" s="39" t="n">
        <x:v>0.0015237574</x:v>
      </x:c>
    </x:row>
    <x:row r="378" ht="19" customHeight="1">
      <x:c r="A378" s="30" t="str">
        <x:v>stagger_1</x:v>
      </x:c>
      <x:c r="B378" s="39" t="str">
        <x:v>NET</x:v>
      </x:c>
      <x:c r="C378" s="39" t="str">
        <x:v>Other sectors</x:v>
      </x:c>
      <x:c r="D378" s="31" t="n">
        <x:v>4</x:v>
      </x:c>
      <x:c r="E378" s="39" t="str">
        <x:v>XLB</x:v>
      </x:c>
      <x:c r="F378" s="39" t="n">
        <x:v>-0.1867087414</x:v>
      </x:c>
      <x:c r="G378" s="39" t="n">
        <x:v>-0.5115002726</x:v>
      </x:c>
      <x:c r="H378" s="44" t="b">
        <x:v>0</x:v>
      </x:c>
      <x:c r="I378" s="39" t="n">
        <x:v>0.0033430497</x:v>
      </x:c>
    </x:row>
    <x:row r="379" ht="19" customHeight="1">
      <x:c r="A379" s="30" t="str">
        <x:v>stagger_1</x:v>
      </x:c>
      <x:c r="B379" s="39" t="str">
        <x:v>NET</x:v>
      </x:c>
      <x:c r="C379" s="39" t="str">
        <x:v>Other sectors</x:v>
      </x:c>
      <x:c r="D379" s="31" t="n">
        <x:v>4</x:v>
      </x:c>
      <x:c r="E379" s="39" t="str">
        <x:v>XLC</x:v>
      </x:c>
      <x:c r="F379" s="39" t="n">
        <x:v>0.0491788216</x:v>
      </x:c>
      <x:c r="G379" s="39" t="n">
        <x:v>0.0984381205</x:v>
      </x:c>
      <x:c r="H379" s="44" t="b">
        <x:v>0</x:v>
      </x:c>
      <x:c r="I379" s="39" t="n">
        <x:v>0.0001242162</x:v>
      </x:c>
    </x:row>
    <x:row r="380" ht="19" customHeight="1">
      <x:c r="A380" s="30" t="str">
        <x:v>stagger_1</x:v>
      </x:c>
      <x:c r="B380" s="39" t="str">
        <x:v>NET</x:v>
      </x:c>
      <x:c r="C380" s="39" t="str">
        <x:v>Other sectors</x:v>
      </x:c>
      <x:c r="D380" s="31" t="n">
        <x:v>4</x:v>
      </x:c>
      <x:c r="E380" s="39" t="str">
        <x:v>XLF</x:v>
      </x:c>
      <x:c r="F380" s="39" t="n">
        <x:v>0.4079069054</x:v>
      </x:c>
      <x:c r="G380" s="39" t="n">
        <x:v>0.8765792275</x:v>
      </x:c>
      <x:c r="H380" s="44" t="b">
        <x:v>0</x:v>
      </x:c>
      <x:c r="I380" s="39" t="n">
        <x:v>0.0097550697</x:v>
      </x:c>
    </x:row>
    <x:row r="381" ht="19" customHeight="1">
      <x:c r="A381" s="30" t="str">
        <x:v>stagger_1</x:v>
      </x:c>
      <x:c r="B381" s="39" t="str">
        <x:v>NET</x:v>
      </x:c>
      <x:c r="C381" s="39" t="str">
        <x:v>Other sectors</x:v>
      </x:c>
      <x:c r="D381" s="31" t="n">
        <x:v>4</x:v>
      </x:c>
      <x:c r="E381" s="39" t="str">
        <x:v>XLI</x:v>
      </x:c>
      <x:c r="F381" s="39" t="n">
        <x:v>0.2255962111</x:v>
      </x:c>
      <x:c r="G381" s="39" t="n">
        <x:v>0.4587246845</x:v>
      </x:c>
      <x:c r="H381" s="44" t="b">
        <x:v>0</x:v>
      </x:c>
      <x:c r="I381" s="39" t="n">
        <x:v>0.0026905406</x:v>
      </x:c>
    </x:row>
    <x:row r="382" ht="19" customHeight="1">
      <x:c r="A382" s="30" t="str">
        <x:v>stagger_1</x:v>
      </x:c>
      <x:c r="B382" s="39" t="str">
        <x:v>NET</x:v>
      </x:c>
      <x:c r="C382" s="39" t="str">
        <x:v>Other sectors</x:v>
      </x:c>
      <x:c r="D382" s="31" t="n">
        <x:v>4</x:v>
      </x:c>
      <x:c r="E382" s="39" t="str">
        <x:v>XLRE</x:v>
      </x:c>
      <x:c r="F382" s="39" t="n">
        <x:v>0.3666759291</x:v>
      </x:c>
      <x:c r="G382" s="39" t="n">
        <x:v>0.9195347148</x:v>
      </x:c>
      <x:c r="H382" s="44" t="b">
        <x:v>0</x:v>
      </x:c>
      <x:c r="I382" s="39" t="n">
        <x:v>0.0107240568</x:v>
      </x:c>
    </x:row>
    <x:row r="383" ht="19" customHeight="1">
      <x:c r="A383" s="30" t="str">
        <x:v>stagger_1</x:v>
      </x:c>
      <x:c r="B383" s="39" t="str">
        <x:v>NET</x:v>
      </x:c>
      <x:c r="C383" s="39" t="str">
        <x:v>Other sectors</x:v>
      </x:c>
      <x:c r="D383" s="31" t="n">
        <x:v>4</x:v>
      </x:c>
      <x:c r="E383" s="39" t="str">
        <x:v>XLU</x:v>
      </x:c>
      <x:c r="F383" s="39" t="n">
        <x:v>0.2413017575</x:v>
      </x:c>
      <x:c r="G383" s="39" t="n">
        <x:v>0.7094160399</x:v>
      </x:c>
      <x:c r="H383" s="44" t="b">
        <x:v>0</x:v>
      </x:c>
      <x:c r="I383" s="39" t="n">
        <x:v>0.0064108299</x:v>
      </x:c>
    </x:row>
    <x:row r="384" ht="19" customHeight="1">
      <x:c r="A384" s="30" t="str">
        <x:v>stagger_1</x:v>
      </x:c>
      <x:c r="B384" s="39" t="str">
        <x:v>NET</x:v>
      </x:c>
      <x:c r="C384" s="39" t="str">
        <x:v>Other sectors</x:v>
      </x:c>
      <x:c r="D384" s="31" t="n">
        <x:v>4</x:v>
      </x:c>
      <x:c r="E384" s="39" t="str">
        <x:v>XLV</x:v>
      </x:c>
      <x:c r="F384" s="39" t="n">
        <x:v>-0.0021155327</x:v>
      </x:c>
      <x:c r="G384" s="39" t="n">
        <x:v>-0.0052328276</x:v>
      </x:c>
      <x:c r="H384" s="44" t="b">
        <x:v>0</x:v>
      </x:c>
      <x:c r="I384" s="39" t="n">
        <x:v>3.511e-7</x:v>
      </x:c>
    </x:row>
    <x:row r="385" ht="19" customHeight="1">
      <x:c r="A385" s="30" t="str">
        <x:v>stagger_1</x:v>
      </x:c>
      <x:c r="B385" s="39" t="str">
        <x:v>MRNA</x:v>
      </x:c>
      <x:c r="C385" s="39" t="str">
        <x:v>Other FX</x:v>
      </x:c>
      <x:c r="D385" s="31" t="n">
        <x:v>1</x:v>
      </x:c>
      <x:c r="E385" s="39" t="str">
        <x:v>AUD/USD</x:v>
      </x:c>
      <x:c r="F385" s="39" t="n">
        <x:v>2.6742103247</x:v>
      </x:c>
      <x:c r="G385" s="39" t="n">
        <x:v>2.8814021463</x:v>
      </x:c>
      <x:c r="H385" s="44" t="b">
        <x:v>1</x:v>
      </x:c>
      <x:c r="I385" s="39" t="n">
        <x:v>0.0962020847</x:v>
      </x:c>
    </x:row>
    <x:row r="386" ht="19" customHeight="1">
      <x:c r="A386" s="30" t="str">
        <x:v>stagger_1</x:v>
      </x:c>
      <x:c r="B386" s="39" t="str">
        <x:v>MRNA</x:v>
      </x:c>
      <x:c r="C386" s="39" t="str">
        <x:v>Other sectors</x:v>
      </x:c>
      <x:c r="D386" s="31" t="n">
        <x:v>1</x:v>
      </x:c>
      <x:c r="E386" s="39" t="str">
        <x:v>XLB</x:v>
      </x:c>
      <x:c r="F386" s="39" t="n">
        <x:v>0.67943386</x:v>
      </x:c>
      <x:c r="G386" s="39" t="n">
        <x:v>1.3103668892</x:v>
      </x:c>
      <x:c r="H386" s="44" t="b">
        <x:v>0</x:v>
      </x:c>
      <x:c r="I386" s="39" t="n">
        <x:v>0.0215394466</x:v>
      </x:c>
    </x:row>
    <x:row r="387" ht="19" customHeight="1">
      <x:c r="A387" s="30" t="str">
        <x:v>stagger_1</x:v>
      </x:c>
      <x:c r="B387" s="39" t="str">
        <x:v>MRNA</x:v>
      </x:c>
      <x:c r="C387" s="39" t="str">
        <x:v>Other sectors</x:v>
      </x:c>
      <x:c r="D387" s="31" t="n">
        <x:v>1</x:v>
      </x:c>
      <x:c r="E387" s="39" t="str">
        <x:v>XLC</x:v>
      </x:c>
      <x:c r="F387" s="39" t="n">
        <x:v>-0.7871439933</x:v>
      </x:c>
      <x:c r="G387" s="39" t="n">
        <x:v>-1.1075520033</x:v>
      </x:c>
      <x:c r="H387" s="44" t="b">
        <x:v>0</x:v>
      </x:c>
      <x:c r="I387" s="39" t="n">
        <x:v>0.0154830617</x:v>
      </x:c>
    </x:row>
    <x:row r="388" ht="19" customHeight="1">
      <x:c r="A388" s="30" t="str">
        <x:v>stagger_1</x:v>
      </x:c>
      <x:c r="B388" s="39" t="str">
        <x:v>MRNA</x:v>
      </x:c>
      <x:c r="C388" s="39" t="str">
        <x:v>Other sectors</x:v>
      </x:c>
      <x:c r="D388" s="31" t="n">
        <x:v>1</x:v>
      </x:c>
      <x:c r="E388" s="39" t="str">
        <x:v>XLE</x:v>
      </x:c>
      <x:c r="F388" s="39" t="n">
        <x:v>-0.1557871652</x:v>
      </x:c>
      <x:c r="G388" s="39" t="n">
        <x:v>-0.5513190915</x:v>
      </x:c>
      <x:c r="H388" s="44" t="b">
        <x:v>0</x:v>
      </x:c>
      <x:c r="I388" s="39" t="n">
        <x:v>0.0038817037</x:v>
      </x:c>
    </x:row>
    <x:row r="389" ht="19" customHeight="1">
      <x:c r="A389" s="30" t="str">
        <x:v>stagger_1</x:v>
      </x:c>
      <x:c r="B389" s="39" t="str">
        <x:v>MRNA</x:v>
      </x:c>
      <x:c r="C389" s="39" t="str">
        <x:v>Other sectors</x:v>
      </x:c>
      <x:c r="D389" s="31" t="n">
        <x:v>1</x:v>
      </x:c>
      <x:c r="E389" s="39" t="str">
        <x:v>XLF</x:v>
      </x:c>
      <x:c r="F389" s="39" t="n">
        <x:v>-0.7560323759</x:v>
      </x:c>
      <x:c r="G389" s="39" t="n">
        <x:v>-1.1370377087</x:v>
      </x:c>
      <x:c r="H389" s="44" t="b">
        <x:v>0</x:v>
      </x:c>
      <x:c r="I389" s="39" t="n">
        <x:v>0.0163048077</x:v>
      </x:c>
    </x:row>
    <x:row r="390" ht="19" customHeight="1">
      <x:c r="A390" s="30" t="str">
        <x:v>stagger_1</x:v>
      </x:c>
      <x:c r="B390" s="39" t="str">
        <x:v>MRNA</x:v>
      </x:c>
      <x:c r="C390" s="39" t="str">
        <x:v>Other sectors</x:v>
      </x:c>
      <x:c r="D390" s="31" t="n">
        <x:v>1</x:v>
      </x:c>
      <x:c r="E390" s="39" t="str">
        <x:v>XLI</x:v>
      </x:c>
      <x:c r="F390" s="39" t="n">
        <x:v>1.1132642866</x:v>
      </x:c>
      <x:c r="G390" s="39" t="n">
        <x:v>1.6026251764</x:v>
      </x:c>
      <x:c r="H390" s="44" t="b">
        <x:v>0</x:v>
      </x:c>
      <x:c r="I390" s="39" t="n">
        <x:v>0.0318785928</x:v>
      </x:c>
    </x:row>
    <x:row r="391" ht="19" customHeight="1">
      <x:c r="A391" s="30" t="str">
        <x:v>stagger_1</x:v>
      </x:c>
      <x:c r="B391" s="39" t="str">
        <x:v>MRNA</x:v>
      </x:c>
      <x:c r="C391" s="39" t="str">
        <x:v>Other sectors</x:v>
      </x:c>
      <x:c r="D391" s="31" t="n">
        <x:v>1</x:v>
      </x:c>
      <x:c r="E391" s="39" t="str">
        <x:v>XLK</x:v>
      </x:c>
      <x:c r="F391" s="39" t="n">
        <x:v>0.7789114055</x:v>
      </x:c>
      <x:c r="G391" s="39" t="n">
        <x:v>1.2514036814</x:v>
      </x:c>
      <x:c r="H391" s="44" t="b">
        <x:v>0</x:v>
      </x:c>
      <x:c r="I391" s="39" t="n">
        <x:v>0.0196819113</x:v>
      </x:c>
    </x:row>
    <x:row r="392" ht="19" customHeight="1">
      <x:c r="A392" s="30" t="str">
        <x:v>stagger_1</x:v>
      </x:c>
      <x:c r="B392" s="39" t="str">
        <x:v>MRNA</x:v>
      </x:c>
      <x:c r="C392" s="39" t="str">
        <x:v>Other sectors</x:v>
      </x:c>
      <x:c r="D392" s="31" t="n">
        <x:v>1</x:v>
      </x:c>
      <x:c r="E392" s="39" t="str">
        <x:v>XLP</x:v>
      </x:c>
      <x:c r="F392" s="39" t="n">
        <x:v>0.0141281203</x:v>
      </x:c>
      <x:c r="G392" s="39" t="n">
        <x:v>0.0221862081</x:v>
      </x:c>
      <x:c r="H392" s="44" t="b">
        <x:v>0</x:v>
      </x:c>
      <x:c r="I392" s="39" t="n">
        <x:v>0.0000063106</x:v>
      </x:c>
    </x:row>
    <x:row r="393" ht="19" customHeight="1">
      <x:c r="A393" s="30" t="str">
        <x:v>stagger_1</x:v>
      </x:c>
      <x:c r="B393" s="39" t="str">
        <x:v>MRNA</x:v>
      </x:c>
      <x:c r="C393" s="39" t="str">
        <x:v>Other sectors</x:v>
      </x:c>
      <x:c r="D393" s="31" t="n">
        <x:v>1</x:v>
      </x:c>
      <x:c r="E393" s="39" t="str">
        <x:v>XLRE</x:v>
      </x:c>
      <x:c r="F393" s="39" t="n">
        <x:v>-0.3340665583</x:v>
      </x:c>
      <x:c r="G393" s="39" t="n">
        <x:v>-0.5824830298</x:v>
      </x:c>
      <x:c r="H393" s="44" t="b">
        <x:v>0</x:v>
      </x:c>
      <x:c r="I393" s="39" t="n">
        <x:v>0.0043309876</x:v>
      </x:c>
    </x:row>
    <x:row r="394" ht="19" customHeight="1">
      <x:c r="A394" s="30" t="str">
        <x:v>stagger_1</x:v>
      </x:c>
      <x:c r="B394" s="39" t="str">
        <x:v>MRNA</x:v>
      </x:c>
      <x:c r="C394" s="39" t="str">
        <x:v>Other sectors</x:v>
      </x:c>
      <x:c r="D394" s="31" t="n">
        <x:v>1</x:v>
      </x:c>
      <x:c r="E394" s="39" t="str">
        <x:v>XLU</x:v>
      </x:c>
      <x:c r="F394" s="39" t="n">
        <x:v>0.5050087689</x:v>
      </x:c>
      <x:c r="G394" s="39" t="n">
        <x:v>1.0394253896</x:v>
      </x:c>
      <x:c r="H394" s="44" t="b">
        <x:v>0</x:v>
      </x:c>
      <x:c r="I394" s="39" t="n">
        <x:v>0.0136621093</x:v>
      </x:c>
    </x:row>
    <x:row r="395" ht="19" customHeight="1">
      <x:c r="A395" s="30" t="str">
        <x:v>stagger_1</x:v>
      </x:c>
      <x:c r="B395" s="39" t="str">
        <x:v>MRNA</x:v>
      </x:c>
      <x:c r="C395" s="39" t="str">
        <x:v>Other sectors</x:v>
      </x:c>
      <x:c r="D395" s="31" t="n">
        <x:v>1</x:v>
      </x:c>
      <x:c r="E395" s="39" t="str">
        <x:v>XLY</x:v>
      </x:c>
      <x:c r="F395" s="39" t="n">
        <x:v>-0.5415151422</x:v>
      </x:c>
      <x:c r="G395" s="39" t="n">
        <x:v>-0.7887245408</x:v>
      </x:c>
      <x:c r="H395" s="44" t="b">
        <x:v>0</x:v>
      </x:c>
      <x:c r="I395" s="39" t="n">
        <x:v>0.0079123619</x:v>
      </x:c>
    </x:row>
    <x:row r="396" ht="19" customHeight="1">
      <x:c r="A396" s="30" t="str">
        <x:v>stagger_1</x:v>
      </x:c>
      <x:c r="B396" s="39" t="str">
        <x:v>AXON</x:v>
      </x:c>
      <x:c r="C396" s="39" t="str">
        <x:v>Other FX</x:v>
      </x:c>
      <x:c r="D396" s="31" t="n">
        <x:v>1</x:v>
      </x:c>
      <x:c r="E396" s="39" t="str">
        <x:v>AUD/USD</x:v>
      </x:c>
      <x:c r="F396" s="39" t="n">
        <x:v>0.1820338584</x:v>
      </x:c>
      <x:c r="G396" s="39" t="n">
        <x:v>0.2659425607</x:v>
      </x:c>
      <x:c r="H396" s="44" t="b">
        <x:v>0</x:v>
      </x:c>
      <x:c r="I396" s="39" t="n">
        <x:v>0.0009059151</x:v>
      </x:c>
    </x:row>
    <x:row r="397" ht="19" customHeight="1">
      <x:c r="A397" s="30" t="str">
        <x:v>stagger_1</x:v>
      </x:c>
      <x:c r="B397" s="39" t="str">
        <x:v>AXON</x:v>
      </x:c>
      <x:c r="C397" s="39" t="str">
        <x:v>Other sectors</x:v>
      </x:c>
      <x:c r="D397" s="31" t="n">
        <x:v>1</x:v>
      </x:c>
      <x:c r="E397" s="39" t="str">
        <x:v>XLB</x:v>
      </x:c>
      <x:c r="F397" s="39" t="n">
        <x:v>-0.3850759117</x:v>
      </x:c>
      <x:c r="G397" s="39" t="n">
        <x:v>-1.1067359759</x:v>
      </x:c>
      <x:c r="H397" s="44" t="b">
        <x:v>0</x:v>
      </x:c>
      <x:c r="I397" s="39" t="n">
        <x:v>0.0154606073</x:v>
      </x:c>
    </x:row>
    <x:row r="398" ht="19" customHeight="1">
      <x:c r="A398" s="30" t="str">
        <x:v>stagger_1</x:v>
      </x:c>
      <x:c r="B398" s="39" t="str">
        <x:v>AXON</x:v>
      </x:c>
      <x:c r="C398" s="39" t="str">
        <x:v>Other sectors</x:v>
      </x:c>
      <x:c r="D398" s="31" t="n">
        <x:v>1</x:v>
      </x:c>
      <x:c r="E398" s="39" t="str">
        <x:v>XLC</x:v>
      </x:c>
      <x:c r="F398" s="39" t="n">
        <x:v>0.9100478118</x:v>
      </x:c>
      <x:c r="G398" s="39" t="n">
        <x:v>1.9447523836</x:v>
      </x:c>
      <x:c r="H398" s="44" t="b">
        <x:v>0</x:v>
      </x:c>
      <x:c r="I398" s="39" t="n">
        <x:v>0.0462456161</x:v>
      </x:c>
    </x:row>
    <x:row r="399" ht="19" customHeight="1">
      <x:c r="A399" s="30" t="str">
        <x:v>stagger_1</x:v>
      </x:c>
      <x:c r="B399" s="39" t="str">
        <x:v>AXON</x:v>
      </x:c>
      <x:c r="C399" s="39" t="str">
        <x:v>Other sectors</x:v>
      </x:c>
      <x:c r="D399" s="31" t="n">
        <x:v>1</x:v>
      </x:c>
      <x:c r="E399" s="39" t="str">
        <x:v>XLE</x:v>
      </x:c>
      <x:c r="F399" s="39" t="n">
        <x:v>-0.048029471</x:v>
      </x:c>
      <x:c r="G399" s="39" t="n">
        <x:v>-0.2536942128</x:v>
      </x:c>
      <x:c r="H399" s="44" t="b">
        <x:v>0</x:v>
      </x:c>
      <x:c r="I399" s="39" t="n">
        <x:v>0.0008244576</x:v>
      </x:c>
    </x:row>
    <x:row r="400" ht="19" customHeight="1">
      <x:c r="A400" s="30" t="str">
        <x:v>stagger_1</x:v>
      </x:c>
      <x:c r="B400" s="39" t="str">
        <x:v>AXON</x:v>
      </x:c>
      <x:c r="C400" s="39" t="str">
        <x:v>Other sectors</x:v>
      </x:c>
      <x:c r="D400" s="31" t="n">
        <x:v>1</x:v>
      </x:c>
      <x:c r="E400" s="39" t="str">
        <x:v>XLF</x:v>
      </x:c>
      <x:c r="F400" s="39" t="n">
        <x:v>0.7959889882</x:v>
      </x:c>
      <x:c r="G400" s="39" t="n">
        <x:v>1.8118431924</x:v>
      </x:c>
      <x:c r="H400" s="44" t="b">
        <x:v>0</x:v>
      </x:c>
      <x:c r="I400" s="39" t="n">
        <x:v>0.040387102</x:v>
      </x:c>
    </x:row>
    <x:row r="401" ht="19" customHeight="1">
      <x:c r="A401" s="30" t="str">
        <x:v>stagger_1</x:v>
      </x:c>
      <x:c r="B401" s="39" t="str">
        <x:v>AXON</x:v>
      </x:c>
      <x:c r="C401" s="39" t="str">
        <x:v>Other sectors</x:v>
      </x:c>
      <x:c r="D401" s="31" t="n">
        <x:v>1</x:v>
      </x:c>
      <x:c r="E401" s="39" t="str">
        <x:v>XLK</x:v>
      </x:c>
      <x:c r="F401" s="39" t="n">
        <x:v>-0.4986183712</x:v>
      </x:c>
      <x:c r="G401" s="39" t="n">
        <x:v>-1.1964850524</x:v>
      </x:c>
      <x:c r="H401" s="44" t="b">
        <x:v>0</x:v>
      </x:c>
      <x:c r="I401" s="39" t="n">
        <x:v>0.018022763</x:v>
      </x:c>
    </x:row>
    <x:row r="402" ht="19" customHeight="1">
      <x:c r="A402" s="30" t="str">
        <x:v>stagger_1</x:v>
      </x:c>
      <x:c r="B402" s="39" t="str">
        <x:v>AXON</x:v>
      </x:c>
      <x:c r="C402" s="39" t="str">
        <x:v>Other sectors</x:v>
      </x:c>
      <x:c r="D402" s="31" t="n">
        <x:v>1</x:v>
      </x:c>
      <x:c r="E402" s="39" t="str">
        <x:v>XLP</x:v>
      </x:c>
      <x:c r="F402" s="39" t="n">
        <x:v>-0.2353650415</x:v>
      </x:c>
      <x:c r="G402" s="39" t="n">
        <x:v>-0.5535892165</x:v>
      </x:c>
      <x:c r="H402" s="44" t="b">
        <x:v>0</x:v>
      </x:c>
      <x:c r="I402" s="39" t="n">
        <x:v>0.0039136109</x:v>
      </x:c>
    </x:row>
    <x:row r="403" ht="19" customHeight="1">
      <x:c r="A403" s="30" t="str">
        <x:v>stagger_1</x:v>
      </x:c>
      <x:c r="B403" s="39" t="str">
        <x:v>AXON</x:v>
      </x:c>
      <x:c r="C403" s="39" t="str">
        <x:v>Other sectors</x:v>
      </x:c>
      <x:c r="D403" s="31" t="n">
        <x:v>1</x:v>
      </x:c>
      <x:c r="E403" s="39" t="str">
        <x:v>XLRE</x:v>
      </x:c>
      <x:c r="F403" s="39" t="n">
        <x:v>0.0727202433</x:v>
      </x:c>
      <x:c r="G403" s="39" t="n">
        <x:v>0.1891731678</x:v>
      </x:c>
      <x:c r="H403" s="44" t="b">
        <x:v>0</x:v>
      </x:c>
      <x:c r="I403" s="39" t="n">
        <x:v>0.0004585907</x:v>
      </x:c>
    </x:row>
    <x:row r="404" ht="19" customHeight="1">
      <x:c r="A404" s="30" t="str">
        <x:v>stagger_1</x:v>
      </x:c>
      <x:c r="B404" s="39" t="str">
        <x:v>AXON</x:v>
      </x:c>
      <x:c r="C404" s="39" t="str">
        <x:v>Other sectors</x:v>
      </x:c>
      <x:c r="D404" s="31" t="n">
        <x:v>1</x:v>
      </x:c>
      <x:c r="E404" s="39" t="str">
        <x:v>XLU</x:v>
      </x:c>
      <x:c r="F404" s="39" t="n">
        <x:v>-0.0044135045</x:v>
      </x:c>
      <x:c r="G404" s="39" t="n">
        <x:v>-0.013486156</x:v>
      </x:c>
      <x:c r="H404" s="44" t="b">
        <x:v>0</x:v>
      </x:c>
      <x:c r="I404" s="39" t="n">
        <x:v>0.0000023317</x:v>
      </x:c>
    </x:row>
    <x:row r="405" ht="19" customHeight="1">
      <x:c r="A405" s="30" t="str">
        <x:v>stagger_1</x:v>
      </x:c>
      <x:c r="B405" s="39" t="str">
        <x:v>AXON</x:v>
      </x:c>
      <x:c r="C405" s="39" t="str">
        <x:v>Other sectors</x:v>
      </x:c>
      <x:c r="D405" s="31" t="n">
        <x:v>1</x:v>
      </x:c>
      <x:c r="E405" s="39" t="str">
        <x:v>XLV</x:v>
      </x:c>
      <x:c r="F405" s="39" t="n">
        <x:v>0.2297376474</x:v>
      </x:c>
      <x:c r="G405" s="39" t="n">
        <x:v>0.5938661178</x:v>
      </x:c>
      <x:c r="H405" s="44" t="b">
        <x:v>0</x:v>
      </x:c>
      <x:c r="I405" s="39" t="n">
        <x:v>0.0045011476</x:v>
      </x:c>
    </x:row>
    <x:row r="406" ht="19" customHeight="1">
      <x:c r="A406" s="30" t="str">
        <x:v>stagger_1</x:v>
      </x:c>
      <x:c r="B406" s="39" t="str">
        <x:v>AXON</x:v>
      </x:c>
      <x:c r="C406" s="39" t="str">
        <x:v>Other sectors</x:v>
      </x:c>
      <x:c r="D406" s="31" t="n">
        <x:v>1</x:v>
      </x:c>
      <x:c r="E406" s="39" t="str">
        <x:v>XLY</x:v>
      </x:c>
      <x:c r="F406" s="39" t="n">
        <x:v>0.9069166273</x:v>
      </x:c>
      <x:c r="G406" s="39" t="n">
        <x:v>2.0174323194</x:v>
      </x:c>
      <x:c r="H406" s="44" t="b">
        <x:v>1</x:v>
      </x:c>
      <x:c r="I406" s="39" t="n">
        <x:v>0.0495921959</x:v>
      </x:c>
    </x:row>
    <x:row r="407" ht="19" customHeight="1">
      <x:c r="A407" s="30" t="str">
        <x:v>stagger_1</x:v>
      </x:c>
      <x:c r="B407" s="39" t="str">
        <x:v>AXON</x:v>
      </x:c>
      <x:c r="C407" s="39" t="str">
        <x:v>Other sectors</x:v>
      </x:c>
      <x:c r="D407" s="31" t="n">
        <x:v>2</x:v>
      </x:c>
      <x:c r="E407" s="39" t="str">
        <x:v>XLB</x:v>
      </x:c>
      <x:c r="F407" s="39" t="n">
        <x:v>-0.3355261435</x:v>
      </x:c>
      <x:c r="G407" s="39" t="n">
        <x:v>-0.9876069065</x:v>
      </x:c>
      <x:c r="H407" s="44" t="b">
        <x:v>0</x:v>
      </x:c>
      <x:c r="I407" s="39" t="n">
        <x:v>0.0123502737</x:v>
      </x:c>
    </x:row>
    <x:row r="408" ht="19" customHeight="1">
      <x:c r="A408" s="30" t="str">
        <x:v>stagger_1</x:v>
      </x:c>
      <x:c r="B408" s="39" t="str">
        <x:v>AXON</x:v>
      </x:c>
      <x:c r="C408" s="39" t="str">
        <x:v>Other sectors</x:v>
      </x:c>
      <x:c r="D408" s="31" t="n">
        <x:v>2</x:v>
      </x:c>
      <x:c r="E408" s="39" t="str">
        <x:v>XLC</x:v>
      </x:c>
      <x:c r="F408" s="39" t="n">
        <x:v>0.6139986351</x:v>
      </x:c>
      <x:c r="G408" s="39" t="n">
        <x:v>1.3292130257</x:v>
      </x:c>
      <x:c r="H408" s="44" t="b">
        <x:v>0</x:v>
      </x:c>
      <x:c r="I408" s="39" t="n">
        <x:v>0.0221496551</x:v>
      </x:c>
    </x:row>
    <x:row r="409" ht="19" customHeight="1">
      <x:c r="A409" s="30" t="str">
        <x:v>stagger_1</x:v>
      </x:c>
      <x:c r="B409" s="39" t="str">
        <x:v>AXON</x:v>
      </x:c>
      <x:c r="C409" s="39" t="str">
        <x:v>Other sectors</x:v>
      </x:c>
      <x:c r="D409" s="31" t="n">
        <x:v>2</x:v>
      </x:c>
      <x:c r="E409" s="39" t="str">
        <x:v>XLE</x:v>
      </x:c>
      <x:c r="F409" s="39" t="n">
        <x:v>0.0420110724</x:v>
      </x:c>
      <x:c r="G409" s="39" t="n">
        <x:v>0.2276022725</x:v>
      </x:c>
      <x:c r="H409" s="44" t="b">
        <x:v>0</x:v>
      </x:c>
      <x:c r="I409" s="39" t="n">
        <x:v>0.0006636976</x:v>
      </x:c>
    </x:row>
    <x:row r="410" ht="19" customHeight="1">
      <x:c r="A410" s="30" t="str">
        <x:v>stagger_1</x:v>
      </x:c>
      <x:c r="B410" s="39" t="str">
        <x:v>AXON</x:v>
      </x:c>
      <x:c r="C410" s="39" t="str">
        <x:v>Other sectors</x:v>
      </x:c>
      <x:c r="D410" s="31" t="n">
        <x:v>2</x:v>
      </x:c>
      <x:c r="E410" s="39" t="str">
        <x:v>XLF</x:v>
      </x:c>
      <x:c r="F410" s="39" t="n">
        <x:v>0.8229475504</x:v>
      </x:c>
      <x:c r="G410" s="39" t="n">
        <x:v>1.9265174923</x:v>
      </x:c>
      <x:c r="H410" s="44" t="b">
        <x:v>0</x:v>
      </x:c>
      <x:c r="I410" s="39" t="n">
        <x:v>0.0454216484</x:v>
      </x:c>
    </x:row>
    <x:row r="411" ht="19" customHeight="1">
      <x:c r="A411" s="30" t="str">
        <x:v>stagger_1</x:v>
      </x:c>
      <x:c r="B411" s="39" t="str">
        <x:v>AXON</x:v>
      </x:c>
      <x:c r="C411" s="39" t="str">
        <x:v>Other sectors</x:v>
      </x:c>
      <x:c r="D411" s="31" t="n">
        <x:v>2</x:v>
      </x:c>
      <x:c r="E411" s="39" t="str">
        <x:v>XLK</x:v>
      </x:c>
      <x:c r="F411" s="39" t="n">
        <x:v>-0.3467980427</x:v>
      </x:c>
      <x:c r="G411" s="39" t="n">
        <x:v>-0.8497917564</x:v>
      </x:c>
      <x:c r="H411" s="44" t="b">
        <x:v>0</x:v>
      </x:c>
      <x:c r="I411" s="39" t="n">
        <x:v>0.0091733529</x:v>
      </x:c>
    </x:row>
    <x:row r="412" ht="19" customHeight="1">
      <x:c r="A412" s="30" t="str">
        <x:v>stagger_1</x:v>
      </x:c>
      <x:c r="B412" s="39" t="str">
        <x:v>AXON</x:v>
      </x:c>
      <x:c r="C412" s="39" t="str">
        <x:v>Other sectors</x:v>
      </x:c>
      <x:c r="D412" s="31" t="n">
        <x:v>2</x:v>
      </x:c>
      <x:c r="E412" s="39" t="str">
        <x:v>XLP</x:v>
      </x:c>
      <x:c r="F412" s="39" t="n">
        <x:v>-0.1396830517</x:v>
      </x:c>
      <x:c r="G412" s="39" t="n">
        <x:v>-0.3365875527</x:v>
      </x:c>
      <x:c r="H412" s="44" t="b">
        <x:v>0</x:v>
      </x:c>
      <x:c r="I412" s="39" t="n">
        <x:v>0.0014503445</x:v>
      </x:c>
    </x:row>
    <x:row r="413" ht="19" customHeight="1">
      <x:c r="A413" s="30" t="str">
        <x:v>stagger_1</x:v>
      </x:c>
      <x:c r="B413" s="39" t="str">
        <x:v>AXON</x:v>
      </x:c>
      <x:c r="C413" s="39" t="str">
        <x:v>Other sectors</x:v>
      </x:c>
      <x:c r="D413" s="31" t="n">
        <x:v>2</x:v>
      </x:c>
      <x:c r="E413" s="39" t="str">
        <x:v>XLRE</x:v>
      </x:c>
      <x:c r="F413" s="39" t="n">
        <x:v>-0.0138397655</x:v>
      </x:c>
      <x:c r="G413" s="39" t="n">
        <x:v>-0.0369217383</x:v>
      </x:c>
      <x:c r="H413" s="44" t="b">
        <x:v>0</x:v>
      </x:c>
      <x:c r="I413" s="39" t="n">
        <x:v>0.0000174768</x:v>
      </x:c>
    </x:row>
    <x:row r="414" ht="19" customHeight="1">
      <x:c r="A414" s="30" t="str">
        <x:v>stagger_1</x:v>
      </x:c>
      <x:c r="B414" s="39" t="str">
        <x:v>AXON</x:v>
      </x:c>
      <x:c r="C414" s="39" t="str">
        <x:v>Other sectors</x:v>
      </x:c>
      <x:c r="D414" s="31" t="n">
        <x:v>2</x:v>
      </x:c>
      <x:c r="E414" s="39" t="str">
        <x:v>XLU</x:v>
      </x:c>
      <x:c r="F414" s="39" t="n">
        <x:v>0.0278570145</x:v>
      </x:c>
      <x:c r="G414" s="39" t="n">
        <x:v>0.0873182248</x:v>
      </x:c>
      <x:c r="H414" s="44" t="b">
        <x:v>0</x:v>
      </x:c>
      <x:c r="I414" s="39" t="n">
        <x:v>0.0000977401</x:v>
      </x:c>
    </x:row>
    <x:row r="415" ht="19" customHeight="1">
      <x:c r="A415" s="30" t="str">
        <x:v>stagger_1</x:v>
      </x:c>
      <x:c r="B415" s="39" t="str">
        <x:v>AXON</x:v>
      </x:c>
      <x:c r="C415" s="39" t="str">
        <x:v>Other sectors</x:v>
      </x:c>
      <x:c r="D415" s="31" t="n">
        <x:v>2</x:v>
      </x:c>
      <x:c r="E415" s="39" t="str">
        <x:v>XLV</x:v>
      </x:c>
      <x:c r="F415" s="39" t="n">
        <x:v>0.4428135533</x:v>
      </x:c>
      <x:c r="G415" s="39" t="n">
        <x:v>1.1819453583</x:v>
      </x:c>
      <x:c r="H415" s="44" t="b">
        <x:v>0</x:v>
      </x:c>
      <x:c r="I415" s="39" t="n">
        <x:v>0.0175950593</x:v>
      </x:c>
    </x:row>
    <x:row r="416" ht="19" customHeight="1">
      <x:c r="A416" s="30" t="str">
        <x:v>stagger_1</x:v>
      </x:c>
      <x:c r="B416" s="39" t="str">
        <x:v>NFLX</x:v>
      </x:c>
      <x:c r="C416" s="39" t="str">
        <x:v>Other FX</x:v>
      </x:c>
      <x:c r="D416" s="31" t="n">
        <x:v>1</x:v>
      </x:c>
      <x:c r="E416" s="39" t="str">
        <x:v>AUD/USD</x:v>
      </x:c>
      <x:c r="F416" s="39" t="n">
        <x:v>1.1150016542</x:v>
      </x:c>
      <x:c r="G416" s="39" t="n">
        <x:v>1.9341654284</x:v>
      </x:c>
      <x:c r="H416" s="44" t="b">
        <x:v>0</x:v>
      </x:c>
      <x:c r="I416" s="39" t="n">
        <x:v>0.0457664586</x:v>
      </x:c>
    </x:row>
    <x:row r="417" ht="19" customHeight="1">
      <x:c r="A417" s="30" t="str">
        <x:v>stagger_1</x:v>
      </x:c>
      <x:c r="B417" s="39" t="str">
        <x:v>NFLX</x:v>
      </x:c>
      <x:c r="C417" s="39" t="str">
        <x:v>Other sectors</x:v>
      </x:c>
      <x:c r="D417" s="31" t="n">
        <x:v>1</x:v>
      </x:c>
      <x:c r="E417" s="39" t="str">
        <x:v>XLB</x:v>
      </x:c>
      <x:c r="F417" s="39" t="n">
        <x:v>-0.023789124</x:v>
      </x:c>
      <x:c r="G417" s="39" t="n">
        <x:v>-0.0803044567</x:v>
      </x:c>
      <x:c r="H417" s="44" t="b">
        <x:v>0</x:v>
      </x:c>
      <x:c r="I417" s="39" t="n">
        <x:v>0.0000826702</x:v>
      </x:c>
    </x:row>
    <x:row r="418" ht="19" customHeight="1">
      <x:c r="A418" s="30" t="str">
        <x:v>stagger_1</x:v>
      </x:c>
      <x:c r="B418" s="39" t="str">
        <x:v>NFLX</x:v>
      </x:c>
      <x:c r="C418" s="39" t="str">
        <x:v>Other sectors</x:v>
      </x:c>
      <x:c r="D418" s="31" t="n">
        <x:v>1</x:v>
      </x:c>
      <x:c r="E418" s="39" t="str">
        <x:v>XLE</x:v>
      </x:c>
      <x:c r="F418" s="39" t="n">
        <x:v>-0.1285928875</x:v>
      </x:c>
      <x:c r="G418" s="39" t="n">
        <x:v>-0.8070029978</x:v>
      </x:c>
      <x:c r="H418" s="44" t="b">
        <x:v>0</x:v>
      </x:c>
      <x:c r="I418" s="39" t="n">
        <x:v>0.0082802728</x:v>
      </x:c>
    </x:row>
    <x:row r="419" ht="19" customHeight="1">
      <x:c r="A419" s="30" t="str">
        <x:v>stagger_1</x:v>
      </x:c>
      <x:c r="B419" s="39" t="str">
        <x:v>NFLX</x:v>
      </x:c>
      <x:c r="C419" s="39" t="str">
        <x:v>Other sectors</x:v>
      </x:c>
      <x:c r="D419" s="31" t="n">
        <x:v>1</x:v>
      </x:c>
      <x:c r="E419" s="39" t="str">
        <x:v>XLF</x:v>
      </x:c>
      <x:c r="F419" s="39" t="n">
        <x:v>-0.4429674865</x:v>
      </x:c>
      <x:c r="G419" s="39" t="n">
        <x:v>-1.1795095399</x:v>
      </x:c>
      <x:c r="H419" s="44" t="b">
        <x:v>0</x:v>
      </x:c>
      <x:c r="I419" s="39" t="n">
        <x:v>0.0175238818</x:v>
      </x:c>
    </x:row>
    <x:row r="420" ht="19" customHeight="1">
      <x:c r="A420" s="30" t="str">
        <x:v>stagger_1</x:v>
      </x:c>
      <x:c r="B420" s="39" t="str">
        <x:v>NFLX</x:v>
      </x:c>
      <x:c r="C420" s="39" t="str">
        <x:v>Other sectors</x:v>
      </x:c>
      <x:c r="D420" s="31" t="n">
        <x:v>1</x:v>
      </x:c>
      <x:c r="E420" s="39" t="str">
        <x:v>XLI</x:v>
      </x:c>
      <x:c r="F420" s="39" t="n">
        <x:v>0.1534909823</x:v>
      </x:c>
      <x:c r="G420" s="39" t="n">
        <x:v>0.3850522725</x:v>
      </x:c>
      <x:c r="H420" s="44" t="b">
        <x:v>0</x:v>
      </x:c>
      <x:c r="I420" s="39" t="n">
        <x:v>0.0018972302</x:v>
      </x:c>
    </x:row>
    <x:row r="421" ht="19" customHeight="1">
      <x:c r="A421" s="30" t="str">
        <x:v>stagger_1</x:v>
      </x:c>
      <x:c r="B421" s="39" t="str">
        <x:v>NFLX</x:v>
      </x:c>
      <x:c r="C421" s="39" t="str">
        <x:v>Other sectors</x:v>
      </x:c>
      <x:c r="D421" s="31" t="n">
        <x:v>1</x:v>
      </x:c>
      <x:c r="E421" s="39" t="str">
        <x:v>XLK</x:v>
      </x:c>
      <x:c r="F421" s="39" t="n">
        <x:v>0.4946288415</x:v>
      </x:c>
      <x:c r="G421" s="39" t="n">
        <x:v>1.4098150512</x:v>
      </x:c>
      <x:c r="H421" s="44" t="b">
        <x:v>0</x:v>
      </x:c>
      <x:c r="I421" s="39" t="n">
        <x:v>0.0248485892</x:v>
      </x:c>
    </x:row>
    <x:row r="422" ht="19" customHeight="1">
      <x:c r="A422" s="30" t="str">
        <x:v>stagger_1</x:v>
      </x:c>
      <x:c r="B422" s="39" t="str">
        <x:v>NFLX</x:v>
      </x:c>
      <x:c r="C422" s="39" t="str">
        <x:v>Other sectors</x:v>
      </x:c>
      <x:c r="D422" s="31" t="n">
        <x:v>1</x:v>
      </x:c>
      <x:c r="E422" s="39" t="str">
        <x:v>XLP</x:v>
      </x:c>
      <x:c r="F422" s="39" t="n">
        <x:v>0.086266171</x:v>
      </x:c>
      <x:c r="G422" s="39" t="n">
        <x:v>0.2397859429</x:v>
      </x:c>
      <x:c r="H422" s="44" t="b">
        <x:v>0</x:v>
      </x:c>
      <x:c r="I422" s="39" t="n">
        <x:v>0.0007366019</x:v>
      </x:c>
    </x:row>
    <x:row r="423" ht="19" customHeight="1">
      <x:c r="A423" s="30" t="str">
        <x:v>stagger_1</x:v>
      </x:c>
      <x:c r="B423" s="39" t="str">
        <x:v>NFLX</x:v>
      </x:c>
      <x:c r="C423" s="39" t="str">
        <x:v>Other sectors</x:v>
      </x:c>
      <x:c r="D423" s="31" t="n">
        <x:v>1</x:v>
      </x:c>
      <x:c r="E423" s="39" t="str">
        <x:v>XLRE</x:v>
      </x:c>
      <x:c r="F423" s="39" t="n">
        <x:v>-0.1401500616</x:v>
      </x:c>
      <x:c r="G423" s="39" t="n">
        <x:v>-0.431962217</x:v>
      </x:c>
      <x:c r="H423" s="44" t="b">
        <x:v>0</x:v>
      </x:c>
      <x:c r="I423" s="39" t="n">
        <x:v>0.0023864879</x:v>
      </x:c>
    </x:row>
    <x:row r="424" ht="19" customHeight="1">
      <x:c r="A424" s="30" t="str">
        <x:v>stagger_1</x:v>
      </x:c>
      <x:c r="B424" s="39" t="str">
        <x:v>NFLX</x:v>
      </x:c>
      <x:c r="C424" s="39" t="str">
        <x:v>Other sectors</x:v>
      </x:c>
      <x:c r="D424" s="31" t="n">
        <x:v>1</x:v>
      </x:c>
      <x:c r="E424" s="39" t="str">
        <x:v>XLU</x:v>
      </x:c>
      <x:c r="F424" s="39" t="n">
        <x:v>0.5817997911</x:v>
      </x:c>
      <x:c r="G424" s="39" t="n">
        <x:v>2.1666954667</x:v>
      </x:c>
      <x:c r="H424" s="44" t="b">
        <x:v>1</x:v>
      </x:c>
      <x:c r="I424" s="39" t="n">
        <x:v>0.0567699825</x:v>
      </x:c>
    </x:row>
    <x:row r="425" ht="19" customHeight="1">
      <x:c r="A425" s="30" t="str">
        <x:v>stagger_1</x:v>
      </x:c>
      <x:c r="B425" s="39" t="str">
        <x:v>NFLX</x:v>
      </x:c>
      <x:c r="C425" s="39" t="str">
        <x:v>Other sectors</x:v>
      </x:c>
      <x:c r="D425" s="31" t="n">
        <x:v>1</x:v>
      </x:c>
      <x:c r="E425" s="39" t="str">
        <x:v>XLV</x:v>
      </x:c>
      <x:c r="F425" s="39" t="n">
        <x:v>-0.3673625495</x:v>
      </x:c>
      <x:c r="G425" s="39" t="n">
        <x:v>-1.1306566901</x:v>
      </x:c>
      <x:c r="H425" s="44" t="b">
        <x:v>0</x:v>
      </x:c>
      <x:c r="I425" s="39" t="n">
        <x:v>0.0161252598</x:v>
      </x:c>
    </x:row>
    <x:row r="426" ht="19" customHeight="1">
      <x:c r="A426" s="30" t="str">
        <x:v>stagger_1</x:v>
      </x:c>
      <x:c r="B426" s="39" t="str">
        <x:v>NFLX</x:v>
      </x:c>
      <x:c r="C426" s="39" t="str">
        <x:v>Other sectors</x:v>
      </x:c>
      <x:c r="D426" s="31" t="n">
        <x:v>1</x:v>
      </x:c>
      <x:c r="E426" s="39" t="str">
        <x:v>XLY</x:v>
      </x:c>
      <x:c r="F426" s="39" t="n">
        <x:v>0.2624973064</x:v>
      </x:c>
      <x:c r="G426" s="39" t="n">
        <x:v>0.6757843868</x:v>
      </x:c>
      <x:c r="H426" s="44" t="b">
        <x:v>0</x:v>
      </x:c>
      <x:c r="I426" s="39" t="n">
        <x:v>0.0058208493</x:v>
      </x:c>
    </x:row>
    <x:row r="427" ht="19" customHeight="1">
      <x:c r="A427" s="30" t="str">
        <x:v>stagger_1</x:v>
      </x:c>
      <x:c r="B427" s="39" t="str">
        <x:v>NFLX</x:v>
      </x:c>
      <x:c r="C427" s="39" t="str">
        <x:v>Other sectors</x:v>
      </x:c>
      <x:c r="D427" s="31" t="n">
        <x:v>2</x:v>
      </x:c>
      <x:c r="E427" s="39" t="str">
        <x:v>XLB</x:v>
      </x:c>
      <x:c r="F427" s="39" t="n">
        <x:v>-0.2715616463</x:v>
      </x:c>
      <x:c r="G427" s="39" t="n">
        <x:v>-0.9492863182</x:v>
      </x:c>
      <x:c r="H427" s="44" t="b">
        <x:v>0</x:v>
      </x:c>
      <x:c r="I427" s="39" t="n">
        <x:v>0.0114211843</x:v>
      </x:c>
    </x:row>
    <x:row r="428" ht="19" customHeight="1">
      <x:c r="A428" s="30" t="str">
        <x:v>stagger_1</x:v>
      </x:c>
      <x:c r="B428" s="39" t="str">
        <x:v>NFLX</x:v>
      </x:c>
      <x:c r="C428" s="39" t="str">
        <x:v>Other sectors</x:v>
      </x:c>
      <x:c r="D428" s="31" t="n">
        <x:v>2</x:v>
      </x:c>
      <x:c r="E428" s="39" t="str">
        <x:v>XLE</x:v>
      </x:c>
      <x:c r="F428" s="39" t="n">
        <x:v>-0.155365203</x:v>
      </x:c>
      <x:c r="G428" s="39" t="n">
        <x:v>-1.0062322573</x:v>
      </x:c>
      <x:c r="H428" s="44" t="b">
        <x:v>0</x:v>
      </x:c>
      <x:c r="I428" s="39" t="n">
        <x:v>0.01281447</x:v>
      </x:c>
    </x:row>
    <x:row r="429" ht="19" customHeight="1">
      <x:c r="A429" s="30" t="str">
        <x:v>stagger_1</x:v>
      </x:c>
      <x:c r="B429" s="39" t="str">
        <x:v>NFLX</x:v>
      </x:c>
      <x:c r="C429" s="39" t="str">
        <x:v>Other sectors</x:v>
      </x:c>
      <x:c r="D429" s="31" t="n">
        <x:v>2</x:v>
      </x:c>
      <x:c r="E429" s="39" t="str">
        <x:v>XLF</x:v>
      </x:c>
      <x:c r="F429" s="39" t="n">
        <x:v>-0.5171573847</x:v>
      </x:c>
      <x:c r="G429" s="39" t="n">
        <x:v>-1.423554716</x:v>
      </x:c>
      <x:c r="H429" s="44" t="b">
        <x:v>0</x:v>
      </x:c>
      <x:c r="I429" s="39" t="n">
        <x:v>0.0253229596</x:v>
      </x:c>
    </x:row>
    <x:row r="430" ht="19" customHeight="1">
      <x:c r="A430" s="30" t="str">
        <x:v>stagger_1</x:v>
      </x:c>
      <x:c r="B430" s="39" t="str">
        <x:v>NFLX</x:v>
      </x:c>
      <x:c r="C430" s="39" t="str">
        <x:v>Other sectors</x:v>
      </x:c>
      <x:c r="D430" s="31" t="n">
        <x:v>2</x:v>
      </x:c>
      <x:c r="E430" s="39" t="str">
        <x:v>XLI</x:v>
      </x:c>
      <x:c r="F430" s="39" t="n">
        <x:v>-0.1646034609</x:v>
      </x:c>
      <x:c r="G430" s="39" t="n">
        <x:v>-0.4252629034</x:v>
      </x:c>
      <x:c r="H430" s="44" t="b">
        <x:v>0</x:v>
      </x:c>
      <x:c r="I430" s="39" t="n">
        <x:v>0.0023132077</x:v>
      </x:c>
    </x:row>
    <x:row r="431" ht="19" customHeight="1">
      <x:c r="A431" s="30" t="str">
        <x:v>stagger_1</x:v>
      </x:c>
      <x:c r="B431" s="39" t="str">
        <x:v>NFLX</x:v>
      </x:c>
      <x:c r="C431" s="39" t="str">
        <x:v>Other sectors</x:v>
      </x:c>
      <x:c r="D431" s="31" t="n">
        <x:v>2</x:v>
      </x:c>
      <x:c r="E431" s="39" t="str">
        <x:v>XLK</x:v>
      </x:c>
      <x:c r="F431" s="39" t="n">
        <x:v>0.7763186822</x:v>
      </x:c>
      <x:c r="G431" s="39" t="n">
        <x:v>2.3265884598</x:v>
      </x:c>
      <x:c r="H431" s="44" t="b">
        <x:v>1</x:v>
      </x:c>
      <x:c r="I431" s="39" t="n">
        <x:v>0.0648941168</x:v>
      </x:c>
    </x:row>
    <x:row r="432" ht="19" customHeight="1">
      <x:c r="A432" s="30" t="str">
        <x:v>stagger_1</x:v>
      </x:c>
      <x:c r="B432" s="39" t="str">
        <x:v>NFLX</x:v>
      </x:c>
      <x:c r="C432" s="39" t="str">
        <x:v>Other sectors</x:v>
      </x:c>
      <x:c r="D432" s="31" t="n">
        <x:v>2</x:v>
      </x:c>
      <x:c r="E432" s="39" t="str">
        <x:v>XLP</x:v>
      </x:c>
      <x:c r="F432" s="39" t="n">
        <x:v>-0.2990965462</x:v>
      </x:c>
      <x:c r="G432" s="39" t="n">
        <x:v>-0.8597534172</x:v>
      </x:c>
      <x:c r="H432" s="44" t="b">
        <x:v>0</x:v>
      </x:c>
      <x:c r="I432" s="39" t="n">
        <x:v>0.0093876514</x:v>
      </x:c>
    </x:row>
    <x:row r="433" ht="19" customHeight="1">
      <x:c r="A433" s="30" t="str">
        <x:v>stagger_1</x:v>
      </x:c>
      <x:c r="B433" s="39" t="str">
        <x:v>NFLX</x:v>
      </x:c>
      <x:c r="C433" s="39" t="str">
        <x:v>Other sectors</x:v>
      </x:c>
      <x:c r="D433" s="31" t="n">
        <x:v>2</x:v>
      </x:c>
      <x:c r="E433" s="39" t="str">
        <x:v>XLRE</x:v>
      </x:c>
      <x:c r="F433" s="39" t="n">
        <x:v>-0.4935947757</x:v>
      </x:c>
      <x:c r="G433" s="39" t="n">
        <x:v>-1.5897153277</x:v>
      </x:c>
      <x:c r="H433" s="44" t="b">
        <x:v>0</x:v>
      </x:c>
      <x:c r="I433" s="39" t="n">
        <x:v>0.0313831225</x:v>
      </x:c>
    </x:row>
    <x:row r="434" ht="19" customHeight="1">
      <x:c r="A434" s="30" t="str">
        <x:v>stagger_1</x:v>
      </x:c>
      <x:c r="B434" s="39" t="str">
        <x:v>NFLX</x:v>
      </x:c>
      <x:c r="C434" s="39" t="str">
        <x:v>Other sectors</x:v>
      </x:c>
      <x:c r="D434" s="31" t="n">
        <x:v>2</x:v>
      </x:c>
      <x:c r="E434" s="39" t="str">
        <x:v>XLV</x:v>
      </x:c>
      <x:c r="F434" s="39" t="n">
        <x:v>-0.5585411879</x:v>
      </x:c>
      <x:c r="G434" s="39" t="n">
        <x:v>-1.7914631064</x:v>
      </x:c>
      <x:c r="H434" s="44" t="b">
        <x:v>0</x:v>
      </x:c>
      <x:c r="I434" s="39" t="n">
        <x:v>0.0395193467</x:v>
      </x:c>
    </x:row>
    <x:row r="435" ht="19" customHeight="1">
      <x:c r="A435" s="30" t="str">
        <x:v>stagger_1</x:v>
      </x:c>
      <x:c r="B435" s="39" t="str">
        <x:v>NFLX</x:v>
      </x:c>
      <x:c r="C435" s="39" t="str">
        <x:v>Other sectors</x:v>
      </x:c>
      <x:c r="D435" s="31" t="n">
        <x:v>2</x:v>
      </x:c>
      <x:c r="E435" s="39" t="str">
        <x:v>XLY</x:v>
      </x:c>
      <x:c r="F435" s="39" t="n">
        <x:v>0.303597809</x:v>
      </x:c>
      <x:c r="G435" s="39" t="n">
        <x:v>0.8057595123</x:v>
      </x:c>
      <x:c r="H435" s="44" t="b">
        <x:v>0</x:v>
      </x:c>
      <x:c r="I435" s="39" t="n">
        <x:v>0.0082549853</x:v>
      </x:c>
    </x:row>
    <x:row r="436" ht="19" customHeight="1">
      <x:c r="A436" s="30" t="str">
        <x:v>stagger_1</x:v>
      </x:c>
      <x:c r="B436" s="39" t="str">
        <x:v>NFLX</x:v>
      </x:c>
      <x:c r="C436" s="39" t="str">
        <x:v>Other sectors</x:v>
      </x:c>
      <x:c r="D436" s="31" t="n">
        <x:v>3</x:v>
      </x:c>
      <x:c r="E436" s="39" t="str">
        <x:v>XLB</x:v>
      </x:c>
      <x:c r="F436" s="39" t="n">
        <x:v>0.0407303506</x:v>
      </x:c>
      <x:c r="G436" s="39" t="n">
        <x:v>0.1464137497</x:v>
      </x:c>
      <x:c r="H436" s="44" t="b">
        <x:v>0</x:v>
      </x:c>
      <x:c r="I436" s="39" t="n">
        <x:v>0.0002747576</x:v>
      </x:c>
    </x:row>
    <x:row r="437" ht="19" customHeight="1">
      <x:c r="A437" s="30" t="str">
        <x:v>stagger_1</x:v>
      </x:c>
      <x:c r="B437" s="39" t="str">
        <x:v>NFLX</x:v>
      </x:c>
      <x:c r="C437" s="39" t="str">
        <x:v>Other sectors</x:v>
      </x:c>
      <x:c r="D437" s="31" t="n">
        <x:v>3</x:v>
      </x:c>
      <x:c r="E437" s="39" t="str">
        <x:v>XLE</x:v>
      </x:c>
      <x:c r="F437" s="39" t="n">
        <x:v>-0.0178603995</x:v>
      </x:c>
      <x:c r="G437" s="39" t="n">
        <x:v>-0.1188622568</x:v>
      </x:c>
      <x:c r="H437" s="44" t="b">
        <x:v>0</x:v>
      </x:c>
      <x:c r="I437" s="39" t="n">
        <x:v>0.0001810984</x:v>
      </x:c>
    </x:row>
    <x:row r="438" ht="19" customHeight="1">
      <x:c r="A438" s="30" t="str">
        <x:v>stagger_1</x:v>
      </x:c>
      <x:c r="B438" s="39" t="str">
        <x:v>NFLX</x:v>
      </x:c>
      <x:c r="C438" s="39" t="str">
        <x:v>Other sectors</x:v>
      </x:c>
      <x:c r="D438" s="31" t="n">
        <x:v>3</x:v>
      </x:c>
      <x:c r="E438" s="39" t="str">
        <x:v>XLF</x:v>
      </x:c>
      <x:c r="F438" s="39" t="n">
        <x:v>-0.0396429909</x:v>
      </x:c>
      <x:c r="G438" s="39" t="n">
        <x:v>-0.111417235</x:v>
      </x:c>
      <x:c r="H438" s="44" t="b">
        <x:v>0</x:v>
      </x:c>
      <x:c r="I438" s="39" t="n">
        <x:v>0.000159126</x:v>
      </x:c>
    </x:row>
    <x:row r="439" ht="19" customHeight="1">
      <x:c r="A439" s="30" t="str">
        <x:v>stagger_1</x:v>
      </x:c>
      <x:c r="B439" s="39" t="str">
        <x:v>NFLX</x:v>
      </x:c>
      <x:c r="C439" s="39" t="str">
        <x:v>Other sectors</x:v>
      </x:c>
      <x:c r="D439" s="31" t="n">
        <x:v>3</x:v>
      </x:c>
      <x:c r="E439" s="39" t="str">
        <x:v>XLI</x:v>
      </x:c>
      <x:c r="F439" s="39" t="n">
        <x:v>0.1493954697</x:v>
      </x:c>
      <x:c r="G439" s="39" t="n">
        <x:v>0.399085203</x:v>
      </x:c>
      <x:c r="H439" s="44" t="b">
        <x:v>0</x:v>
      </x:c>
      <x:c r="I439" s="39" t="n">
        <x:v>0.0020377493</x:v>
      </x:c>
    </x:row>
    <x:row r="440" ht="19" customHeight="1">
      <x:c r="A440" s="30" t="str">
        <x:v>stagger_1</x:v>
      </x:c>
      <x:c r="B440" s="39" t="str">
        <x:v>NFLX</x:v>
      </x:c>
      <x:c r="C440" s="39" t="str">
        <x:v>Other sectors</x:v>
      </x:c>
      <x:c r="D440" s="31" t="n">
        <x:v>3</x:v>
      </x:c>
      <x:c r="E440" s="39" t="str">
        <x:v>XLP</x:v>
      </x:c>
      <x:c r="F440" s="39" t="n">
        <x:v>0.0928291888</x:v>
      </x:c>
      <x:c r="G440" s="39" t="n">
        <x:v>0.274775896</x:v>
      </x:c>
      <x:c r="H440" s="44" t="b">
        <x:v>0</x:v>
      </x:c>
      <x:c r="I440" s="39" t="n">
        <x:v>0.0009670356</x:v>
      </x:c>
    </x:row>
    <x:row r="441" ht="19" customHeight="1">
      <x:c r="A441" s="30" t="str">
        <x:v>stagger_1</x:v>
      </x:c>
      <x:c r="B441" s="39" t="str">
        <x:v>NFLX</x:v>
      </x:c>
      <x:c r="C441" s="39" t="str">
        <x:v>Other sectors</x:v>
      </x:c>
      <x:c r="D441" s="31" t="n">
        <x:v>3</x:v>
      </x:c>
      <x:c r="E441" s="39" t="str">
        <x:v>XLRE</x:v>
      </x:c>
      <x:c r="F441" s="39" t="n">
        <x:v>-0.1445914045</x:v>
      </x:c>
      <x:c r="G441" s="39" t="n">
        <x:v>-0.4746387287</x:v>
      </x:c>
      <x:c r="H441" s="44" t="b">
        <x:v>0</x:v>
      </x:c>
      <x:c r="I441" s="39" t="n">
        <x:v>0.0028799119</x:v>
      </x:c>
    </x:row>
    <x:row r="442" ht="19" customHeight="1">
      <x:c r="A442" s="30" t="str">
        <x:v>stagger_1</x:v>
      </x:c>
      <x:c r="B442" s="39" t="str">
        <x:v>NFLX</x:v>
      </x:c>
      <x:c r="C442" s="39" t="str">
        <x:v>Other sectors</x:v>
      </x:c>
      <x:c r="D442" s="31" t="n">
        <x:v>3</x:v>
      </x:c>
      <x:c r="E442" s="39" t="str">
        <x:v>XLV</x:v>
      </x:c>
      <x:c r="F442" s="39" t="n">
        <x:v>-0.1803481797</x:v>
      </x:c>
      <x:c r="G442" s="39" t="n">
        <x:v>-0.5875397407</x:v>
      </x:c>
      <x:c r="H442" s="44" t="b">
        <x:v>0</x:v>
      </x:c>
      <x:c r="I442" s="39" t="n">
        <x:v>0.0044061785</x:v>
      </x:c>
    </x:row>
    <x:row r="443" ht="19" customHeight="1">
      <x:c r="A443" s="30" t="str">
        <x:v>stagger_1</x:v>
      </x:c>
      <x:c r="B443" s="39" t="str">
        <x:v>NFLX</x:v>
      </x:c>
      <x:c r="C443" s="39" t="str">
        <x:v>Other sectors</x:v>
      </x:c>
      <x:c r="D443" s="31" t="n">
        <x:v>3</x:v>
      </x:c>
      <x:c r="E443" s="39" t="str">
        <x:v>XLY</x:v>
      </x:c>
      <x:c r="F443" s="39" t="n">
        <x:v>0.4598437741</x:v>
      </x:c>
      <x:c r="G443" s="39" t="n">
        <x:v>1.269783437</x:v>
      </x:c>
      <x:c r="H443" s="44" t="b">
        <x:v>0</x:v>
      </x:c>
      <x:c r="I443" s="39" t="n">
        <x:v>0.0202525108</x:v>
      </x:c>
    </x:row>
    <x:row r="444" ht="19" customHeight="1">
      <x:c r="A444" s="30" t="str">
        <x:v>stagger_1</x:v>
      </x:c>
      <x:c r="B444" s="39" t="str">
        <x:v>CMCSA</x:v>
      </x:c>
      <x:c r="C444" s="39" t="str">
        <x:v>Other FX</x:v>
      </x:c>
      <x:c r="D444" s="31" t="n">
        <x:v>1</x:v>
      </x:c>
      <x:c r="E444" s="39" t="str">
        <x:v>AUD/USD</x:v>
      </x:c>
      <x:c r="F444" s="39" t="n">
        <x:v>1.39722225</x:v>
      </x:c>
      <x:c r="G444" s="39" t="n">
        <x:v>4.2389390903</x:v>
      </x:c>
      <x:c r="H444" s="44" t="b">
        <x:v>1</x:v>
      </x:c>
      <x:c r="I444" s="39" t="n">
        <x:v>0.1872341969</x:v>
      </x:c>
    </x:row>
    <x:row r="445" ht="19" customHeight="1">
      <x:c r="A445" s="30" t="str">
        <x:v>stagger_1</x:v>
      </x:c>
      <x:c r="B445" s="39" t="str">
        <x:v>CMCSA</x:v>
      </x:c>
      <x:c r="C445" s="39" t="str">
        <x:v>Other sectors</x:v>
      </x:c>
      <x:c r="D445" s="31" t="n">
        <x:v>1</x:v>
      </x:c>
      <x:c r="E445" s="39" t="str">
        <x:v>XLB</x:v>
      </x:c>
      <x:c r="F445" s="39" t="n">
        <x:v>0.4018219236</x:v>
      </x:c>
      <x:c r="G445" s="39" t="n">
        <x:v>2.5246714579</x:v>
      </x:c>
      <x:c r="H445" s="44" t="b">
        <x:v>0</x:v>
      </x:c>
      <x:c r="I445" s="39" t="n">
        <x:v>0.0755442262</x:v>
      </x:c>
    </x:row>
    <x:row r="446" ht="19" customHeight="1">
      <x:c r="A446" s="30" t="str">
        <x:v>stagger_1</x:v>
      </x:c>
      <x:c r="B446" s="39" t="str">
        <x:v>CMCSA</x:v>
      </x:c>
      <x:c r="C446" s="39" t="str">
        <x:v>Other sectors</x:v>
      </x:c>
      <x:c r="D446" s="31" t="n">
        <x:v>1</x:v>
      </x:c>
      <x:c r="E446" s="39" t="str">
        <x:v>XLE</x:v>
      </x:c>
      <x:c r="F446" s="39" t="n">
        <x:v>0.2703462484</x:v>
      </x:c>
      <x:c r="G446" s="39" t="n">
        <x:v>3.2182316842</x:v>
      </x:c>
      <x:c r="H446" s="44" t="b">
        <x:v>1</x:v>
      </x:c>
      <x:c r="I446" s="39" t="n">
        <x:v>0.1172178027</x:v>
      </x:c>
    </x:row>
    <x:row r="447" ht="19" customHeight="1">
      <x:c r="A447" s="30" t="str">
        <x:v>stagger_1</x:v>
      </x:c>
      <x:c r="B447" s="39" t="str">
        <x:v>CMCSA</x:v>
      </x:c>
      <x:c r="C447" s="39" t="str">
        <x:v>Other sectors</x:v>
      </x:c>
      <x:c r="D447" s="31" t="n">
        <x:v>1</x:v>
      </x:c>
      <x:c r="E447" s="39" t="str">
        <x:v>XLF</x:v>
      </x:c>
      <x:c r="F447" s="39" t="n">
        <x:v>0.5227329029</x:v>
      </x:c>
      <x:c r="G447" s="39" t="n">
        <x:v>2.5716620825</x:v>
      </x:c>
      <x:c r="H447" s="44" t="b">
        <x:v>0</x:v>
      </x:c>
      <x:c r="I447" s="39" t="n">
        <x:v>0.0781606966</x:v>
      </x:c>
    </x:row>
    <x:row r="448" ht="19" customHeight="1">
      <x:c r="A448" s="30" t="str">
        <x:v>stagger_1</x:v>
      </x:c>
      <x:c r="B448" s="39" t="str">
        <x:v>CMCSA</x:v>
      </x:c>
      <x:c r="C448" s="39" t="str">
        <x:v>Other sectors</x:v>
      </x:c>
      <x:c r="D448" s="31" t="n">
        <x:v>1</x:v>
      </x:c>
      <x:c r="E448" s="39" t="str">
        <x:v>XLI</x:v>
      </x:c>
      <x:c r="F448" s="39" t="n">
        <x:v>0.4402360102</x:v>
      </x:c>
      <x:c r="G448" s="39" t="n">
        <x:v>2.0258933914</x:v>
      </x:c>
      <x:c r="H448" s="44" t="b">
        <x:v>0</x:v>
      </x:c>
      <x:c r="I448" s="39" t="n">
        <x:v>0.0499882081</x:v>
      </x:c>
    </x:row>
    <x:row r="449" ht="19" customHeight="1">
      <x:c r="A449" s="30" t="str">
        <x:v>stagger_1</x:v>
      </x:c>
      <x:c r="B449" s="39" t="str">
        <x:v>CMCSA</x:v>
      </x:c>
      <x:c r="C449" s="39" t="str">
        <x:v>Other sectors</x:v>
      </x:c>
      <x:c r="D449" s="31" t="n">
        <x:v>1</x:v>
      </x:c>
      <x:c r="E449" s="39" t="str">
        <x:v>XLK</x:v>
      </x:c>
      <x:c r="F449" s="39" t="n">
        <x:v>-0.5266224637</x:v>
      </x:c>
      <x:c r="G449" s="39" t="n">
        <x:v>-2.7811220095</x:v>
      </x:c>
      <x:c r="H449" s="44" t="b">
        <x:v>0</x:v>
      </x:c>
      <x:c r="I449" s="39" t="n">
        <x:v>0.0902160395</x:v>
      </x:c>
    </x:row>
    <x:row r="450" ht="19" customHeight="1">
      <x:c r="A450" s="30" t="str">
        <x:v>stagger_1</x:v>
      </x:c>
      <x:c r="B450" s="39" t="str">
        <x:v>CMCSA</x:v>
      </x:c>
      <x:c r="C450" s="39" t="str">
        <x:v>Other sectors</x:v>
      </x:c>
      <x:c r="D450" s="31" t="n">
        <x:v>1</x:v>
      </x:c>
      <x:c r="E450" s="39" t="str">
        <x:v>XLP</x:v>
      </x:c>
      <x:c r="F450" s="39" t="n">
        <x:v>0.4713829796</x:v>
      </x:c>
      <x:c r="G450" s="39" t="n">
        <x:v>2.4312537279</x:v>
      </x:c>
      <x:c r="H450" s="44" t="b">
        <x:v>0</x:v>
      </x:c>
      <x:c r="I450" s="39" t="n">
        <x:v>0.0704436256</x:v>
      </x:c>
    </x:row>
    <x:row r="451" ht="19" customHeight="1">
      <x:c r="A451" s="30" t="str">
        <x:v>stagger_1</x:v>
      </x:c>
      <x:c r="B451" s="39" t="str">
        <x:v>CMCSA</x:v>
      </x:c>
      <x:c r="C451" s="39" t="str">
        <x:v>Other sectors</x:v>
      </x:c>
      <x:c r="D451" s="31" t="n">
        <x:v>1</x:v>
      </x:c>
      <x:c r="E451" s="39" t="str">
        <x:v>XLRE</x:v>
      </x:c>
      <x:c r="F451" s="39" t="n">
        <x:v>0.3776011615</x:v>
      </x:c>
      <x:c r="G451" s="39" t="n">
        <x:v>2.1405913175</x:v>
      </x:c>
      <x:c r="H451" s="44" t="b">
        <x:v>0</x:v>
      </x:c>
      <x:c r="I451" s="39" t="n">
        <x:v>0.0554857464</x:v>
      </x:c>
    </x:row>
    <x:row r="452" ht="19" customHeight="1">
      <x:c r="A452" s="30" t="str">
        <x:v>stagger_1</x:v>
      </x:c>
      <x:c r="B452" s="39" t="str">
        <x:v>CMCSA</x:v>
      </x:c>
      <x:c r="C452" s="39" t="str">
        <x:v>Other sectors</x:v>
      </x:c>
      <x:c r="D452" s="31" t="n">
        <x:v>1</x:v>
      </x:c>
      <x:c r="E452" s="39" t="str">
        <x:v>XLU</x:v>
      </x:c>
      <x:c r="F452" s="39" t="n">
        <x:v>0.1635849586</x:v>
      </x:c>
      <x:c r="G452" s="39" t="n">
        <x:v>1.0665756047</x:v>
      </x:c>
      <x:c r="H452" s="44" t="b">
        <x:v>0</x:v>
      </x:c>
      <x:c r="I452" s="39" t="n">
        <x:v>0.0143747568</x:v>
      </x:c>
    </x:row>
    <x:row r="453" ht="19" customHeight="1">
      <x:c r="A453" s="30" t="str">
        <x:v>stagger_1</x:v>
      </x:c>
      <x:c r="B453" s="39" t="str">
        <x:v>CMCSA</x:v>
      </x:c>
      <x:c r="C453" s="39" t="str">
        <x:v>Other sectors</x:v>
      </x:c>
      <x:c r="D453" s="31" t="n">
        <x:v>1</x:v>
      </x:c>
      <x:c r="E453" s="39" t="str">
        <x:v>XLV</x:v>
      </x:c>
      <x:c r="F453" s="39" t="n">
        <x:v>0.3686097963</x:v>
      </x:c>
      <x:c r="G453" s="39" t="n">
        <x:v>2.0684225514</x:v>
      </x:c>
      <x:c r="H453" s="44" t="b">
        <x:v>0</x:v>
      </x:c>
      <x:c r="I453" s="39" t="n">
        <x:v>0.0519987423</x:v>
      </x:c>
    </x:row>
    <x:row r="454" ht="19" customHeight="1">
      <x:c r="A454" s="30" t="str">
        <x:v>stagger_1</x:v>
      </x:c>
      <x:c r="B454" s="39" t="str">
        <x:v>CMCSA</x:v>
      </x:c>
      <x:c r="C454" s="39" t="str">
        <x:v>Other sectors</x:v>
      </x:c>
      <x:c r="D454" s="31" t="n">
        <x:v>1</x:v>
      </x:c>
      <x:c r="E454" s="39" t="str">
        <x:v>XLY</x:v>
      </x:c>
      <x:c r="F454" s="39" t="n">
        <x:v>-0.3392382764</x:v>
      </x:c>
      <x:c r="G454" s="39" t="n">
        <x:v>-1.5832902775</x:v>
      </x:c>
      <x:c r="H454" s="44" t="b">
        <x:v>0</x:v>
      </x:c>
      <x:c r="I454" s="39" t="n">
        <x:v>0.0311378399</x:v>
      </x:c>
    </x:row>
    <x:row r="455" ht="19" customHeight="1">
      <x:c r="A455" s="30" t="str">
        <x:v>stagger_1</x:v>
      </x:c>
      <x:c r="B455" s="39" t="str">
        <x:v>CMCSA</x:v>
      </x:c>
      <x:c r="C455" s="39" t="str">
        <x:v>Other sectors</x:v>
      </x:c>
      <x:c r="D455" s="31" t="n">
        <x:v>2</x:v>
      </x:c>
      <x:c r="E455" s="39" t="str">
        <x:v>XLB</x:v>
      </x:c>
      <x:c r="F455" s="39" t="n">
        <x:v>0.2426214152</x:v>
      </x:c>
      <x:c r="G455" s="39" t="n">
        <x:v>1.5848907811</x:v>
      </x:c>
      <x:c r="H455" s="44" t="b">
        <x:v>0</x:v>
      </x:c>
      <x:c r="I455" s="39" t="n">
        <x:v>0.0311988594</x:v>
      </x:c>
    </x:row>
    <x:row r="456" ht="19" customHeight="1">
      <x:c r="A456" s="30" t="str">
        <x:v>stagger_1</x:v>
      </x:c>
      <x:c r="B456" s="39" t="str">
        <x:v>CMCSA</x:v>
      </x:c>
      <x:c r="C456" s="39" t="str">
        <x:v>Other sectors</x:v>
      </x:c>
      <x:c r="D456" s="31" t="n">
        <x:v>2</x:v>
      </x:c>
      <x:c r="E456" s="39" t="str">
        <x:v>XLF</x:v>
      </x:c>
      <x:c r="F456" s="39" t="n">
        <x:v>0.349570858</x:v>
      </x:c>
      <x:c r="G456" s="39" t="n">
        <x:v>1.7932589813</x:v>
      </x:c>
      <x:c r="H456" s="44" t="b">
        <x:v>0</x:v>
      </x:c>
      <x:c r="I456" s="39" t="n">
        <x:v>0.0395954809</x:v>
      </x:c>
    </x:row>
    <x:row r="457" ht="19" customHeight="1">
      <x:c r="A457" s="30" t="str">
        <x:v>stagger_1</x:v>
      </x:c>
      <x:c r="B457" s="39" t="str">
        <x:v>CMCSA</x:v>
      </x:c>
      <x:c r="C457" s="39" t="str">
        <x:v>Other sectors</x:v>
      </x:c>
      <x:c r="D457" s="31" t="n">
        <x:v>2</x:v>
      </x:c>
      <x:c r="E457" s="39" t="str">
        <x:v>XLI</x:v>
      </x:c>
      <x:c r="F457" s="39" t="n">
        <x:v>0.321167558</x:v>
      </x:c>
      <x:c r="G457" s="39" t="n">
        <x:v>1.5568447582</x:v>
      </x:c>
      <x:c r="H457" s="44" t="b">
        <x:v>0</x:v>
      </x:c>
      <x:c r="I457" s="39" t="n">
        <x:v>0.0301374299</x:v>
      </x:c>
    </x:row>
    <x:row r="458" ht="19" customHeight="1">
      <x:c r="A458" s="30" t="str">
        <x:v>stagger_1</x:v>
      </x:c>
      <x:c r="B458" s="39" t="str">
        <x:v>CMCSA</x:v>
      </x:c>
      <x:c r="C458" s="39" t="str">
        <x:v>Other sectors</x:v>
      </x:c>
      <x:c r="D458" s="31" t="n">
        <x:v>2</x:v>
      </x:c>
      <x:c r="E458" s="39" t="str">
        <x:v>XLK</x:v>
      </x:c>
      <x:c r="F458" s="39" t="n">
        <x:v>-0.2905387302</x:v>
      </x:c>
      <x:c r="G458" s="39" t="n">
        <x:v>-1.5824457934</x:v>
      </x:c>
      <x:c r="H458" s="44" t="b">
        <x:v>0</x:v>
      </x:c>
      <x:c r="I458" s="39" t="n">
        <x:v>0.0311056656</x:v>
      </x:c>
    </x:row>
    <x:row r="459" ht="19" customHeight="1">
      <x:c r="A459" s="30" t="str">
        <x:v>stagger_1</x:v>
      </x:c>
      <x:c r="B459" s="39" t="str">
        <x:v>CMCSA</x:v>
      </x:c>
      <x:c r="C459" s="39" t="str">
        <x:v>Other sectors</x:v>
      </x:c>
      <x:c r="D459" s="31" t="n">
        <x:v>2</x:v>
      </x:c>
      <x:c r="E459" s="39" t="str">
        <x:v>XLP</x:v>
      </x:c>
      <x:c r="F459" s="39" t="n">
        <x:v>0.3921653459</x:v>
      </x:c>
      <x:c r="G459" s="39" t="n">
        <x:v>2.1353729983</x:v>
      </x:c>
      <x:c r="H459" s="44" t="b">
        <x:v>1</x:v>
      </x:c>
      <x:c r="I459" s="39" t="n">
        <x:v>0.0552304736</x:v>
      </x:c>
    </x:row>
    <x:row r="460" ht="19" customHeight="1">
      <x:c r="A460" s="30" t="str">
        <x:v>stagger_1</x:v>
      </x:c>
      <x:c r="B460" s="39" t="str">
        <x:v>CMCSA</x:v>
      </x:c>
      <x:c r="C460" s="39" t="str">
        <x:v>Other sectors</x:v>
      </x:c>
      <x:c r="D460" s="31" t="n">
        <x:v>2</x:v>
      </x:c>
      <x:c r="E460" s="39" t="str">
        <x:v>XLRE</x:v>
      </x:c>
      <x:c r="F460" s="39" t="n">
        <x:v>0.3005574071</x:v>
      </x:c>
      <x:c r="G460" s="39" t="n">
        <x:v>1.7985782128</x:v>
      </x:c>
      <x:c r="H460" s="44" t="b">
        <x:v>0</x:v>
      </x:c>
      <x:c r="I460" s="39" t="n">
        <x:v>0.0398213605</x:v>
      </x:c>
    </x:row>
    <x:row r="461" ht="19" customHeight="1">
      <x:c r="A461" s="30" t="str">
        <x:v>stagger_1</x:v>
      </x:c>
      <x:c r="B461" s="39" t="str">
        <x:v>CMCSA</x:v>
      </x:c>
      <x:c r="C461" s="39" t="str">
        <x:v>Other sectors</x:v>
      </x:c>
      <x:c r="D461" s="31" t="n">
        <x:v>2</x:v>
      </x:c>
      <x:c r="E461" s="39" t="str">
        <x:v>XLU</x:v>
      </x:c>
      <x:c r="F461" s="39" t="n">
        <x:v>0.1264423987</x:v>
      </x:c>
      <x:c r="G461" s="39" t="n">
        <x:v>0.8753726798</x:v>
      </x:c>
      <x:c r="H461" s="44" t="b">
        <x:v>0</x:v>
      </x:c>
      <x:c r="I461" s="39" t="n">
        <x:v>0.0097284949</x:v>
      </x:c>
    </x:row>
    <x:row r="462" ht="19" customHeight="1">
      <x:c r="A462" s="30" t="str">
        <x:v>stagger_1</x:v>
      </x:c>
      <x:c r="B462" s="39" t="str">
        <x:v>CMCSA</x:v>
      </x:c>
      <x:c r="C462" s="39" t="str">
        <x:v>Other sectors</x:v>
      </x:c>
      <x:c r="D462" s="31" t="n">
        <x:v>2</x:v>
      </x:c>
      <x:c r="E462" s="39" t="str">
        <x:v>XLV</x:v>
      </x:c>
      <x:c r="F462" s="39" t="n">
        <x:v>0.2754021067</x:v>
      </x:c>
      <x:c r="G462" s="39" t="n">
        <x:v>1.6284606942</x:v>
      </x:c>
      <x:c r="H462" s="44" t="b">
        <x:v>0</x:v>
      </x:c>
      <x:c r="I462" s="39" t="n">
        <x:v>0.0328806234</x:v>
      </x:c>
    </x:row>
    <x:row r="463" ht="19" customHeight="1">
      <x:c r="A463" s="30" t="str">
        <x:v>stagger_1</x:v>
      </x:c>
      <x:c r="B463" s="39" t="str">
        <x:v>CMCSA</x:v>
      </x:c>
      <x:c r="C463" s="39" t="str">
        <x:v>Other sectors</x:v>
      </x:c>
      <x:c r="D463" s="31" t="n">
        <x:v>2</x:v>
      </x:c>
      <x:c r="E463" s="39" t="str">
        <x:v>XLY</x:v>
      </x:c>
      <x:c r="F463" s="39" t="n">
        <x:v>-0.1801401056</x:v>
      </x:c>
      <x:c r="G463" s="39" t="n">
        <x:v>-0.88519891</x:v>
      </x:c>
      <x:c r="H463" s="44" t="b">
        <x:v>0</x:v>
      </x:c>
      <x:c r="I463" s="39" t="n">
        <x:v>0.0099459448</x:v>
      </x:c>
    </x:row>
    <x:row r="464" ht="19" customHeight="1">
      <x:c r="A464" s="30" t="str">
        <x:v>stagger_1</x:v>
      </x:c>
      <x:c r="B464" s="39" t="str">
        <x:v>CMCSA</x:v>
      </x:c>
      <x:c r="C464" s="39" t="str">
        <x:v>Other sectors</x:v>
      </x:c>
      <x:c r="D464" s="31" t="n">
        <x:v>3</x:v>
      </x:c>
      <x:c r="E464" s="39" t="str">
        <x:v>XLB</x:v>
      </x:c>
      <x:c r="F464" s="39" t="n">
        <x:v>0.0879949172</x:v>
      </x:c>
      <x:c r="G464" s="39" t="n">
        <x:v>0.5833476805</x:v>
      </x:c>
      <x:c r="H464" s="44" t="b">
        <x:v>0</x:v>
      </x:c>
      <x:c r="I464" s="39" t="n">
        <x:v>0.0043437993</x:v>
      </x:c>
    </x:row>
    <x:row r="465" ht="19" customHeight="1">
      <x:c r="A465" s="30" t="str">
        <x:v>stagger_1</x:v>
      </x:c>
      <x:c r="B465" s="39" t="str">
        <x:v>CMCSA</x:v>
      </x:c>
      <x:c r="C465" s="39" t="str">
        <x:v>Other sectors</x:v>
      </x:c>
      <x:c r="D465" s="31" t="n">
        <x:v>3</x:v>
      </x:c>
      <x:c r="E465" s="39" t="str">
        <x:v>XLF</x:v>
      </x:c>
      <x:c r="F465" s="39" t="n">
        <x:v>0.3408289835</x:v>
      </x:c>
      <x:c r="G465" s="39" t="n">
        <x:v>1.7990230607</x:v>
      </x:c>
      <x:c r="H465" s="44" t="b">
        <x:v>0</x:v>
      </x:c>
      <x:c r="I465" s="39" t="n">
        <x:v>0.0398402764</x:v>
      </x:c>
    </x:row>
    <x:row r="466" ht="19" customHeight="1">
      <x:c r="A466" s="30" t="str">
        <x:v>stagger_1</x:v>
      </x:c>
      <x:c r="B466" s="39" t="str">
        <x:v>CMCSA</x:v>
      </x:c>
      <x:c r="C466" s="39" t="str">
        <x:v>Other sectors</x:v>
      </x:c>
      <x:c r="D466" s="31" t="n">
        <x:v>3</x:v>
      </x:c>
      <x:c r="E466" s="39" t="str">
        <x:v>XLI</x:v>
      </x:c>
      <x:c r="F466" s="39" t="n">
        <x:v>0.1353519965</x:v>
      </x:c>
      <x:c r="G466" s="39" t="n">
        <x:v>0.6666597508</x:v>
      </x:c>
      <x:c r="H466" s="44" t="b">
        <x:v>0</x:v>
      </x:c>
      <x:c r="I466" s="39" t="n">
        <x:v>0.0056656055</x:v>
      </x:c>
    </x:row>
    <x:row r="467" ht="19" customHeight="1">
      <x:c r="A467" s="30" t="str">
        <x:v>stagger_1</x:v>
      </x:c>
      <x:c r="B467" s="39" t="str">
        <x:v>CMCSA</x:v>
      </x:c>
      <x:c r="C467" s="39" t="str">
        <x:v>Other sectors</x:v>
      </x:c>
      <x:c r="D467" s="31" t="n">
        <x:v>3</x:v>
      </x:c>
      <x:c r="E467" s="39" t="str">
        <x:v>XLK</x:v>
      </x:c>
      <x:c r="F467" s="39" t="n">
        <x:v>-0.0975900256</x:v>
      </x:c>
      <x:c r="G467" s="39" t="n">
        <x:v>-0.5392791566</x:v>
      </x:c>
      <x:c r="H467" s="44" t="b">
        <x:v>0</x:v>
      </x:c>
      <x:c r="I467" s="39" t="n">
        <x:v>0.0037146373</x:v>
      </x:c>
    </x:row>
    <x:row r="468" ht="19" customHeight="1">
      <x:c r="A468" s="30" t="str">
        <x:v>stagger_1</x:v>
      </x:c>
      <x:c r="B468" s="39" t="str">
        <x:v>CMCSA</x:v>
      </x:c>
      <x:c r="C468" s="39" t="str">
        <x:v>Other sectors</x:v>
      </x:c>
      <x:c r="D468" s="31" t="n">
        <x:v>3</x:v>
      </x:c>
      <x:c r="E468" s="39" t="str">
        <x:v>XLRE</x:v>
      </x:c>
      <x:c r="F468" s="39" t="n">
        <x:v>0.1032484297</x:v>
      </x:c>
      <x:c r="G468" s="39" t="n">
        <x:v>0.6244263288</x:v>
      </x:c>
      <x:c r="H468" s="44" t="b">
        <x:v>0</x:v>
      </x:c>
      <x:c r="I468" s="39" t="n">
        <x:v>0.0049739596</x:v>
      </x:c>
    </x:row>
    <x:row r="469" ht="19" customHeight="1">
      <x:c r="A469" s="30" t="str">
        <x:v>stagger_1</x:v>
      </x:c>
      <x:c r="B469" s="39" t="str">
        <x:v>CMCSA</x:v>
      </x:c>
      <x:c r="C469" s="39" t="str">
        <x:v>Other sectors</x:v>
      </x:c>
      <x:c r="D469" s="31" t="n">
        <x:v>3</x:v>
      </x:c>
      <x:c r="E469" s="39" t="str">
        <x:v>XLU</x:v>
      </x:c>
      <x:c r="F469" s="39" t="n">
        <x:v>-0.0268587764</x:v>
      </x:c>
      <x:c r="G469" s="39" t="n">
        <x:v>-0.1904151964</x:v>
      </x:c>
      <x:c r="H469" s="44" t="b">
        <x:v>0</x:v>
      </x:c>
      <x:c r="I469" s="39" t="n">
        <x:v>0.0004646295</x:v>
      </x:c>
    </x:row>
    <x:row r="470" ht="19" customHeight="1">
      <x:c r="A470" s="30" t="str">
        <x:v>stagger_1</x:v>
      </x:c>
      <x:c r="B470" s="39" t="str">
        <x:v>CMCSA</x:v>
      </x:c>
      <x:c r="C470" s="39" t="str">
        <x:v>Other sectors</x:v>
      </x:c>
      <x:c r="D470" s="31" t="n">
        <x:v>3</x:v>
      </x:c>
      <x:c r="E470" s="39" t="str">
        <x:v>XLV</x:v>
      </x:c>
      <x:c r="F470" s="39" t="n">
        <x:v>0.1089814026</x:v>
      </x:c>
      <x:c r="G470" s="39" t="n">
        <x:v>0.6537717876</x:v>
      </x:c>
      <x:c r="H470" s="44" t="b">
        <x:v>0</x:v>
      </x:c>
      <x:c r="I470" s="39" t="n">
        <x:v>0.0054498486</x:v>
      </x:c>
    </x:row>
    <x:row r="471" ht="19" customHeight="1">
      <x:c r="A471" s="30" t="str">
        <x:v>stagger_1</x:v>
      </x:c>
      <x:c r="B471" s="39" t="str">
        <x:v>CMCSA</x:v>
      </x:c>
      <x:c r="C471" s="39" t="str">
        <x:v>Other sectors</x:v>
      </x:c>
      <x:c r="D471" s="31" t="n">
        <x:v>3</x:v>
      </x:c>
      <x:c r="E471" s="39" t="str">
        <x:v>XLY</x:v>
      </x:c>
      <x:c r="F471" s="39" t="n">
        <x:v>-0.1316618295</x:v>
      </x:c>
      <x:c r="G471" s="39" t="n">
        <x:v>-0.664173383</x:v>
      </x:c>
      <x:c r="H471" s="44" t="b">
        <x:v>0</x:v>
      </x:c>
      <x:c r="I471" s="39" t="n">
        <x:v>0.0056236607</x:v>
      </x:c>
    </x:row>
    <x:row r="472" ht="19" customHeight="1">
      <x:c r="A472" s="30" t="str">
        <x:v>stagger_1</x:v>
      </x:c>
      <x:c r="B472" s="39" t="str">
        <x:v>MU</x:v>
      </x:c>
      <x:c r="C472" s="39" t="str">
        <x:v>Other FX</x:v>
      </x:c>
      <x:c r="D472" s="31" t="n">
        <x:v>1</x:v>
      </x:c>
      <x:c r="E472" s="39" t="str">
        <x:v>AUD/USD</x:v>
      </x:c>
      <x:c r="F472" s="39" t="n">
        <x:v>2.1006307407</x:v>
      </x:c>
      <x:c r="G472" s="39" t="n">
        <x:v>2.2933241827</x:v>
      </x:c>
      <x:c r="H472" s="44" t="b">
        <x:v>1</x:v>
      </x:c>
      <x:c r="I472" s="39" t="n">
        <x:v>0.0631681211</x:v>
      </x:c>
    </x:row>
    <x:row r="473" ht="19" customHeight="1">
      <x:c r="A473" s="30" t="str">
        <x:v>stagger_1</x:v>
      </x:c>
      <x:c r="B473" s="39" t="str">
        <x:v>MU</x:v>
      </x:c>
      <x:c r="C473" s="39" t="str">
        <x:v>Other sectors</x:v>
      </x:c>
      <x:c r="D473" s="31" t="n">
        <x:v>1</x:v>
      </x:c>
      <x:c r="E473" s="39" t="str">
        <x:v>XLB</x:v>
      </x:c>
      <x:c r="F473" s="39" t="n">
        <x:v>0.7959542802</x:v>
      </x:c>
      <x:c r="G473" s="39" t="n">
        <x:v>1.9327886509</x:v>
      </x:c>
      <x:c r="H473" s="44" t="b">
        <x:v>0</x:v>
      </x:c>
      <x:c r="I473" s="39" t="n">
        <x:v>0.0457043036</x:v>
      </x:c>
    </x:row>
    <x:row r="474" ht="19" customHeight="1">
      <x:c r="A474" s="30" t="str">
        <x:v>stagger_1</x:v>
      </x:c>
      <x:c r="B474" s="39" t="str">
        <x:v>MU</x:v>
      </x:c>
      <x:c r="C474" s="39" t="str">
        <x:v>Other sectors</x:v>
      </x:c>
      <x:c r="D474" s="31" t="n">
        <x:v>1</x:v>
      </x:c>
      <x:c r="E474" s="39" t="str">
        <x:v>XLC</x:v>
      </x:c>
      <x:c r="F474" s="39" t="n">
        <x:v>-0.6237010615</x:v>
      </x:c>
      <x:c r="G474" s="39" t="n">
        <x:v>-1.090954737</x:v>
      </x:c>
      <x:c r="H474" s="44" t="b">
        <x:v>0</x:v>
      </x:c>
      <x:c r="I474" s="39" t="n">
        <x:v>0.0150294166</x:v>
      </x:c>
    </x:row>
    <x:row r="475" ht="19" customHeight="1">
      <x:c r="A475" s="30" t="str">
        <x:v>stagger_1</x:v>
      </x:c>
      <x:c r="B475" s="39" t="str">
        <x:v>MU</x:v>
      </x:c>
      <x:c r="C475" s="39" t="str">
        <x:v>Other sectors</x:v>
      </x:c>
      <x:c r="D475" s="31" t="n">
        <x:v>1</x:v>
      </x:c>
      <x:c r="E475" s="39" t="str">
        <x:v>XLE</x:v>
      </x:c>
      <x:c r="F475" s="39" t="n">
        <x:v>0.4855748611</x:v>
      </x:c>
      <x:c r="G475" s="39" t="n">
        <x:v>2.1975988295</x:v>
      </x:c>
      <x:c r="H475" s="44" t="b">
        <x:v>0</x:v>
      </x:c>
      <x:c r="I475" s="39" t="n">
        <x:v>0.0583058461</x:v>
      </x:c>
    </x:row>
    <x:row r="476" ht="19" customHeight="1">
      <x:c r="A476" s="30" t="str">
        <x:v>stagger_1</x:v>
      </x:c>
      <x:c r="B476" s="39" t="str">
        <x:v>MU</x:v>
      </x:c>
      <x:c r="C476" s="39" t="str">
        <x:v>Other sectors</x:v>
      </x:c>
      <x:c r="D476" s="31" t="n">
        <x:v>1</x:v>
      </x:c>
      <x:c r="E476" s="39" t="str">
        <x:v>XLF</x:v>
      </x:c>
      <x:c r="F476" s="39" t="n">
        <x:v>0.6902641018</x:v>
      </x:c>
      <x:c r="G476" s="39" t="n">
        <x:v>1.2939339557</x:v>
      </x:c>
      <x:c r="H476" s="44" t="b">
        <x:v>0</x:v>
      </x:c>
      <x:c r="I476" s="39" t="n">
        <x:v>0.0210138754</x:v>
      </x:c>
    </x:row>
    <x:row r="477" ht="19" customHeight="1">
      <x:c r="A477" s="30" t="str">
        <x:v>stagger_1</x:v>
      </x:c>
      <x:c r="B477" s="39" t="str">
        <x:v>MU</x:v>
      </x:c>
      <x:c r="C477" s="39" t="str">
        <x:v>Other sectors</x:v>
      </x:c>
      <x:c r="D477" s="31" t="n">
        <x:v>1</x:v>
      </x:c>
      <x:c r="E477" s="39" t="str">
        <x:v>XLI</x:v>
      </x:c>
      <x:c r="F477" s="39" t="n">
        <x:v>1.0817049258</x:v>
      </x:c>
      <x:c r="G477" s="39" t="n">
        <x:v>1.951079238</x:v>
      </x:c>
      <x:c r="H477" s="44" t="b">
        <x:v>0</x:v>
      </x:c>
      <x:c r="I477" s="39" t="n">
        <x:v>0.0465329822</x:v>
      </x:c>
    </x:row>
    <x:row r="478" ht="19" customHeight="1">
      <x:c r="A478" s="30" t="str">
        <x:v>stagger_1</x:v>
      </x:c>
      <x:c r="B478" s="39" t="str">
        <x:v>MU</x:v>
      </x:c>
      <x:c r="C478" s="39" t="str">
        <x:v>Other sectors</x:v>
      </x:c>
      <x:c r="D478" s="31" t="n">
        <x:v>1</x:v>
      </x:c>
      <x:c r="E478" s="39" t="str">
        <x:v>XLP</x:v>
      </x:c>
      <x:c r="F478" s="39" t="n">
        <x:v>-0.0982033276</x:v>
      </x:c>
      <x:c r="G478" s="39" t="n">
        <x:v>-0.1917989662</x:v>
      </x:c>
      <x:c r="H478" s="44" t="b">
        <x:v>0</x:v>
      </x:c>
      <x:c r="I478" s="39" t="n">
        <x:v>0.0004714039</x:v>
      </x:c>
    </x:row>
    <x:row r="479" ht="19" customHeight="1">
      <x:c r="A479" s="30" t="str">
        <x:v>stagger_1</x:v>
      </x:c>
      <x:c r="B479" s="39" t="str">
        <x:v>MU</x:v>
      </x:c>
      <x:c r="C479" s="39" t="str">
        <x:v>Other sectors</x:v>
      </x:c>
      <x:c r="D479" s="31" t="n">
        <x:v>1</x:v>
      </x:c>
      <x:c r="E479" s="39" t="str">
        <x:v>XLRE</x:v>
      </x:c>
      <x:c r="F479" s="39" t="n">
        <x:v>-0.3900707562</x:v>
      </x:c>
      <x:c r="G479" s="39" t="n">
        <x:v>-0.8477407523</x:v>
      </x:c>
      <x:c r="H479" s="44" t="b">
        <x:v>0</x:v>
      </x:c>
      <x:c r="I479" s="39" t="n">
        <x:v>0.0091295297</x:v>
      </x:c>
    </x:row>
    <x:row r="480" ht="19" customHeight="1">
      <x:c r="A480" s="30" t="str">
        <x:v>stagger_1</x:v>
      </x:c>
      <x:c r="B480" s="39" t="str">
        <x:v>MU</x:v>
      </x:c>
      <x:c r="C480" s="39" t="str">
        <x:v>Other sectors</x:v>
      </x:c>
      <x:c r="D480" s="31" t="n">
        <x:v>1</x:v>
      </x:c>
      <x:c r="E480" s="39" t="str">
        <x:v>XLU</x:v>
      </x:c>
      <x:c r="F480" s="39" t="n">
        <x:v>-0.3655763785</x:v>
      </x:c>
      <x:c r="G480" s="39" t="n">
        <x:v>-0.9343783785</x:v>
      </x:c>
      <x:c r="H480" s="44" t="b">
        <x:v>0</x:v>
      </x:c>
      <x:c r="I480" s="39" t="n">
        <x:v>0.0110692158</x:v>
      </x:c>
    </x:row>
    <x:row r="481" ht="19" customHeight="1">
      <x:c r="A481" s="30" t="str">
        <x:v>stagger_1</x:v>
      </x:c>
      <x:c r="B481" s="39" t="str">
        <x:v>MU</x:v>
      </x:c>
      <x:c r="C481" s="39" t="str">
        <x:v>Other sectors</x:v>
      </x:c>
      <x:c r="D481" s="31" t="n">
        <x:v>1</x:v>
      </x:c>
      <x:c r="E481" s="39" t="str">
        <x:v>XLV</x:v>
      </x:c>
      <x:c r="F481" s="39" t="n">
        <x:v>0.5812952628</x:v>
      </x:c>
      <x:c r="G481" s="39" t="n">
        <x:v>1.2597096432</x:v>
      </x:c>
      <x:c r="H481" s="44" t="b">
        <x:v>0</x:v>
      </x:c>
      <x:c r="I481" s="39" t="n">
        <x:v>0.0199388218</x:v>
      </x:c>
    </x:row>
    <x:row r="482" ht="19" customHeight="1">
      <x:c r="A482" s="30" t="str">
        <x:v>stagger_1</x:v>
      </x:c>
      <x:c r="B482" s="39" t="str">
        <x:v>MU</x:v>
      </x:c>
      <x:c r="C482" s="39" t="str">
        <x:v>Other sectors</x:v>
      </x:c>
      <x:c r="D482" s="31" t="n">
        <x:v>1</x:v>
      </x:c>
      <x:c r="E482" s="39" t="str">
        <x:v>XLY</x:v>
      </x:c>
      <x:c r="F482" s="39" t="n">
        <x:v>-1.3541680665</x:v>
      </x:c>
      <x:c r="G482" s="39" t="n">
        <x:v>-2.5419360119</x:v>
      </x:c>
      <x:c r="H482" s="44" t="b">
        <x:v>1</x:v>
      </x:c>
      <x:c r="I482" s="39" t="n">
        <x:v>0.0765016413</x:v>
      </x:c>
    </x:row>
    <x:row r="483" ht="19" customHeight="1">
      <x:c r="A483" s="30" t="str">
        <x:v>stagger_1</x:v>
      </x:c>
      <x:c r="B483" s="39" t="str">
        <x:v>MU</x:v>
      </x:c>
      <x:c r="C483" s="39" t="str">
        <x:v>Other sectors</x:v>
      </x:c>
      <x:c r="D483" s="31" t="n">
        <x:v>2</x:v>
      </x:c>
      <x:c r="E483" s="39" t="str">
        <x:v>XLB</x:v>
      </x:c>
      <x:c r="F483" s="39" t="n">
        <x:v>0.7219687432</x:v>
      </x:c>
      <x:c r="G483" s="39" t="n">
        <x:v>1.8195534032</x:v>
      </x:c>
      <x:c r="H483" s="44" t="b">
        <x:v>0</x:v>
      </x:c>
      <x:c r="I483" s="39" t="n">
        <x:v>0.0407175384</x:v>
      </x:c>
    </x:row>
    <x:row r="484" ht="19" customHeight="1">
      <x:c r="A484" s="30" t="str">
        <x:v>stagger_1</x:v>
      </x:c>
      <x:c r="B484" s="39" t="str">
        <x:v>MU</x:v>
      </x:c>
      <x:c r="C484" s="39" t="str">
        <x:v>Other sectors</x:v>
      </x:c>
      <x:c r="D484" s="31" t="n">
        <x:v>2</x:v>
      </x:c>
      <x:c r="E484" s="39" t="str">
        <x:v>XLC</x:v>
      </x:c>
      <x:c r="F484" s="39" t="n">
        <x:v>-0.1816534365</x:v>
      </x:c>
      <x:c r="G484" s="39" t="n">
        <x:v>-0.3283729806</x:v>
      </x:c>
      <x:c r="H484" s="44" t="b">
        <x:v>0</x:v>
      </x:c>
      <x:c r="I484" s="39" t="n">
        <x:v>0.0013805122</x:v>
      </x:c>
    </x:row>
    <x:row r="485" ht="19" customHeight="1">
      <x:c r="A485" s="30" t="str">
        <x:v>stagger_1</x:v>
      </x:c>
      <x:c r="B485" s="39" t="str">
        <x:v>MU</x:v>
      </x:c>
      <x:c r="C485" s="39" t="str">
        <x:v>Other sectors</x:v>
      </x:c>
      <x:c r="D485" s="31" t="n">
        <x:v>2</x:v>
      </x:c>
      <x:c r="E485" s="39" t="str">
        <x:v>XLE</x:v>
      </x:c>
      <x:c r="F485" s="39" t="n">
        <x:v>0.3511302772</x:v>
      </x:c>
      <x:c r="G485" s="39" t="n">
        <x:v>1.6318765959</x:v>
      </x:c>
      <x:c r="H485" s="44" t="b">
        <x:v>0</x:v>
      </x:c>
      <x:c r="I485" s="39" t="n">
        <x:v>0.0330141518</x:v>
      </x:c>
    </x:row>
    <x:row r="486" ht="19" customHeight="1">
      <x:c r="A486" s="30" t="str">
        <x:v>stagger_1</x:v>
      </x:c>
      <x:c r="B486" s="39" t="str">
        <x:v>MU</x:v>
      </x:c>
      <x:c r="C486" s="39" t="str">
        <x:v>Other sectors</x:v>
      </x:c>
      <x:c r="D486" s="31" t="n">
        <x:v>2</x:v>
      </x:c>
      <x:c r="E486" s="39" t="str">
        <x:v>XLF</x:v>
      </x:c>
      <x:c r="F486" s="39" t="n">
        <x:v>0.650010761</x:v>
      </x:c>
      <x:c r="G486" s="39" t="n">
        <x:v>1.2674008806</x:v>
      </x:c>
      <x:c r="H486" s="44" t="b">
        <x:v>0</x:v>
      </x:c>
      <x:c r="I486" s="39" t="n">
        <x:v>0.0201781127</x:v>
      </x:c>
    </x:row>
    <x:row r="487" ht="19" customHeight="1">
      <x:c r="A487" s="30" t="str">
        <x:v>stagger_1</x:v>
      </x:c>
      <x:c r="B487" s="39" t="str">
        <x:v>MU</x:v>
      </x:c>
      <x:c r="C487" s="39" t="str">
        <x:v>Other sectors</x:v>
      </x:c>
      <x:c r="D487" s="31" t="n">
        <x:v>2</x:v>
      </x:c>
      <x:c r="E487" s="39" t="str">
        <x:v>XLI</x:v>
      </x:c>
      <x:c r="F487" s="39" t="n">
        <x:v>0.913908712</x:v>
      </x:c>
      <x:c r="G487" s="39" t="n">
        <x:v>1.7059170122</x:v>
      </x:c>
      <x:c r="H487" s="44" t="b">
        <x:v>0</x:v>
      </x:c>
      <x:c r="I487" s="39" t="n">
        <x:v>0.0359677092</x:v>
      </x:c>
    </x:row>
    <x:row r="488" ht="19" customHeight="1">
      <x:c r="A488" s="30" t="str">
        <x:v>stagger_1</x:v>
      </x:c>
      <x:c r="B488" s="39" t="str">
        <x:v>MU</x:v>
      </x:c>
      <x:c r="C488" s="39" t="str">
        <x:v>Other sectors</x:v>
      </x:c>
      <x:c r="D488" s="31" t="n">
        <x:v>2</x:v>
      </x:c>
      <x:c r="E488" s="39" t="str">
        <x:v>XLP</x:v>
      </x:c>
      <x:c r="F488" s="39" t="n">
        <x:v>-0.2410714714</x:v>
      </x:c>
      <x:c r="G488" s="39" t="n">
        <x:v>-0.4905851681</x:v>
      </x:c>
      <x:c r="H488" s="44" t="b">
        <x:v>0</x:v>
      </x:c>
      <x:c r="I488" s="39" t="n">
        <x:v>0.0030760702</x:v>
      </x:c>
    </x:row>
    <x:row r="489" ht="19" customHeight="1">
      <x:c r="A489" s="30" t="str">
        <x:v>stagger_1</x:v>
      </x:c>
      <x:c r="B489" s="39" t="str">
        <x:v>MU</x:v>
      </x:c>
      <x:c r="C489" s="39" t="str">
        <x:v>Other sectors</x:v>
      </x:c>
      <x:c r="D489" s="31" t="n">
        <x:v>2</x:v>
      </x:c>
      <x:c r="E489" s="39" t="str">
        <x:v>XLRE</x:v>
      </x:c>
      <x:c r="F489" s="39" t="n">
        <x:v>-0.2608231536</x:v>
      </x:c>
      <x:c r="G489" s="39" t="n">
        <x:v>-0.5884615584</x:v>
      </x:c>
      <x:c r="H489" s="44" t="b">
        <x:v>0</x:v>
      </x:c>
      <x:c r="I489" s="39" t="n">
        <x:v>0.0044199543</x:v>
      </x:c>
    </x:row>
    <x:row r="490" ht="19" customHeight="1">
      <x:c r="A490" s="30" t="str">
        <x:v>stagger_1</x:v>
      </x:c>
      <x:c r="B490" s="39" t="str">
        <x:v>MU</x:v>
      </x:c>
      <x:c r="C490" s="39" t="str">
        <x:v>Other sectors</x:v>
      </x:c>
      <x:c r="D490" s="31" t="n">
        <x:v>2</x:v>
      </x:c>
      <x:c r="E490" s="39" t="str">
        <x:v>XLU</x:v>
      </x:c>
      <x:c r="F490" s="39" t="n">
        <x:v>-0.4137612999</x:v>
      </x:c>
      <x:c r="G490" s="39" t="n">
        <x:v>-1.1028574114</x:v>
      </x:c>
      <x:c r="H490" s="44" t="b">
        <x:v>0</x:v>
      </x:c>
      <x:c r="I490" s="39" t="n">
        <x:v>0.0153540945</x:v>
      </x:c>
    </x:row>
    <x:row r="491" ht="19" customHeight="1">
      <x:c r="A491" s="30" t="str">
        <x:v>stagger_1</x:v>
      </x:c>
      <x:c r="B491" s="39" t="str">
        <x:v>MU</x:v>
      </x:c>
      <x:c r="C491" s="39" t="str">
        <x:v>Other sectors</x:v>
      </x:c>
      <x:c r="D491" s="31" t="n">
        <x:v>2</x:v>
      </x:c>
      <x:c r="E491" s="39" t="str">
        <x:v>XLV</x:v>
      </x:c>
      <x:c r="F491" s="39" t="n">
        <x:v>0.2631396807</x:v>
      </x:c>
      <x:c r="G491" s="39" t="n">
        <x:v>0.5887506428</x:v>
      </x:c>
      <x:c r="H491" s="44" t="b">
        <x:v>0</x:v>
      </x:c>
      <x:c r="I491" s="39" t="n">
        <x:v>0.0044242788</x:v>
      </x:c>
    </x:row>
    <x:row r="492" ht="19" customHeight="1">
      <x:c r="A492" s="30" t="str">
        <x:v>stagger_1</x:v>
      </x:c>
      <x:c r="B492" s="39" t="str">
        <x:v>NEM</x:v>
      </x:c>
      <x:c r="C492" s="39" t="str">
        <x:v>Other FX</x:v>
      </x:c>
      <x:c r="D492" s="31" t="n">
        <x:v>1</x:v>
      </x:c>
      <x:c r="E492" s="39" t="str">
        <x:v>AUD/USD</x:v>
      </x:c>
      <x:c r="F492" s="39" t="n">
        <x:v>3.4605771185</x:v>
      </x:c>
      <x:c r="G492" s="39" t="n">
        <x:v>6.8038800975</x:v>
      </x:c>
      <x:c r="H492" s="44" t="b">
        <x:v>1</x:v>
      </x:c>
      <x:c r="I492" s="39" t="n">
        <x:v>0.3724494918</x:v>
      </x:c>
    </x:row>
    <x:row r="493" ht="19" customHeight="1">
      <x:c r="A493" s="30" t="str">
        <x:v>stagger_1</x:v>
      </x:c>
      <x:c r="B493" s="39" t="str">
        <x:v>NEM</x:v>
      </x:c>
      <x:c r="C493" s="39" t="str">
        <x:v>Other sectors</x:v>
      </x:c>
      <x:c r="D493" s="31" t="n">
        <x:v>1</x:v>
      </x:c>
      <x:c r="E493" s="39" t="str">
        <x:v>XLC</x:v>
      </x:c>
      <x:c r="F493" s="39" t="n">
        <x:v>-0.0063350388</x:v>
      </x:c>
      <x:c r="G493" s="39" t="n">
        <x:v>-0.0163628609</x:v>
      </x:c>
      <x:c r="H493" s="44" t="b">
        <x:v>0</x:v>
      </x:c>
      <x:c r="I493" s="39" t="n">
        <x:v>0.0000034326</x:v>
      </x:c>
    </x:row>
    <x:row r="494" ht="19" customHeight="1">
      <x:c r="A494" s="30" t="str">
        <x:v>stagger_1</x:v>
      </x:c>
      <x:c r="B494" s="39" t="str">
        <x:v>NEM</x:v>
      </x:c>
      <x:c r="C494" s="39" t="str">
        <x:v>Other sectors</x:v>
      </x:c>
      <x:c r="D494" s="31" t="n">
        <x:v>1</x:v>
      </x:c>
      <x:c r="E494" s="39" t="str">
        <x:v>XLE</x:v>
      </x:c>
      <x:c r="F494" s="39" t="n">
        <x:v>-0.2439957301</x:v>
      </x:c>
      <x:c r="G494" s="39" t="n">
        <x:v>-1.6210323282</x:v>
      </x:c>
      <x:c r="H494" s="44" t="b">
        <x:v>0</x:v>
      </x:c>
      <x:c r="I494" s="39" t="n">
        <x:v>0.0325910861</x:v>
      </x:c>
    </x:row>
    <x:row r="495" ht="19" customHeight="1">
      <x:c r="A495" s="30" t="str">
        <x:v>stagger_1</x:v>
      </x:c>
      <x:c r="B495" s="39" t="str">
        <x:v>NEM</x:v>
      </x:c>
      <x:c r="C495" s="39" t="str">
        <x:v>Other sectors</x:v>
      </x:c>
      <x:c r="D495" s="31" t="n">
        <x:v>1</x:v>
      </x:c>
      <x:c r="E495" s="39" t="str">
        <x:v>XLF</x:v>
      </x:c>
      <x:c r="F495" s="39" t="n">
        <x:v>-0.6883768164</x:v>
      </x:c>
      <x:c r="G495" s="39" t="n">
        <x:v>-1.945203517</x:v>
      </x:c>
      <x:c r="H495" s="44" t="b">
        <x:v>0</x:v>
      </x:c>
      <x:c r="I495" s="39" t="n">
        <x:v>0.0462660814</x:v>
      </x:c>
    </x:row>
    <x:row r="496" ht="19" customHeight="1">
      <x:c r="A496" s="30" t="str">
        <x:v>stagger_1</x:v>
      </x:c>
      <x:c r="B496" s="39" t="str">
        <x:v>NEM</x:v>
      </x:c>
      <x:c r="C496" s="39" t="str">
        <x:v>Other sectors</x:v>
      </x:c>
      <x:c r="D496" s="31" t="n">
        <x:v>1</x:v>
      </x:c>
      <x:c r="E496" s="39" t="str">
        <x:v>XLI</x:v>
      </x:c>
      <x:c r="F496" s="39" t="n">
        <x:v>-0.1327459162</x:v>
      </x:c>
      <x:c r="G496" s="39" t="n">
        <x:v>-0.3481325108</x:v>
      </x:c>
      <x:c r="H496" s="44" t="b">
        <x:v>0</x:v>
      </x:c>
      <x:c r="I496" s="39" t="n">
        <x:v>0.0015513875</x:v>
      </x:c>
    </x:row>
    <x:row r="497" ht="19" customHeight="1">
      <x:c r="A497" s="30" t="str">
        <x:v>stagger_1</x:v>
      </x:c>
      <x:c r="B497" s="39" t="str">
        <x:v>NEM</x:v>
      </x:c>
      <x:c r="C497" s="39" t="str">
        <x:v>Other sectors</x:v>
      </x:c>
      <x:c r="D497" s="31" t="n">
        <x:v>1</x:v>
      </x:c>
      <x:c r="E497" s="39" t="str">
        <x:v>XLK</x:v>
      </x:c>
      <x:c r="F497" s="39" t="n">
        <x:v>0.1344933618</x:v>
      </x:c>
      <x:c r="G497" s="39" t="n">
        <x:v>0.3962031955</x:v>
      </x:c>
      <x:c r="H497" s="44" t="b">
        <x:v>0</x:v>
      </x:c>
      <x:c r="I497" s="39" t="n">
        <x:v>0.0020084832</x:v>
      </x:c>
    </x:row>
    <x:row r="498" ht="19" customHeight="1">
      <x:c r="A498" s="30" t="str">
        <x:v>stagger_1</x:v>
      </x:c>
      <x:c r="B498" s="39" t="str">
        <x:v>NEM</x:v>
      </x:c>
      <x:c r="C498" s="39" t="str">
        <x:v>Other sectors</x:v>
      </x:c>
      <x:c r="D498" s="31" t="n">
        <x:v>1</x:v>
      </x:c>
      <x:c r="E498" s="39" t="str">
        <x:v>XLP</x:v>
      </x:c>
      <x:c r="F498" s="39" t="n">
        <x:v>-0.0717179757</x:v>
      </x:c>
      <x:c r="G498" s="39" t="n">
        <x:v>-0.2084173749</x:v>
      </x:c>
      <x:c r="H498" s="44" t="b">
        <x:v>0</x:v>
      </x:c>
      <x:c r="I498" s="39" t="n">
        <x:v>0.0005565849</x:v>
      </x:c>
    </x:row>
    <x:row r="499" ht="19" customHeight="1">
      <x:c r="A499" s="30" t="str">
        <x:v>stagger_1</x:v>
      </x:c>
      <x:c r="B499" s="39" t="str">
        <x:v>NEM</x:v>
      </x:c>
      <x:c r="C499" s="39" t="str">
        <x:v>Other sectors</x:v>
      </x:c>
      <x:c r="D499" s="31" t="n">
        <x:v>1</x:v>
      </x:c>
      <x:c r="E499" s="39" t="str">
        <x:v>XLRE</x:v>
      </x:c>
      <x:c r="F499" s="39" t="n">
        <x:v>-0.388645209</x:v>
      </x:c>
      <x:c r="G499" s="39" t="n">
        <x:v>-1.2637167988</x:v>
      </x:c>
      <x:c r="H499" s="44" t="b">
        <x:v>0</x:v>
      </x:c>
      <x:c r="I499" s="39" t="n">
        <x:v>0.0200633258</x:v>
      </x:c>
    </x:row>
    <x:row r="500" ht="19" customHeight="1">
      <x:c r="A500" s="30" t="str">
        <x:v>stagger_1</x:v>
      </x:c>
      <x:c r="B500" s="39" t="str">
        <x:v>NEM</x:v>
      </x:c>
      <x:c r="C500" s="39" t="str">
        <x:v>Other sectors</x:v>
      </x:c>
      <x:c r="D500" s="31" t="n">
        <x:v>1</x:v>
      </x:c>
      <x:c r="E500" s="39" t="str">
        <x:v>XLU</x:v>
      </x:c>
      <x:c r="F500" s="39" t="n">
        <x:v>0.0682624686</x:v>
      </x:c>
      <x:c r="G500" s="39" t="n">
        <x:v>0.2582632044</x:v>
      </x:c>
      <x:c r="H500" s="44" t="b">
        <x:v>0</x:v>
      </x:c>
      <x:c r="I500" s="39" t="n">
        <x:v>0.0008543961</x:v>
      </x:c>
    </x:row>
    <x:row r="501" ht="19" customHeight="1">
      <x:c r="A501" s="30" t="str">
        <x:v>stagger_1</x:v>
      </x:c>
      <x:c r="B501" s="39" t="str">
        <x:v>NEM</x:v>
      </x:c>
      <x:c r="C501" s="39" t="str">
        <x:v>Other sectors</x:v>
      </x:c>
      <x:c r="D501" s="31" t="n">
        <x:v>1</x:v>
      </x:c>
      <x:c r="E501" s="39" t="str">
        <x:v>XLV</x:v>
      </x:c>
      <x:c r="F501" s="39" t="n">
        <x:v>0.3685657651</x:v>
      </x:c>
      <x:c r="G501" s="39" t="n">
        <x:v>1.1870538402</x:v>
      </x:c>
      <x:c r="H501" s="44" t="b">
        <x:v>0</x:v>
      </x:c>
      <x:c r="I501" s="39" t="n">
        <x:v>0.0177447783</x:v>
      </x:c>
    </x:row>
    <x:row r="502" ht="19" customHeight="1">
      <x:c r="A502" s="30" t="str">
        <x:v>stagger_1</x:v>
      </x:c>
      <x:c r="B502" s="39" t="str">
        <x:v>NEM</x:v>
      </x:c>
      <x:c r="C502" s="39" t="str">
        <x:v>Other sectors</x:v>
      </x:c>
      <x:c r="D502" s="31" t="n">
        <x:v>1</x:v>
      </x:c>
      <x:c r="E502" s="39" t="str">
        <x:v>XLY</x:v>
      </x:c>
      <x:c r="F502" s="39" t="n">
        <x:v>-0.3993018356</x:v>
      </x:c>
      <x:c r="G502" s="39" t="n">
        <x:v>-1.0796924783</x:v>
      </x:c>
      <x:c r="H502" s="44" t="b">
        <x:v>0</x:v>
      </x:c>
      <x:c r="I502" s="39" t="n">
        <x:v>0.0147252575</x:v>
      </x:c>
    </x:row>
    <x:row r="503" ht="19" customHeight="1">
      <x:c r="A503" s="30" t="str">
        <x:v>stagger_1</x:v>
      </x:c>
      <x:c r="B503" s="39" t="str">
        <x:v>PGR</x:v>
      </x:c>
      <x:c r="C503" s="39" t="str">
        <x:v>Other FX</x:v>
      </x:c>
      <x:c r="D503" s="31" t="n">
        <x:v>1</x:v>
      </x:c>
      <x:c r="E503" s="39" t="str">
        <x:v>AUD/USD</x:v>
      </x:c>
      <x:c r="F503" s="39" t="n">
        <x:v>0.3322119009</x:v>
      </x:c>
      <x:c r="G503" s="39" t="n">
        <x:v>1.2025786931</x:v>
      </x:c>
      <x:c r="H503" s="44" t="b">
        <x:v>0</x:v>
      </x:c>
      <x:c r="I503" s="39" t="n">
        <x:v>0.0182034584</x:v>
      </x:c>
    </x:row>
    <x:row r="504" ht="19" customHeight="1">
      <x:c r="A504" s="30" t="str">
        <x:v>stagger_1</x:v>
      </x:c>
      <x:c r="B504" s="39" t="str">
        <x:v>PGR</x:v>
      </x:c>
      <x:c r="C504" s="39" t="str">
        <x:v>Other sectors</x:v>
      </x:c>
      <x:c r="D504" s="31" t="n">
        <x:v>1</x:v>
      </x:c>
      <x:c r="E504" s="39" t="str">
        <x:v>XLB</x:v>
      </x:c>
      <x:c r="F504" s="39" t="n">
        <x:v>0.3211414023</x:v>
      </x:c>
      <x:c r="G504" s="39" t="n">
        <x:v>2.2402722457</x:v>
      </x:c>
      <x:c r="H504" s="44" t="b">
        <x:v>0</x:v>
      </x:c>
      <x:c r="I504" s="39" t="n">
        <x:v>0.0604540001</x:v>
      </x:c>
    </x:row>
    <x:row r="505" ht="19" customHeight="1">
      <x:c r="A505" s="30" t="str">
        <x:v>stagger_1</x:v>
      </x:c>
      <x:c r="B505" s="39" t="str">
        <x:v>PGR</x:v>
      </x:c>
      <x:c r="C505" s="39" t="str">
        <x:v>Other sectors</x:v>
      </x:c>
      <x:c r="D505" s="31" t="n">
        <x:v>1</x:v>
      </x:c>
      <x:c r="E505" s="39" t="str">
        <x:v>XLC</x:v>
      </x:c>
      <x:c r="F505" s="39" t="n">
        <x:v>0.3343683917</x:v>
      </x:c>
      <x:c r="G505" s="39" t="n">
        <x:v>1.6844241082</x:v>
      </x:c>
      <x:c r="H505" s="44" t="b">
        <x:v>0</x:v>
      </x:c>
      <x:c r="I505" s="39" t="n">
        <x:v>0.0350987121</x:v>
      </x:c>
    </x:row>
    <x:row r="506" ht="19" customHeight="1">
      <x:c r="A506" s="30" t="str">
        <x:v>stagger_1</x:v>
      </x:c>
      <x:c r="B506" s="39" t="str">
        <x:v>PGR</x:v>
      </x:c>
      <x:c r="C506" s="39" t="str">
        <x:v>Other sectors</x:v>
      </x:c>
      <x:c r="D506" s="31" t="n">
        <x:v>1</x:v>
      </x:c>
      <x:c r="E506" s="39" t="str">
        <x:v>XLE</x:v>
      </x:c>
      <x:c r="F506" s="39" t="n">
        <x:v>-0.0309928967</x:v>
      </x:c>
      <x:c r="G506" s="39" t="n">
        <x:v>-0.3883780165</x:v>
      </x:c>
      <x:c r="H506" s="44" t="b">
        <x:v>0</x:v>
      </x:c>
      <x:c r="I506" s="39" t="n">
        <x:v>0.0019300815</x:v>
      </x:c>
    </x:row>
    <x:row r="507" ht="19" customHeight="1">
      <x:c r="A507" s="30" t="str">
        <x:v>stagger_1</x:v>
      </x:c>
      <x:c r="B507" s="39" t="str">
        <x:v>PGR</x:v>
      </x:c>
      <x:c r="C507" s="39" t="str">
        <x:v>Other sectors</x:v>
      </x:c>
      <x:c r="D507" s="31" t="n">
        <x:v>1</x:v>
      </x:c>
      <x:c r="E507" s="39" t="str">
        <x:v>XLI</x:v>
      </x:c>
      <x:c r="F507" s="39" t="n">
        <x:v>0.3239127832</x:v>
      </x:c>
      <x:c r="G507" s="39" t="n">
        <x:v>1.6544844168</x:v>
      </x:c>
      <x:c r="H507" s="44" t="b">
        <x:v>0</x:v>
      </x:c>
      <x:c r="I507" s="39" t="n">
        <x:v>0.0339040078</x:v>
      </x:c>
    </x:row>
    <x:row r="508" ht="19" customHeight="1">
      <x:c r="A508" s="30" t="str">
        <x:v>stagger_1</x:v>
      </x:c>
      <x:c r="B508" s="39" t="str">
        <x:v>PGR</x:v>
      </x:c>
      <x:c r="C508" s="39" t="str">
        <x:v>Other sectors</x:v>
      </x:c>
      <x:c r="D508" s="31" t="n">
        <x:v>1</x:v>
      </x:c>
      <x:c r="E508" s="39" t="str">
        <x:v>XLK</x:v>
      </x:c>
      <x:c r="F508" s="39" t="n">
        <x:v>-0.2035207182</x:v>
      </x:c>
      <x:c r="G508" s="39" t="n">
        <x:v>-1.1572964323</x:v>
      </x:c>
      <x:c r="H508" s="44" t="b">
        <x:v>0</x:v>
      </x:c>
      <x:c r="I508" s="39" t="n">
        <x:v>0.0168810973</x:v>
      </x:c>
    </x:row>
    <x:row r="509" ht="19" customHeight="1">
      <x:c r="A509" s="30" t="str">
        <x:v>stagger_1</x:v>
      </x:c>
      <x:c r="B509" s="39" t="str">
        <x:v>PGR</x:v>
      </x:c>
      <x:c r="C509" s="39" t="str">
        <x:v>Other sectors</x:v>
      </x:c>
      <x:c r="D509" s="31" t="n">
        <x:v>1</x:v>
      </x:c>
      <x:c r="E509" s="39" t="str">
        <x:v>XLP</x:v>
      </x:c>
      <x:c r="F509" s="39" t="n">
        <x:v>0.5644152562</x:v>
      </x:c>
      <x:c r="G509" s="39" t="n">
        <x:v>3.3613825866</x:v>
      </x:c>
      <x:c r="H509" s="44" t="b">
        <x:v>1</x:v>
      </x:c>
      <x:c r="I509" s="39" t="n">
        <x:v>0.1265289247</x:v>
      </x:c>
    </x:row>
    <x:row r="510" ht="19" customHeight="1">
      <x:c r="A510" s="30" t="str">
        <x:v>stagger_1</x:v>
      </x:c>
      <x:c r="B510" s="39" t="str">
        <x:v>PGR</x:v>
      </x:c>
      <x:c r="C510" s="39" t="str">
        <x:v>Other sectors</x:v>
      </x:c>
      <x:c r="D510" s="31" t="n">
        <x:v>1</x:v>
      </x:c>
      <x:c r="E510" s="39" t="str">
        <x:v>XLRE</x:v>
      </x:c>
      <x:c r="F510" s="39" t="n">
        <x:v>0.2136949316</x:v>
      </x:c>
      <x:c r="G510" s="39" t="n">
        <x:v>1.3327150706</x:v>
      </x:c>
      <x:c r="H510" s="44" t="b">
        <x:v>0</x:v>
      </x:c>
      <x:c r="I510" s="39" t="n">
        <x:v>0.0222639212</x:v>
      </x:c>
    </x:row>
    <x:row r="511" ht="19" customHeight="1">
      <x:c r="A511" s="30" t="str">
        <x:v>stagger_1</x:v>
      </x:c>
      <x:c r="B511" s="39" t="str">
        <x:v>PGR</x:v>
      </x:c>
      <x:c r="C511" s="39" t="str">
        <x:v>Other sectors</x:v>
      </x:c>
      <x:c r="D511" s="31" t="n">
        <x:v>1</x:v>
      </x:c>
      <x:c r="E511" s="39" t="str">
        <x:v>XLU</x:v>
      </x:c>
      <x:c r="F511" s="39" t="n">
        <x:v>0.2110913578</x:v>
      </x:c>
      <x:c r="G511" s="39" t="n">
        <x:v>1.5528710185</x:v>
      </x:c>
      <x:c r="H511" s="44" t="b">
        <x:v>0</x:v>
      </x:c>
      <x:c r="I511" s="39" t="n">
        <x:v>0.0299883866</x:v>
      </x:c>
    </x:row>
    <x:row r="512" ht="19" customHeight="1">
      <x:c r="A512" s="30" t="str">
        <x:v>stagger_1</x:v>
      </x:c>
      <x:c r="B512" s="39" t="str">
        <x:v>PGR</x:v>
      </x:c>
      <x:c r="C512" s="39" t="str">
        <x:v>Other sectors</x:v>
      </x:c>
      <x:c r="D512" s="31" t="n">
        <x:v>1</x:v>
      </x:c>
      <x:c r="E512" s="39" t="str">
        <x:v>XLV</x:v>
      </x:c>
      <x:c r="F512" s="39" t="n">
        <x:v>0.2397405916</x:v>
      </x:c>
      <x:c r="G512" s="39" t="n">
        <x:v>1.4867422336</x:v>
      </x:c>
      <x:c r="H512" s="44" t="b">
        <x:v>0</x:v>
      </x:c>
      <x:c r="I512" s="39" t="n">
        <x:v>0.0275575536</x:v>
      </x:c>
    </x:row>
    <x:row r="513" ht="19" customHeight="1">
      <x:c r="A513" s="30" t="str">
        <x:v>stagger_1</x:v>
      </x:c>
      <x:c r="B513" s="39" t="str">
        <x:v>PGR</x:v>
      </x:c>
      <x:c r="C513" s="39" t="str">
        <x:v>Other sectors</x:v>
      </x:c>
      <x:c r="D513" s="31" t="n">
        <x:v>1</x:v>
      </x:c>
      <x:c r="E513" s="39" t="str">
        <x:v>XLY</x:v>
      </x:c>
      <x:c r="F513" s="39" t="n">
        <x:v>-0.2209203256</x:v>
      </x:c>
      <x:c r="G513" s="39" t="n">
        <x:v>-1.1454975927</x:v>
      </x:c>
      <x:c r="H513" s="44" t="b">
        <x:v>0</x:v>
      </x:c>
      <x:c r="I513" s="39" t="n">
        <x:v>0.0165443062</x:v>
      </x:c>
    </x:row>
    <x:row r="514" ht="19" customHeight="1">
      <x:c r="A514" s="30" t="str">
        <x:v>stagger_1</x:v>
      </x:c>
      <x:c r="B514" s="39" t="str">
        <x:v>PGR</x:v>
      </x:c>
      <x:c r="C514" s="39" t="str">
        <x:v>Other sectors</x:v>
      </x:c>
      <x:c r="D514" s="31" t="n">
        <x:v>2</x:v>
      </x:c>
      <x:c r="E514" s="39" t="str">
        <x:v>XLB</x:v>
      </x:c>
      <x:c r="F514" s="39" t="n">
        <x:v>0.0985986524</x:v>
      </x:c>
      <x:c r="G514" s="39" t="n">
        <x:v>0.7157009393</x:v>
      </x:c>
      <x:c r="H514" s="44" t="b">
        <x:v>0</x:v>
      </x:c>
      <x:c r="I514" s="39" t="n">
        <x:v>0.0065241791</x:v>
      </x:c>
    </x:row>
    <x:row r="515" ht="19" customHeight="1">
      <x:c r="A515" s="30" t="str">
        <x:v>stagger_1</x:v>
      </x:c>
      <x:c r="B515" s="39" t="str">
        <x:v>PGR</x:v>
      </x:c>
      <x:c r="C515" s="39" t="str">
        <x:v>Other sectors</x:v>
      </x:c>
      <x:c r="D515" s="31" t="n">
        <x:v>2</x:v>
      </x:c>
      <x:c r="E515" s="39" t="str">
        <x:v>XLC</x:v>
      </x:c>
      <x:c r="F515" s="39" t="n">
        <x:v>0.2955654414</x:v>
      </x:c>
      <x:c r="G515" s="39" t="n">
        <x:v>1.5900996582</x:v>
      </x:c>
      <x:c r="H515" s="44" t="b">
        <x:v>0</x:v>
      </x:c>
      <x:c r="I515" s="39" t="n">
        <x:v>0.0313978223</x:v>
      </x:c>
    </x:row>
    <x:row r="516" ht="19" customHeight="1">
      <x:c r="A516" s="30" t="str">
        <x:v>stagger_1</x:v>
      </x:c>
      <x:c r="B516" s="39" t="str">
        <x:v>PGR</x:v>
      </x:c>
      <x:c r="C516" s="39" t="str">
        <x:v>Other sectors</x:v>
      </x:c>
      <x:c r="D516" s="31" t="n">
        <x:v>2</x:v>
      </x:c>
      <x:c r="E516" s="39" t="str">
        <x:v>XLE</x:v>
      </x:c>
      <x:c r="F516" s="39" t="n">
        <x:v>-0.0636848813</x:v>
      </x:c>
      <x:c r="G516" s="39" t="n">
        <x:v>-0.8570782983</x:v>
      </x:c>
      <x:c r="H516" s="44" t="b">
        <x:v>0</x:v>
      </x:c>
      <x:c r="I516" s="39" t="n">
        <x:v>0.0093298673</x:v>
      </x:c>
    </x:row>
    <x:row r="517" ht="19" customHeight="1">
      <x:c r="A517" s="30" t="str">
        <x:v>stagger_1</x:v>
      </x:c>
      <x:c r="B517" s="39" t="str">
        <x:v>PGR</x:v>
      </x:c>
      <x:c r="C517" s="39" t="str">
        <x:v>Other sectors</x:v>
      </x:c>
      <x:c r="D517" s="31" t="n">
        <x:v>2</x:v>
      </x:c>
      <x:c r="E517" s="39" t="str">
        <x:v>XLI</x:v>
      </x:c>
      <x:c r="F517" s="39" t="n">
        <x:v>0.0564818672</x:v>
      </x:c>
      <x:c r="G517" s="39" t="n">
        <x:v>0.3035889417</x:v>
      </x:c>
      <x:c r="H517" s="44" t="b">
        <x:v>0</x:v>
      </x:c>
      <x:c r="I517" s="39" t="n">
        <x:v>0.001180224</x:v>
      </x:c>
    </x:row>
    <x:row r="518" ht="19" customHeight="1">
      <x:c r="A518" s="30" t="str">
        <x:v>stagger_1</x:v>
      </x:c>
      <x:c r="B518" s="39" t="str">
        <x:v>PGR</x:v>
      </x:c>
      <x:c r="C518" s="39" t="str">
        <x:v>Other sectors</x:v>
      </x:c>
      <x:c r="D518" s="31" t="n">
        <x:v>2</x:v>
      </x:c>
      <x:c r="E518" s="39" t="str">
        <x:v>XLK</x:v>
      </x:c>
      <x:c r="F518" s="39" t="n">
        <x:v>0.0741764157</x:v>
      </x:c>
      <x:c r="G518" s="39" t="n">
        <x:v>0.4480626847</x:v>
      </x:c>
      <x:c r="H518" s="44" t="b">
        <x:v>0</x:v>
      </x:c>
      <x:c r="I518" s="39" t="n">
        <x:v>0.0025672406</x:v>
      </x:c>
    </x:row>
    <x:row r="519" ht="19" customHeight="1">
      <x:c r="A519" s="30" t="str">
        <x:v>stagger_1</x:v>
      </x:c>
      <x:c r="B519" s="39" t="str">
        <x:v>PGR</x:v>
      </x:c>
      <x:c r="C519" s="39" t="str">
        <x:v>Other sectors</x:v>
      </x:c>
      <x:c r="D519" s="31" t="n">
        <x:v>2</x:v>
      </x:c>
      <x:c r="E519" s="39" t="str">
        <x:v>XLRE</x:v>
      </x:c>
      <x:c r="F519" s="39" t="n">
        <x:v>-0.0702776279</x:v>
      </x:c>
      <x:c r="G519" s="39" t="n">
        <x:v>-0.4643507882</x:v>
      </x:c>
      <x:c r="H519" s="44" t="b">
        <x:v>0</x:v>
      </x:c>
      <x:c r="I519" s="39" t="n">
        <x:v>0.0027567595</x:v>
      </x:c>
    </x:row>
    <x:row r="520" ht="19" customHeight="1">
      <x:c r="A520" s="30" t="str">
        <x:v>stagger_1</x:v>
      </x:c>
      <x:c r="B520" s="39" t="str">
        <x:v>PGR</x:v>
      </x:c>
      <x:c r="C520" s="39" t="str">
        <x:v>Other sectors</x:v>
      </x:c>
      <x:c r="D520" s="31" t="n">
        <x:v>2</x:v>
      </x:c>
      <x:c r="E520" s="39" t="str">
        <x:v>XLU</x:v>
      </x:c>
      <x:c r="F520" s="39" t="n">
        <x:v>-0.0095439505</x:v>
      </x:c>
      <x:c r="G520" s="39" t="n">
        <x:v>-0.0739899188</x:v>
      </x:c>
      <x:c r="H520" s="44" t="b">
        <x:v>0</x:v>
      </x:c>
      <x:c r="I520" s="39" t="n">
        <x:v>0.0000701811</x:v>
      </x:c>
    </x:row>
    <x:row r="521" ht="19" customHeight="1">
      <x:c r="A521" s="30" t="str">
        <x:v>stagger_1</x:v>
      </x:c>
      <x:c r="B521" s="39" t="str">
        <x:v>PGR</x:v>
      </x:c>
      <x:c r="C521" s="39" t="str">
        <x:v>Other sectors</x:v>
      </x:c>
      <x:c r="D521" s="31" t="n">
        <x:v>2</x:v>
      </x:c>
      <x:c r="E521" s="39" t="str">
        <x:v>XLV</x:v>
      </x:c>
      <x:c r="F521" s="39" t="n">
        <x:v>0.0002232927</x:v>
      </x:c>
      <x:c r="G521" s="39" t="n">
        <x:v>0.0014610878</x:v>
      </x:c>
      <x:c r="H521" s="44" t="b">
        <x:v>0</x:v>
      </x:c>
      <x:c r="I521" s="39" t="n">
        <x:v>2.74e-8</x:v>
      </x:c>
    </x:row>
    <x:row r="522" ht="19" customHeight="1">
      <x:c r="A522" s="30" t="str">
        <x:v>stagger_1</x:v>
      </x:c>
      <x:c r="B522" s="39" t="str">
        <x:v>PGR</x:v>
      </x:c>
      <x:c r="C522" s="39" t="str">
        <x:v>Other sectors</x:v>
      </x:c>
      <x:c r="D522" s="31" t="n">
        <x:v>2</x:v>
      </x:c>
      <x:c r="E522" s="39" t="str">
        <x:v>XLY</x:v>
      </x:c>
      <x:c r="F522" s="39" t="n">
        <x:v>-0.1511490444</x:v>
      </x:c>
      <x:c r="G522" s="39" t="n">
        <x:v>-0.8353162167</x:v>
      </x:c>
      <x:c r="H522" s="44" t="b">
        <x:v>0</x:v>
      </x:c>
      <x:c r="I522" s="39" t="n">
        <x:v>0.0088662402</x:v>
      </x:c>
    </x:row>
    <x:row r="523" ht="19" customHeight="1">
      <x:c r="A523" s="30" t="str">
        <x:v>stagger_1</x:v>
      </x:c>
      <x:c r="B523" s="39" t="str">
        <x:v>ORKA</x:v>
      </x:c>
      <x:c r="C523" s="39" t="str">
        <x:v>Other FX</x:v>
      </x:c>
      <x:c r="D523" s="31" t="n">
        <x:v>1</x:v>
      </x:c>
      <x:c r="E523" s="39" t="str">
        <x:v>AUD/USD</x:v>
      </x:c>
      <x:c r="F523" s="39" t="n">
        <x:v>1.2333695391</x:v>
      </x:c>
      <x:c r="G523" s="39" t="n">
        <x:v>1.200396894</x:v>
      </x:c>
      <x:c r="H523" s="44" t="b">
        <x:v>0</x:v>
      </x:c>
      <x:c r="I523" s="39" t="n">
        <x:v>0.0181386634</x:v>
      </x:c>
    </x:row>
    <x:row r="524" ht="19" customHeight="1">
      <x:c r="A524" s="30" t="str">
        <x:v>stagger_1</x:v>
      </x:c>
      <x:c r="B524" s="39" t="str">
        <x:v>ORKA</x:v>
      </x:c>
      <x:c r="C524" s="39" t="str">
        <x:v>Other sectors</x:v>
      </x:c>
      <x:c r="D524" s="31" t="n">
        <x:v>1</x:v>
      </x:c>
      <x:c r="E524" s="39" t="str">
        <x:v>XLB</x:v>
      </x:c>
      <x:c r="F524" s="39" t="n">
        <x:v>-0.4312568862</x:v>
      </x:c>
      <x:c r="G524" s="39" t="n">
        <x:v>-0.7417186953</x:v>
      </x:c>
      <x:c r="H524" s="44" t="b">
        <x:v>0</x:v>
      </x:c>
      <x:c r="I524" s="39" t="n">
        <x:v>0.0070037632</x:v>
      </x:c>
    </x:row>
    <x:row r="525" ht="19" customHeight="1">
      <x:c r="A525" s="30" t="str">
        <x:v>stagger_1</x:v>
      </x:c>
      <x:c r="B525" s="39" t="str">
        <x:v>ORKA</x:v>
      </x:c>
      <x:c r="C525" s="39" t="str">
        <x:v>Other sectors</x:v>
      </x:c>
      <x:c r="D525" s="31" t="n">
        <x:v>1</x:v>
      </x:c>
      <x:c r="E525" s="39" t="str">
        <x:v>XLC</x:v>
      </x:c>
      <x:c r="F525" s="39" t="n">
        <x:v>-1.8184953455</x:v>
      </x:c>
      <x:c r="G525" s="39" t="n">
        <x:v>-2.3609211926</x:v>
      </x:c>
      <x:c r="H525" s="44" t="b">
        <x:v>1</x:v>
      </x:c>
      <x:c r="I525" s="39" t="n">
        <x:v>0.0666948128</x:v>
      </x:c>
    </x:row>
    <x:row r="526" ht="19" customHeight="1">
      <x:c r="A526" s="30" t="str">
        <x:v>stagger_1</x:v>
      </x:c>
      <x:c r="B526" s="39" t="str">
        <x:v>ORKA</x:v>
      </x:c>
      <x:c r="C526" s="39" t="str">
        <x:v>Other sectors</x:v>
      </x:c>
      <x:c r="D526" s="31" t="n">
        <x:v>1</x:v>
      </x:c>
      <x:c r="E526" s="39" t="str">
        <x:v>XLE</x:v>
      </x:c>
      <x:c r="F526" s="39" t="n">
        <x:v>0.1988672674</x:v>
      </x:c>
      <x:c r="G526" s="39" t="n">
        <x:v>0.6326465155</x:v>
      </x:c>
      <x:c r="H526" s="44" t="b">
        <x:v>0</x:v>
      </x:c>
      <x:c r="I526" s="39" t="n">
        <x:v>0.0051051069</x:v>
      </x:c>
    </x:row>
    <x:row r="527" ht="19" customHeight="1">
      <x:c r="A527" s="30" t="str">
        <x:v>stagger_1</x:v>
      </x:c>
      <x:c r="B527" s="39" t="str">
        <x:v>ORKA</x:v>
      </x:c>
      <x:c r="C527" s="39" t="str">
        <x:v>Other sectors</x:v>
      </x:c>
      <x:c r="D527" s="31" t="n">
        <x:v>1</x:v>
      </x:c>
      <x:c r="E527" s="39" t="str">
        <x:v>XLF</x:v>
      </x:c>
      <x:c r="F527" s="39" t="n">
        <x:v>-0.8160923679</x:v>
      </x:c>
      <x:c r="G527" s="39" t="n">
        <x:v>-1.1020949585</x:v>
      </x:c>
      <x:c r="H527" s="44" t="b">
        <x:v>0</x:v>
      </x:c>
      <x:c r="I527" s="39" t="n">
        <x:v>0.0153331973</x:v>
      </x:c>
    </x:row>
    <x:row r="528" ht="19" customHeight="1">
      <x:c r="A528" s="30" t="str">
        <x:v>stagger_1</x:v>
      </x:c>
      <x:c r="B528" s="39" t="str">
        <x:v>ORKA</x:v>
      </x:c>
      <x:c r="C528" s="39" t="str">
        <x:v>Other sectors</x:v>
      </x:c>
      <x:c r="D528" s="31" t="n">
        <x:v>1</x:v>
      </x:c>
      <x:c r="E528" s="39" t="str">
        <x:v>XLI</x:v>
      </x:c>
      <x:c r="F528" s="39" t="n">
        <x:v>0.117857622</x:v>
      </x:c>
      <x:c r="G528" s="39" t="n">
        <x:v>0.1499955915</x:v>
      </x:c>
      <x:c r="H528" s="44" t="b">
        <x:v>0</x:v>
      </x:c>
      <x:c r="I528" s="39" t="n">
        <x:v>0.0002883614</x:v>
      </x:c>
    </x:row>
    <x:row r="529" ht="19" customHeight="1">
      <x:c r="A529" s="30" t="str">
        <x:v>stagger_1</x:v>
      </x:c>
      <x:c r="B529" s="39" t="str">
        <x:v>ORKA</x:v>
      </x:c>
      <x:c r="C529" s="39" t="str">
        <x:v>Other sectors</x:v>
      </x:c>
      <x:c r="D529" s="31" t="n">
        <x:v>1</x:v>
      </x:c>
      <x:c r="E529" s="39" t="str">
        <x:v>XLK</x:v>
      </x:c>
      <x:c r="F529" s="39" t="n">
        <x:v>0.4031892457</x:v>
      </x:c>
      <x:c r="G529" s="39" t="n">
        <x:v>0.5774144123</x:v>
      </x:c>
      <x:c r="H529" s="44" t="b">
        <x:v>0</x:v>
      </x:c>
      <x:c r="I529" s="39" t="n">
        <x:v>0.0042562607</x:v>
      </x:c>
    </x:row>
    <x:row r="530" ht="19" customHeight="1">
      <x:c r="A530" s="30" t="str">
        <x:v>stagger_1</x:v>
      </x:c>
      <x:c r="B530" s="39" t="str">
        <x:v>ORKA</x:v>
      </x:c>
      <x:c r="C530" s="39" t="str">
        <x:v>Other sectors</x:v>
      </x:c>
      <x:c r="D530" s="31" t="n">
        <x:v>1</x:v>
      </x:c>
      <x:c r="E530" s="39" t="str">
        <x:v>XLP</x:v>
      </x:c>
      <x:c r="F530" s="39" t="n">
        <x:v>-0.8734272974</x:v>
      </x:c>
      <x:c r="G530" s="39" t="n">
        <x:v>-1.2443779871</x:v>
      </x:c>
      <x:c r="H530" s="44" t="b">
        <x:v>0</x:v>
      </x:c>
      <x:c r="I530" s="39" t="n">
        <x:v>0.0194658231</x:v>
      </x:c>
    </x:row>
    <x:row r="531" ht="19" customHeight="1">
      <x:c r="A531" s="30" t="str">
        <x:v>stagger_1</x:v>
      </x:c>
      <x:c r="B531" s="39" t="str">
        <x:v>ORKA</x:v>
      </x:c>
      <x:c r="C531" s="39" t="str">
        <x:v>Other sectors</x:v>
      </x:c>
      <x:c r="D531" s="31" t="n">
        <x:v>1</x:v>
      </x:c>
      <x:c r="E531" s="39" t="str">
        <x:v>XLRE</x:v>
      </x:c>
      <x:c r="F531" s="39" t="n">
        <x:v>-0.5025860919</x:v>
      </x:c>
      <x:c r="G531" s="39" t="n">
        <x:v>-0.7886832841</x:v>
      </x:c>
      <x:c r="H531" s="44" t="b">
        <x:v>0</x:v>
      </x:c>
      <x:c r="I531" s="39" t="n">
        <x:v>0.0079115407</x:v>
      </x:c>
    </x:row>
    <x:row r="532" ht="19" customHeight="1">
      <x:c r="A532" s="30" t="str">
        <x:v>stagger_1</x:v>
      </x:c>
      <x:c r="B532" s="39" t="str">
        <x:v>ORKA</x:v>
      </x:c>
      <x:c r="C532" s="39" t="str">
        <x:v>Other sectors</x:v>
      </x:c>
      <x:c r="D532" s="31" t="n">
        <x:v>1</x:v>
      </x:c>
      <x:c r="E532" s="39" t="str">
        <x:v>XLU</x:v>
      </x:c>
      <x:c r="F532" s="39" t="n">
        <x:v>0.3553658225</x:v>
      </x:c>
      <x:c r="G532" s="39" t="n">
        <x:v>0.6543820573</x:v>
      </x:c>
      <x:c r="H532" s="44" t="b">
        <x:v>0</x:v>
      </x:c>
      <x:c r="I532" s="39" t="n">
        <x:v>0.0054599722</x:v>
      </x:c>
    </x:row>
    <x:row r="533" ht="19" customHeight="1">
      <x:c r="A533" s="30" t="str">
        <x:v>stagger_1</x:v>
      </x:c>
      <x:c r="B533" s="39" t="str">
        <x:v>ORKA</x:v>
      </x:c>
      <x:c r="C533" s="39" t="str">
        <x:v>Other sectors</x:v>
      </x:c>
      <x:c r="D533" s="31" t="n">
        <x:v>1</x:v>
      </x:c>
      <x:c r="E533" s="39" t="str">
        <x:v>XLY</x:v>
      </x:c>
      <x:c r="F533" s="39" t="n">
        <x:v>-1.1725102518</x:v>
      </x:c>
      <x:c r="G533" s="39" t="n">
        <x:v>-1.5515525709</x:v>
      </x:c>
      <x:c r="H533" s="44" t="b">
        <x:v>0</x:v>
      </x:c>
      <x:c r="I533" s="39" t="n">
        <x:v>0.0299390095</x:v>
      </x:c>
    </x:row>
    <x:row r="534" ht="19" customHeight="1">
      <x:c r="A534" s="30" t="str">
        <x:v>stagger_1</x:v>
      </x:c>
      <x:c r="B534" s="39" t="str">
        <x:v>ORKA</x:v>
      </x:c>
      <x:c r="C534" s="39" t="str">
        <x:v>Other sectors</x:v>
      </x:c>
      <x:c r="D534" s="31" t="n">
        <x:v>2</x:v>
      </x:c>
      <x:c r="E534" s="39" t="str">
        <x:v>XLB</x:v>
      </x:c>
      <x:c r="F534" s="39" t="n">
        <x:v>-0.5124851319</x:v>
      </x:c>
      <x:c r="G534" s="39" t="n">
        <x:v>-0.9140288106</x:v>
      </x:c>
      <x:c r="H534" s="44" t="b">
        <x:v>0</x:v>
      </x:c>
      <x:c r="I534" s="39" t="n">
        <x:v>0.0105973731</x:v>
      </x:c>
    </x:row>
    <x:row r="535" ht="19" customHeight="1">
      <x:c r="A535" s="30" t="str">
        <x:v>stagger_1</x:v>
      </x:c>
      <x:c r="B535" s="39" t="str">
        <x:v>ORKA</x:v>
      </x:c>
      <x:c r="C535" s="39" t="str">
        <x:v>Other sectors</x:v>
      </x:c>
      <x:c r="D535" s="31" t="n">
        <x:v>2</x:v>
      </x:c>
      <x:c r="E535" s="39" t="str">
        <x:v>XLE</x:v>
      </x:c>
      <x:c r="F535" s="39" t="n">
        <x:v>0.2470605855</x:v>
      </x:c>
      <x:c r="G535" s="39" t="n">
        <x:v>0.814927641</x:v>
      </x:c>
      <x:c r="H535" s="44" t="b">
        <x:v>0</x:v>
      </x:c>
      <x:c r="I535" s="39" t="n">
        <x:v>0.0084423136</x:v>
      </x:c>
    </x:row>
    <x:row r="536" ht="19" customHeight="1">
      <x:c r="A536" s="30" t="str">
        <x:v>stagger_1</x:v>
      </x:c>
      <x:c r="B536" s="39" t="str">
        <x:v>ORKA</x:v>
      </x:c>
      <x:c r="C536" s="39" t="str">
        <x:v>Other sectors</x:v>
      </x:c>
      <x:c r="D536" s="31" t="n">
        <x:v>2</x:v>
      </x:c>
      <x:c r="E536" s="39" t="str">
        <x:v>XLF</x:v>
      </x:c>
      <x:c r="F536" s="39" t="n">
        <x:v>-0.7291842388</x:v>
      </x:c>
      <x:c r="G536" s="39" t="n">
        <x:v>-1.0181616859</x:v>
      </x:c>
      <x:c r="H536" s="44" t="b">
        <x:v>0</x:v>
      </x:c>
      <x:c r="I536" s="39" t="n">
        <x:v>0.0131161072</x:v>
      </x:c>
    </x:row>
    <x:row r="537" ht="19" customHeight="1">
      <x:c r="A537" s="30" t="str">
        <x:v>stagger_1</x:v>
      </x:c>
      <x:c r="B537" s="39" t="str">
        <x:v>ORKA</x:v>
      </x:c>
      <x:c r="C537" s="39" t="str">
        <x:v>Other sectors</x:v>
      </x:c>
      <x:c r="D537" s="31" t="n">
        <x:v>2</x:v>
      </x:c>
      <x:c r="E537" s="39" t="str">
        <x:v>XLI</x:v>
      </x:c>
      <x:c r="F537" s="39" t="n">
        <x:v>-0.1350942515</x:v>
      </x:c>
      <x:c r="G537" s="39" t="n">
        <x:v>-0.1779800781</x:v>
      </x:c>
      <x:c r="H537" s="44" t="b">
        <x:v>0</x:v>
      </x:c>
      <x:c r="I537" s="39" t="n">
        <x:v>0.0004059493</x:v>
      </x:c>
    </x:row>
    <x:row r="538" ht="19" customHeight="1">
      <x:c r="A538" s="30" t="str">
        <x:v>stagger_1</x:v>
      </x:c>
      <x:c r="B538" s="39" t="str">
        <x:v>ORKA</x:v>
      </x:c>
      <x:c r="C538" s="39" t="str">
        <x:v>Other sectors</x:v>
      </x:c>
      <x:c r="D538" s="31" t="n">
        <x:v>2</x:v>
      </x:c>
      <x:c r="E538" s="39" t="str">
        <x:v>XLK</x:v>
      </x:c>
      <x:c r="F538" s="39" t="n">
        <x:v>-0.1921824032</x:v>
      </x:c>
      <x:c r="G538" s="39" t="n">
        <x:v>-0.2844325936</x:v>
      </x:c>
      <x:c r="H538" s="44" t="b">
        <x:v>0</x:v>
      </x:c>
      <x:c r="I538" s="39" t="n">
        <x:v>0.0010361292</x:v>
      </x:c>
    </x:row>
    <x:row r="539" ht="19" customHeight="1">
      <x:c r="A539" s="30" t="str">
        <x:v>stagger_1</x:v>
      </x:c>
      <x:c r="B539" s="39" t="str">
        <x:v>ORKA</x:v>
      </x:c>
      <x:c r="C539" s="39" t="str">
        <x:v>Other sectors</x:v>
      </x:c>
      <x:c r="D539" s="31" t="n">
        <x:v>2</x:v>
      </x:c>
      <x:c r="E539" s="39" t="str">
        <x:v>XLP</x:v>
      </x:c>
      <x:c r="F539" s="39" t="n">
        <x:v>-0.7746114462</x:v>
      </x:c>
      <x:c r="G539" s="39" t="n">
        <x:v>-1.1405668212</x:v>
      </x:c>
      <x:c r="H539" s="44" t="b">
        <x:v>0</x:v>
      </x:c>
      <x:c r="I539" s="39" t="n">
        <x:v>0.0164045149</x:v>
      </x:c>
    </x:row>
    <x:row r="540" ht="19" customHeight="1">
      <x:c r="A540" s="30" t="str">
        <x:v>stagger_1</x:v>
      </x:c>
      <x:c r="B540" s="39" t="str">
        <x:v>ORKA</x:v>
      </x:c>
      <x:c r="C540" s="39" t="str">
        <x:v>Other sectors</x:v>
      </x:c>
      <x:c r="D540" s="31" t="n">
        <x:v>2</x:v>
      </x:c>
      <x:c r="E540" s="39" t="str">
        <x:v>XLRE</x:v>
      </x:c>
      <x:c r="F540" s="39" t="n">
        <x:v>-0.5286401646</x:v>
      </x:c>
      <x:c r="G540" s="39" t="n">
        <x:v>-0.859333667</x:v>
      </x:c>
      <x:c r="H540" s="44" t="b">
        <x:v>0</x:v>
      </x:c>
      <x:c r="I540" s="39" t="n">
        <x:v>0.0093785731</x:v>
      </x:c>
    </x:row>
    <x:row r="541" ht="19" customHeight="1">
      <x:c r="A541" s="30" t="str">
        <x:v>stagger_1</x:v>
      </x:c>
      <x:c r="B541" s="39" t="str">
        <x:v>ORKA</x:v>
      </x:c>
      <x:c r="C541" s="39" t="str">
        <x:v>Other sectors</x:v>
      </x:c>
      <x:c r="D541" s="31" t="n">
        <x:v>2</x:v>
      </x:c>
      <x:c r="E541" s="39" t="str">
        <x:v>XLU</x:v>
      </x:c>
      <x:c r="F541" s="39" t="n">
        <x:v>0.2074638738</x:v>
      </x:c>
      <x:c r="G541" s="39" t="n">
        <x:v>0.3947579649</x:v>
      </x:c>
      <x:c r="H541" s="44" t="b">
        <x:v>0</x:v>
      </x:c>
      <x:c r="I541" s="39" t="n">
        <x:v>0.0019938864</x:v>
      </x:c>
    </x:row>
    <x:row r="542" ht="19" customHeight="1">
      <x:c r="A542" s="30" t="str">
        <x:v>stagger_1</x:v>
      </x:c>
      <x:c r="B542" s="39" t="str">
        <x:v>ORKA</x:v>
      </x:c>
      <x:c r="C542" s="39" t="str">
        <x:v>Other sectors</x:v>
      </x:c>
      <x:c r="D542" s="31" t="n">
        <x:v>2</x:v>
      </x:c>
      <x:c r="E542" s="39" t="str">
        <x:v>XLY</x:v>
      </x:c>
      <x:c r="F542" s="39" t="n">
        <x:v>-0.6227514052</x:v>
      </x:c>
      <x:c r="G542" s="39" t="n">
        <x:v>-0.8439684186</x:v>
      </x:c>
      <x:c r="H542" s="44" t="b">
        <x:v>0</x:v>
      </x:c>
      <x:c r="I542" s="39" t="n">
        <x:v>0.0090491937</x:v>
      </x:c>
    </x:row>
    <x:row r="543" ht="19" customHeight="1">
      <x:c r="A543" s="30" t="str">
        <x:v>stagger_1</x:v>
      </x:c>
      <x:c r="B543" s="39" t="str">
        <x:v>UPST</x:v>
      </x:c>
      <x:c r="C543" s="39" t="str">
        <x:v>Other FX</x:v>
      </x:c>
      <x:c r="D543" s="31" t="n">
        <x:v>1</x:v>
      </x:c>
      <x:c r="E543" s="39" t="str">
        <x:v>AUD/USD</x:v>
      </x:c>
      <x:c r="F543" s="39" t="n">
        <x:v>1.8415638756</x:v>
      </x:c>
      <x:c r="G543" s="39" t="n">
        <x:v>1.270123462</x:v>
      </x:c>
      <x:c r="H543" s="44" t="b">
        <x:v>0</x:v>
      </x:c>
      <x:c r="I543" s="39" t="n">
        <x:v>0.0222165296</x:v>
      </x:c>
    </x:row>
    <x:row r="544" ht="19" customHeight="1">
      <x:c r="A544" s="30" t="str">
        <x:v>stagger_1</x:v>
      </x:c>
      <x:c r="B544" s="39" t="str">
        <x:v>UPST</x:v>
      </x:c>
      <x:c r="C544" s="39" t="str">
        <x:v>Other sectors</x:v>
      </x:c>
      <x:c r="D544" s="31" t="n">
        <x:v>1</x:v>
      </x:c>
      <x:c r="E544" s="39" t="str">
        <x:v>XLB</x:v>
      </x:c>
      <x:c r="F544" s="39" t="n">
        <x:v>-0.5445383114</x:v>
      </x:c>
      <x:c r="G544" s="39" t="n">
        <x:v>-0.7337309699</x:v>
      </x:c>
      <x:c r="H544" s="44" t="b">
        <x:v>0</x:v>
      </x:c>
      <x:c r="I544" s="39" t="n">
        <x:v>0.0075254888</x:v>
      </x:c>
    </x:row>
    <x:row r="545" ht="19" customHeight="1">
      <x:c r="A545" s="30" t="str">
        <x:v>stagger_1</x:v>
      </x:c>
      <x:c r="B545" s="39" t="str">
        <x:v>UPST</x:v>
      </x:c>
      <x:c r="C545" s="39" t="str">
        <x:v>Other sectors</x:v>
      </x:c>
      <x:c r="D545" s="31" t="n">
        <x:v>1</x:v>
      </x:c>
      <x:c r="E545" s="39" t="str">
        <x:v>XLC</x:v>
      </x:c>
      <x:c r="F545" s="39" t="n">
        <x:v>0.8745225624</x:v>
      </x:c>
      <x:c r="G545" s="39" t="n">
        <x:v>0.8759467756</x:v>
      </x:c>
      <x:c r="H545" s="44" t="b">
        <x:v>0</x:v>
      </x:c>
      <x:c r="I545" s="39" t="n">
        <x:v>0.010691261</x:v>
      </x:c>
    </x:row>
    <x:row r="546" ht="19" customHeight="1">
      <x:c r="A546" s="30" t="str">
        <x:v>stagger_1</x:v>
      </x:c>
      <x:c r="B546" s="39" t="str">
        <x:v>UPST</x:v>
      </x:c>
      <x:c r="C546" s="39" t="str">
        <x:v>Other sectors</x:v>
      </x:c>
      <x:c r="D546" s="31" t="n">
        <x:v>1</x:v>
      </x:c>
      <x:c r="E546" s="39" t="str">
        <x:v>XLE</x:v>
      </x:c>
      <x:c r="F546" s="39" t="n">
        <x:v>-0.7150716407</x:v>
      </x:c>
      <x:c r="G546" s="39" t="n">
        <x:v>-1.8099111294</x:v>
      </x:c>
      <x:c r="H546" s="44" t="b">
        <x:v>0</x:v>
      </x:c>
      <x:c r="I546" s="39" t="n">
        <x:v>0.0441029145</x:v>
      </x:c>
    </x:row>
    <x:row r="547" ht="19" customHeight="1">
      <x:c r="A547" s="30" t="str">
        <x:v>stagger_1</x:v>
      </x:c>
      <x:c r="B547" s="39" t="str">
        <x:v>UPST</x:v>
      </x:c>
      <x:c r="C547" s="39" t="str">
        <x:v>Other sectors</x:v>
      </x:c>
      <x:c r="D547" s="31" t="n">
        <x:v>1</x:v>
      </x:c>
      <x:c r="E547" s="39" t="str">
        <x:v>XLI</x:v>
      </x:c>
      <x:c r="F547" s="39" t="n">
        <x:v>-0.8036706332</x:v>
      </x:c>
      <x:c r="G547" s="39" t="n">
        <x:v>-0.8149566579</x:v>
      </x:c>
      <x:c r="H547" s="44" t="b">
        <x:v>0</x:v>
      </x:c>
      <x:c r="I547" s="39" t="n">
        <x:v>0.0092675949</x:v>
      </x:c>
    </x:row>
    <x:row r="548" ht="19" customHeight="1">
      <x:c r="A548" s="30" t="str">
        <x:v>stagger_1</x:v>
      </x:c>
      <x:c r="B548" s="39" t="str">
        <x:v>UPST</x:v>
      </x:c>
      <x:c r="C548" s="39" t="str">
        <x:v>Other sectors</x:v>
      </x:c>
      <x:c r="D548" s="31" t="n">
        <x:v>1</x:v>
      </x:c>
      <x:c r="E548" s="39" t="str">
        <x:v>XLK</x:v>
      </x:c>
      <x:c r="F548" s="39" t="n">
        <x:v>1.2233429426</x:v>
      </x:c>
      <x:c r="G548" s="39" t="n">
        <x:v>1.3992211189</x:v>
      </x:c>
      <x:c r="H548" s="44" t="b">
        <x:v>0</x:v>
      </x:c>
      <x:c r="I548" s="39" t="n">
        <x:v>0.026834954</x:v>
      </x:c>
    </x:row>
    <x:row r="549" ht="19" customHeight="1">
      <x:c r="A549" s="30" t="str">
        <x:v>stagger_1</x:v>
      </x:c>
      <x:c r="B549" s="39" t="str">
        <x:v>UPST</x:v>
      </x:c>
      <x:c r="C549" s="39" t="str">
        <x:v>Other sectors</x:v>
      </x:c>
      <x:c r="D549" s="31" t="n">
        <x:v>1</x:v>
      </x:c>
      <x:c r="E549" s="39" t="str">
        <x:v>XLP</x:v>
      </x:c>
      <x:c r="F549" s="39" t="n">
        <x:v>-1.8844925726</x:v>
      </x:c>
      <x:c r="G549" s="39" t="n">
        <x:v>-2.1819455345</x:v>
      </x:c>
      <x:c r="H549" s="44" t="b">
        <x:v>0</x:v>
      </x:c>
      <x:c r="I549" s="39" t="n">
        <x:v>0.0628409533</x:v>
      </x:c>
    </x:row>
    <x:row r="550" ht="19" customHeight="1">
      <x:c r="A550" s="30" t="str">
        <x:v>stagger_1</x:v>
      </x:c>
      <x:c r="B550" s="39" t="str">
        <x:v>UPST</x:v>
      </x:c>
      <x:c r="C550" s="39" t="str">
        <x:v>Other sectors</x:v>
      </x:c>
      <x:c r="D550" s="31" t="n">
        <x:v>1</x:v>
      </x:c>
      <x:c r="E550" s="39" t="str">
        <x:v>XLRE</x:v>
      </x:c>
      <x:c r="F550" s="39" t="n">
        <x:v>0.0931061017</x:v>
      </x:c>
      <x:c r="G550" s="39" t="n">
        <x:v>0.1157097433</x:v>
      </x:c>
      <x:c r="H550" s="44" t="b">
        <x:v>0</x:v>
      </x:c>
      <x:c r="I550" s="39" t="n">
        <x:v>0.0001885383</x:v>
      </x:c>
    </x:row>
    <x:row r="551" ht="19" customHeight="1">
      <x:c r="A551" s="30" t="str">
        <x:v>stagger_1</x:v>
      </x:c>
      <x:c r="B551" s="39" t="str">
        <x:v>UPST</x:v>
      </x:c>
      <x:c r="C551" s="39" t="str">
        <x:v>Other sectors</x:v>
      </x:c>
      <x:c r="D551" s="31" t="n">
        <x:v>1</x:v>
      </x:c>
      <x:c r="E551" s="39" t="str">
        <x:v>XLU</x:v>
      </x:c>
      <x:c r="F551" s="39" t="n">
        <x:v>-0.9274052272</x:v>
      </x:c>
      <x:c r="G551" s="39" t="n">
        <x:v>-1.354696139</x:v>
      </x:c>
      <x:c r="H551" s="44" t="b">
        <x:v>0</x:v>
      </x:c>
      <x:c r="I551" s="39" t="n">
        <x:v>0.02519663</x:v>
      </x:c>
    </x:row>
    <x:row r="552" ht="19" customHeight="1">
      <x:c r="A552" s="30" t="str">
        <x:v>stagger_1</x:v>
      </x:c>
      <x:c r="B552" s="39" t="str">
        <x:v>UPST</x:v>
      </x:c>
      <x:c r="C552" s="39" t="str">
        <x:v>Other sectors</x:v>
      </x:c>
      <x:c r="D552" s="31" t="n">
        <x:v>1</x:v>
      </x:c>
      <x:c r="E552" s="39" t="str">
        <x:v>XLV</x:v>
      </x:c>
      <x:c r="F552" s="39" t="n">
        <x:v>-1.7303510564</x:v>
      </x:c>
      <x:c r="G552" s="39" t="n">
        <x:v>-2.2071729749</x:v>
      </x:c>
      <x:c r="H552" s="44" t="b">
        <x:v>1</x:v>
      </x:c>
      <x:c r="I552" s="39" t="n">
        <x:v>0.0642086332</x:v>
      </x:c>
    </x:row>
    <x:row r="553" ht="19" customHeight="1">
      <x:c r="A553" s="30" t="str">
        <x:v>stagger_1</x:v>
      </x:c>
      <x:c r="B553" s="39" t="str">
        <x:v>UPST</x:v>
      </x:c>
      <x:c r="C553" s="39" t="str">
        <x:v>Other sectors</x:v>
      </x:c>
      <x:c r="D553" s="31" t="n">
        <x:v>1</x:v>
      </x:c>
      <x:c r="E553" s="39" t="str">
        <x:v>XLY</x:v>
      </x:c>
      <x:c r="F553" s="39" t="n">
        <x:v>1.9518766587</x:v>
      </x:c>
      <x:c r="G553" s="39" t="n">
        <x:v>2.0777389609</x:v>
      </x:c>
      <x:c r="H553" s="44" t="b">
        <x:v>0</x:v>
      </x:c>
      <x:c r="I553" s="39" t="n">
        <x:v>0.0573177269</x:v>
      </x:c>
    </x:row>
    <x:row r="554" ht="19" customHeight="1">
      <x:c r="A554" s="30" t="str">
        <x:v>stagger_1</x:v>
      </x:c>
      <x:c r="B554" s="39" t="str">
        <x:v>UPST</x:v>
      </x:c>
      <x:c r="C554" s="39" t="str">
        <x:v>Other sectors</x:v>
      </x:c>
      <x:c r="D554" s="31" t="n">
        <x:v>2</x:v>
      </x:c>
      <x:c r="E554" s="39" t="str">
        <x:v>XLB</x:v>
      </x:c>
      <x:c r="F554" s="39" t="n">
        <x:v>-0.1137428758</x:v>
      </x:c>
      <x:c r="G554" s="39" t="n">
        <x:v>-0.1578625023</x:v>
      </x:c>
      <x:c r="H554" s="44" t="b">
        <x:v>0</x:v>
      </x:c>
      <x:c r="I554" s="39" t="n">
        <x:v>0.0003508708</x:v>
      </x:c>
    </x:row>
    <x:row r="555" ht="19" customHeight="1">
      <x:c r="A555" s="30" t="str">
        <x:v>stagger_1</x:v>
      </x:c>
      <x:c r="B555" s="39" t="str">
        <x:v>UPST</x:v>
      </x:c>
      <x:c r="C555" s="39" t="str">
        <x:v>Other sectors</x:v>
      </x:c>
      <x:c r="D555" s="31" t="n">
        <x:v>2</x:v>
      </x:c>
      <x:c r="E555" s="39" t="str">
        <x:v>XLC</x:v>
      </x:c>
      <x:c r="F555" s="39" t="n">
        <x:v>0.8721692371</x:v>
      </x:c>
      <x:c r="G555" s="39" t="n">
        <x:v>0.903369729</x:v>
      </x:c>
      <x:c r="H555" s="44" t="b">
        <x:v>0</x:v>
      </x:c>
      <x:c r="I555" s="39" t="n">
        <x:v>0.0113634287</x:v>
      </x:c>
    </x:row>
    <x:row r="556" ht="19" customHeight="1">
      <x:c r="A556" s="30" t="str">
        <x:v>stagger_1</x:v>
      </x:c>
      <x:c r="B556" s="39" t="str">
        <x:v>UPST</x:v>
      </x:c>
      <x:c r="C556" s="39" t="str">
        <x:v>Other sectors</x:v>
      </x:c>
      <x:c r="D556" s="31" t="n">
        <x:v>2</x:v>
      </x:c>
      <x:c r="E556" s="39" t="str">
        <x:v>XLE</x:v>
      </x:c>
      <x:c r="F556" s="39" t="n">
        <x:v>-0.5650843659</x:v>
      </x:c>
      <x:c r="G556" s="39" t="n">
        <x:v>-1.4673171515</x:v>
      </x:c>
      <x:c r="H556" s="44" t="b">
        <x:v>0</x:v>
      </x:c>
      <x:c r="I556" s="39" t="n">
        <x:v>0.0294317259</x:v>
      </x:c>
    </x:row>
    <x:row r="557" ht="19" customHeight="1">
      <x:c r="A557" s="30" t="str">
        <x:v>stagger_1</x:v>
      </x:c>
      <x:c r="B557" s="39" t="str">
        <x:v>UPST</x:v>
      </x:c>
      <x:c r="C557" s="39" t="str">
        <x:v>Other sectors</x:v>
      </x:c>
      <x:c r="D557" s="31" t="n">
        <x:v>2</x:v>
      </x:c>
      <x:c r="E557" s="39" t="str">
        <x:v>XLI</x:v>
      </x:c>
      <x:c r="F557" s="39" t="n">
        <x:v>-0.4618538974</x:v>
      </x:c>
      <x:c r="G557" s="39" t="n">
        <x:v>-0.4826819747</x:v>
      </x:c>
      <x:c r="H557" s="44" t="b">
        <x:v>0</x:v>
      </x:c>
      <x:c r="I557" s="39" t="n">
        <x:v>0.0032707025</x:v>
      </x:c>
    </x:row>
    <x:row r="558" ht="19" customHeight="1">
      <x:c r="A558" s="30" t="str">
        <x:v>stagger_1</x:v>
      </x:c>
      <x:c r="B558" s="39" t="str">
        <x:v>UPST</x:v>
      </x:c>
      <x:c r="C558" s="39" t="str">
        <x:v>Other sectors</x:v>
      </x:c>
      <x:c r="D558" s="31" t="n">
        <x:v>2</x:v>
      </x:c>
      <x:c r="E558" s="39" t="str">
        <x:v>XLK</x:v>
      </x:c>
      <x:c r="F558" s="39" t="n">
        <x:v>0.2297962407</x:v>
      </x:c>
      <x:c r="G558" s="39" t="n">
        <x:v>0.2681665552</x:v>
      </x:c>
      <x:c r="H558" s="44" t="b">
        <x:v>0</x:v>
      </x:c>
      <x:c r="I558" s="39" t="n">
        <x:v>0.0010118385</x:v>
      </x:c>
    </x:row>
    <x:row r="559" ht="19" customHeight="1">
      <x:c r="A559" s="30" t="str">
        <x:v>stagger_1</x:v>
      </x:c>
      <x:c r="B559" s="39" t="str">
        <x:v>UPST</x:v>
      </x:c>
      <x:c r="C559" s="39" t="str">
        <x:v>Other sectors</x:v>
      </x:c>
      <x:c r="D559" s="31" t="n">
        <x:v>2</x:v>
      </x:c>
      <x:c r="E559" s="39" t="str">
        <x:v>XLP</x:v>
      </x:c>
      <x:c r="F559" s="39" t="n">
        <x:v>-0.9967062434</x:v>
      </x:c>
      <x:c r="G559" s="39" t="n">
        <x:v>-1.1658741679</x:v>
      </x:c>
      <x:c r="H559" s="44" t="b">
        <x:v>0</x:v>
      </x:c>
      <x:c r="I559" s="39" t="n">
        <x:v>0.0187849147</x:v>
      </x:c>
    </x:row>
    <x:row r="560" ht="19" customHeight="1">
      <x:c r="A560" s="30" t="str">
        <x:v>stagger_1</x:v>
      </x:c>
      <x:c r="B560" s="39" t="str">
        <x:v>UPST</x:v>
      </x:c>
      <x:c r="C560" s="39" t="str">
        <x:v>Other sectors</x:v>
      </x:c>
      <x:c r="D560" s="31" t="n">
        <x:v>2</x:v>
      </x:c>
      <x:c r="E560" s="39" t="str">
        <x:v>XLRE</x:v>
      </x:c>
      <x:c r="F560" s="39" t="n">
        <x:v>0.8135522195</x:v>
      </x:c>
      <x:c r="G560" s="39" t="n">
        <x:v>1.0532053305</x:v>
      </x:c>
      <x:c r="H560" s="44" t="b">
        <x:v>0</x:v>
      </x:c>
      <x:c r="I560" s="39" t="n">
        <x:v>0.0153827921</x:v>
      </x:c>
    </x:row>
    <x:row r="561" ht="19" customHeight="1">
      <x:c r="A561" s="30" t="str">
        <x:v>stagger_1</x:v>
      </x:c>
      <x:c r="B561" s="39" t="str">
        <x:v>UPST</x:v>
      </x:c>
      <x:c r="C561" s="39" t="str">
        <x:v>Other sectors</x:v>
      </x:c>
      <x:c r="D561" s="31" t="n">
        <x:v>2</x:v>
      </x:c>
      <x:c r="E561" s="39" t="str">
        <x:v>XLU</x:v>
      </x:c>
      <x:c r="F561" s="39" t="n">
        <x:v>-0.5231613887</x:v>
      </x:c>
      <x:c r="G561" s="39" t="n">
        <x:v>-0.7833315799</x:v>
      </x:c>
      <x:c r="H561" s="44" t="b">
        <x:v>0</x:v>
      </x:c>
      <x:c r="I561" s="39" t="n">
        <x:v>0.0085683207</x:v>
      </x:c>
    </x:row>
    <x:row r="562" ht="19" customHeight="1">
      <x:c r="A562" s="30" t="str">
        <x:v>stagger_1</x:v>
      </x:c>
      <x:c r="B562" s="39" t="str">
        <x:v>UPST</x:v>
      </x:c>
      <x:c r="C562" s="39" t="str">
        <x:v>Other sectors</x:v>
      </x:c>
      <x:c r="D562" s="31" t="n">
        <x:v>2</x:v>
      </x:c>
      <x:c r="E562" s="39" t="str">
        <x:v>XLY</x:v>
      </x:c>
      <x:c r="F562" s="39" t="n">
        <x:v>1.3527382892</x:v>
      </x:c>
      <x:c r="G562" s="39" t="n">
        <x:v>1.466998702</x:v>
      </x:c>
      <x:c r="H562" s="44" t="b">
        <x:v>0</x:v>
      </x:c>
      <x:c r="I562" s="39" t="n">
        <x:v>0.029419328</x:v>
      </x:c>
    </x:row>
    <x:row r="563" ht="19" customHeight="1">
      <x:c r="A563" s="30" t="str">
        <x:v>stagger_1</x:v>
      </x:c>
      <x:c r="B563" s="39" t="str">
        <x:v>PG</x:v>
      </x:c>
      <x:c r="C563" s="39" t="str">
        <x:v>Other FX</x:v>
      </x:c>
      <x:c r="D563" s="31" t="n">
        <x:v>1</x:v>
      </x:c>
      <x:c r="E563" s="39" t="str">
        <x:v>AUD/USD</x:v>
      </x:c>
      <x:c r="F563" s="39" t="n">
        <x:v>0.8518735607</x:v>
      </x:c>
      <x:c r="G563" s="39" t="n">
        <x:v>3.4048093038</x:v>
      </x:c>
      <x:c r="H563" s="44" t="b">
        <x:v>1</x:v>
      </x:c>
      <x:c r="I563" s="39" t="n">
        <x:v>0.1293936111</x:v>
      </x:c>
    </x:row>
    <x:row r="564" ht="19" customHeight="1">
      <x:c r="A564" s="30" t="str">
        <x:v>stagger_1</x:v>
      </x:c>
      <x:c r="B564" s="39" t="str">
        <x:v>PG</x:v>
      </x:c>
      <x:c r="C564" s="39" t="str">
        <x:v>Other sectors</x:v>
      </x:c>
      <x:c r="D564" s="31" t="n">
        <x:v>1</x:v>
      </x:c>
      <x:c r="E564" s="39" t="str">
        <x:v>XLB</x:v>
      </x:c>
      <x:c r="F564" s="39" t="n">
        <x:v>-0.0529393919</x:v>
      </x:c>
      <x:c r="G564" s="39" t="n">
        <x:v>-0.5087075053</x:v>
      </x:c>
      <x:c r="H564" s="44" t="b">
        <x:v>0</x:v>
      </x:c>
      <x:c r="I564" s="39" t="n">
        <x:v>0.003306764</x:v>
      </x:c>
    </x:row>
    <x:row r="565" ht="19" customHeight="1">
      <x:c r="A565" s="30" t="str">
        <x:v>stagger_1</x:v>
      </x:c>
      <x:c r="B565" s="39" t="str">
        <x:v>PG</x:v>
      </x:c>
      <x:c r="C565" s="39" t="str">
        <x:v>Other sectors</x:v>
      </x:c>
      <x:c r="D565" s="31" t="n">
        <x:v>1</x:v>
      </x:c>
      <x:c r="E565" s="39" t="str">
        <x:v>XLC</x:v>
      </x:c>
      <x:c r="F565" s="39" t="n">
        <x:v>-0.0347836017</x:v>
      </x:c>
      <x:c r="G565" s="39" t="n">
        <x:v>-0.2442950889</x:v>
      </x:c>
      <x:c r="H565" s="44" t="b">
        <x:v>0</x:v>
      </x:c>
      <x:c r="I565" s="39" t="n">
        <x:v>0.0007645444</x:v>
      </x:c>
    </x:row>
    <x:row r="566" ht="19" customHeight="1">
      <x:c r="A566" s="30" t="str">
        <x:v>stagger_1</x:v>
      </x:c>
      <x:c r="B566" s="39" t="str">
        <x:v>PG</x:v>
      </x:c>
      <x:c r="C566" s="39" t="str">
        <x:v>Other sectors</x:v>
      </x:c>
      <x:c r="D566" s="31" t="n">
        <x:v>1</x:v>
      </x:c>
      <x:c r="E566" s="39" t="str">
        <x:v>XLE</x:v>
      </x:c>
      <x:c r="F566" s="39" t="n">
        <x:v>-0.1736471485</x:v>
      </x:c>
      <x:c r="G566" s="39" t="n">
        <x:v>-3.2914604578</x:v>
      </x:c>
      <x:c r="H566" s="44" t="b">
        <x:v>1</x:v>
      </x:c>
      <x:c r="I566" s="39" t="n">
        <x:v>0.1219549618</x:v>
      </x:c>
    </x:row>
    <x:row r="567" ht="19" customHeight="1">
      <x:c r="A567" s="30" t="str">
        <x:v>stagger_1</x:v>
      </x:c>
      <x:c r="B567" s="39" t="str">
        <x:v>PG</x:v>
      </x:c>
      <x:c r="C567" s="39" t="str">
        <x:v>Other sectors</x:v>
      </x:c>
      <x:c r="D567" s="31" t="n">
        <x:v>1</x:v>
      </x:c>
      <x:c r="E567" s="39" t="str">
        <x:v>XLF</x:v>
      </x:c>
      <x:c r="F567" s="39" t="n">
        <x:v>-0.0315135569</x:v>
      </x:c>
      <x:c r="G567" s="39" t="n">
        <x:v>-0.2364668971</x:v>
      </x:c>
      <x:c r="H567" s="44" t="b">
        <x:v>0</x:v>
      </x:c>
      <x:c r="I567" s="39" t="n">
        <x:v>0.0007163659</x:v>
      </x:c>
    </x:row>
    <x:row r="568" ht="19" customHeight="1">
      <x:c r="A568" s="30" t="str">
        <x:v>stagger_1</x:v>
      </x:c>
      <x:c r="B568" s="39" t="str">
        <x:v>PG</x:v>
      </x:c>
      <x:c r="C568" s="39" t="str">
        <x:v>Other sectors</x:v>
      </x:c>
      <x:c r="D568" s="31" t="n">
        <x:v>1</x:v>
      </x:c>
      <x:c r="E568" s="39" t="str">
        <x:v>XLI</x:v>
      </x:c>
      <x:c r="F568" s="39" t="n">
        <x:v>0.1322574961</x:v>
      </x:c>
      <x:c r="G568" s="39" t="n">
        <x:v>0.9474498294</x:v>
      </x:c>
      <x:c r="H568" s="44" t="b">
        <x:v>0</x:v>
      </x:c>
      <x:c r="I568" s="39" t="n">
        <x:v>0.0113775385</x:v>
      </x:c>
    </x:row>
    <x:row r="569" ht="19" customHeight="1">
      <x:c r="A569" s="30" t="str">
        <x:v>stagger_1</x:v>
      </x:c>
      <x:c r="B569" s="39" t="str">
        <x:v>PG</x:v>
      </x:c>
      <x:c r="C569" s="39" t="str">
        <x:v>Other sectors</x:v>
      </x:c>
      <x:c r="D569" s="31" t="n">
        <x:v>1</x:v>
      </x:c>
      <x:c r="E569" s="39" t="str">
        <x:v>XLK</x:v>
      </x:c>
      <x:c r="F569" s="39" t="n">
        <x:v>0.1319359079</x:v>
      </x:c>
      <x:c r="G569" s="39" t="n">
        <x:v>1.0629959817</x:v>
      </x:c>
      <x:c r="H569" s="44" t="b">
        <x:v>0</x:v>
      </x:c>
      <x:c r="I569" s="39" t="n">
        <x:v>0.0142798057</x:v>
      </x:c>
    </x:row>
    <x:row r="570" ht="19" customHeight="1">
      <x:c r="A570" s="30" t="str">
        <x:v>stagger_1</x:v>
      </x:c>
      <x:c r="B570" s="39" t="str">
        <x:v>PG</x:v>
      </x:c>
      <x:c r="C570" s="39" t="str">
        <x:v>Other sectors</x:v>
      </x:c>
      <x:c r="D570" s="31" t="n">
        <x:v>1</x:v>
      </x:c>
      <x:c r="E570" s="39" t="str">
        <x:v>XLRE</x:v>
      </x:c>
      <x:c r="F570" s="39" t="n">
        <x:v>-0.1043273578</x:v>
      </x:c>
      <x:c r="G570" s="39" t="n">
        <x:v>-0.9176782265</x:v>
      </x:c>
      <x:c r="H570" s="44" t="b">
        <x:v>0</x:v>
      </x:c>
      <x:c r="I570" s="39" t="n">
        <x:v>0.01068126</x:v>
      </x:c>
    </x:row>
    <x:row r="571" ht="19" customHeight="1">
      <x:c r="A571" s="30" t="str">
        <x:v>stagger_1</x:v>
      </x:c>
      <x:c r="B571" s="39" t="str">
        <x:v>PG</x:v>
      </x:c>
      <x:c r="C571" s="39" t="str">
        <x:v>Other sectors</x:v>
      </x:c>
      <x:c r="D571" s="31" t="n">
        <x:v>1</x:v>
      </x:c>
      <x:c r="E571" s="39" t="str">
        <x:v>XLU</x:v>
      </x:c>
      <x:c r="F571" s="39" t="n">
        <x:v>-0.0421714928</x:v>
      </x:c>
      <x:c r="G571" s="39" t="n">
        <x:v>-0.434012834</x:v>
      </x:c>
      <x:c r="H571" s="44" t="b">
        <x:v>0</x:v>
      </x:c>
      <x:c r="I571" s="39" t="n">
        <x:v>0.0024091453</x:v>
      </x:c>
    </x:row>
    <x:row r="572" ht="19" customHeight="1">
      <x:c r="A572" s="30" t="str">
        <x:v>stagger_1</x:v>
      </x:c>
      <x:c r="B572" s="39" t="str">
        <x:v>PG</x:v>
      </x:c>
      <x:c r="C572" s="39" t="str">
        <x:v>Other sectors</x:v>
      </x:c>
      <x:c r="D572" s="31" t="n">
        <x:v>1</x:v>
      </x:c>
      <x:c r="E572" s="39" t="str">
        <x:v>XLV</x:v>
      </x:c>
      <x:c r="F572" s="39" t="n">
        <x:v>-0.1488284437</x:v>
      </x:c>
      <x:c r="G572" s="39" t="n">
        <x:v>-1.3053009985</x:v>
      </x:c>
      <x:c r="H572" s="44" t="b">
        <x:v>0</x:v>
      </x:c>
      <x:c r="I572" s="39" t="n">
        <x:v>0.0213767784</x:v>
      </x:c>
    </x:row>
    <x:row r="573" ht="19" customHeight="1">
      <x:c r="A573" s="30" t="str">
        <x:v>stagger_1</x:v>
      </x:c>
      <x:c r="B573" s="39" t="str">
        <x:v>PG</x:v>
      </x:c>
      <x:c r="C573" s="39" t="str">
        <x:v>Other sectors</x:v>
      </x:c>
      <x:c r="D573" s="31" t="n">
        <x:v>1</x:v>
      </x:c>
      <x:c r="E573" s="39" t="str">
        <x:v>XLY</x:v>
      </x:c>
      <x:c r="F573" s="39" t="n">
        <x:v>0.1251616743</x:v>
      </x:c>
      <x:c r="G573" s="39" t="n">
        <x:v>0.9180096713</x:v>
      </x:c>
      <x:c r="H573" s="44" t="b">
        <x:v>0</x:v>
      </x:c>
      <x:c r="I573" s="39" t="n">
        <x:v>0.0106888946</x:v>
      </x:c>
    </x:row>
    <x:row r="574" ht="19" customHeight="1">
      <x:c r="A574" s="30" t="str">
        <x:v>stagger_1</x:v>
      </x:c>
      <x:c r="B574" s="39" t="str">
        <x:v>PG</x:v>
      </x:c>
      <x:c r="C574" s="39" t="str">
        <x:v>Other sectors</x:v>
      </x:c>
      <x:c r="D574" s="31" t="n">
        <x:v>2</x:v>
      </x:c>
      <x:c r="E574" s="39" t="str">
        <x:v>XLB</x:v>
      </x:c>
      <x:c r="F574" s="39" t="n">
        <x:v>0.0493173047</x:v>
      </x:c>
      <x:c r="G574" s="39" t="n">
        <x:v>0.5057335464</x:v>
      </x:c>
      <x:c r="H574" s="44" t="b">
        <x:v>0</x:v>
      </x:c>
      <x:c r="I574" s="39" t="n">
        <x:v>0.0032683396</x:v>
      </x:c>
    </x:row>
    <x:row r="575" ht="19" customHeight="1">
      <x:c r="A575" s="30" t="str">
        <x:v>stagger_1</x:v>
      </x:c>
      <x:c r="B575" s="39" t="str">
        <x:v>PG</x:v>
      </x:c>
      <x:c r="C575" s="39" t="str">
        <x:v>Other sectors</x:v>
      </x:c>
      <x:c r="D575" s="31" t="n">
        <x:v>2</x:v>
      </x:c>
      <x:c r="E575" s="39" t="str">
        <x:v>XLC</x:v>
      </x:c>
      <x:c r="F575" s="39" t="n">
        <x:v>-0.0053290209</x:v>
      </x:c>
      <x:c r="G575" s="39" t="n">
        <x:v>-0.0399270819</x:v>
      </x:c>
      <x:c r="H575" s="44" t="b">
        <x:v>0</x:v>
      </x:c>
      <x:c r="I575" s="39" t="n">
        <x:v>0.0000204377</x:v>
      </x:c>
    </x:row>
    <x:row r="576" ht="19" customHeight="1">
      <x:c r="A576" s="30" t="str">
        <x:v>stagger_1</x:v>
      </x:c>
      <x:c r="B576" s="39" t="str">
        <x:v>PG</x:v>
      </x:c>
      <x:c r="C576" s="39" t="str">
        <x:v>Other sectors</x:v>
      </x:c>
      <x:c r="D576" s="31" t="n">
        <x:v>2</x:v>
      </x:c>
      <x:c r="E576" s="39" t="str">
        <x:v>XLF</x:v>
      </x:c>
      <x:c r="F576" s="39" t="n">
        <x:v>0.0797108284</x:v>
      </x:c>
      <x:c r="G576" s="39" t="n">
        <x:v>0.6397535219</x:v>
      </x:c>
      <x:c r="H576" s="44" t="b">
        <x:v>0</x:v>
      </x:c>
      <x:c r="I576" s="39" t="n">
        <x:v>0.0052198483</x:v>
      </x:c>
    </x:row>
    <x:row r="577" ht="19" customHeight="1">
      <x:c r="A577" s="30" t="str">
        <x:v>stagger_1</x:v>
      </x:c>
      <x:c r="B577" s="39" t="str">
        <x:v>PG</x:v>
      </x:c>
      <x:c r="C577" s="39" t="str">
        <x:v>Other sectors</x:v>
      </x:c>
      <x:c r="D577" s="31" t="n">
        <x:v>2</x:v>
      </x:c>
      <x:c r="E577" s="39" t="str">
        <x:v>XLI</x:v>
      </x:c>
      <x:c r="F577" s="39" t="n">
        <x:v>0.2087368159</x:v>
      </x:c>
      <x:c r="G577" s="39" t="n">
        <x:v>1.6129326003</x:v>
      </x:c>
      <x:c r="H577" s="44" t="b">
        <x:v>0</x:v>
      </x:c>
      <x:c r="I577" s="39" t="n">
        <x:v>0.0322766935</x:v>
      </x:c>
    </x:row>
    <x:row r="578" ht="19" customHeight="1">
      <x:c r="A578" s="30" t="str">
        <x:v>stagger_1</x:v>
      </x:c>
      <x:c r="B578" s="39" t="str">
        <x:v>PG</x:v>
      </x:c>
      <x:c r="C578" s="39" t="str">
        <x:v>Other sectors</x:v>
      </x:c>
      <x:c r="D578" s="31" t="n">
        <x:v>2</x:v>
      </x:c>
      <x:c r="E578" s="39" t="str">
        <x:v>XLK</x:v>
      </x:c>
      <x:c r="F578" s="39" t="n">
        <x:v>-0.0197039516</x:v>
      </x:c>
      <x:c r="G578" s="39" t="n">
        <x:v>-0.1682360863</x:v>
      </x:c>
      <x:c r="H578" s="44" t="b">
        <x:v>0</x:v>
      </x:c>
      <x:c r="I578" s="39" t="n">
        <x:v>0.0003627322</x:v>
      </x:c>
    </x:row>
    <x:row r="579" ht="19" customHeight="1">
      <x:c r="A579" s="30" t="str">
        <x:v>stagger_1</x:v>
      </x:c>
      <x:c r="B579" s="39" t="str">
        <x:v>PG</x:v>
      </x:c>
      <x:c r="C579" s="39" t="str">
        <x:v>Other sectors</x:v>
      </x:c>
      <x:c r="D579" s="31" t="n">
        <x:v>2</x:v>
      </x:c>
      <x:c r="E579" s="39" t="str">
        <x:v>XLRE</x:v>
      </x:c>
      <x:c r="F579" s="39" t="n">
        <x:v>-0.0548410848</x:v>
      </x:c>
      <x:c r="G579" s="39" t="n">
        <x:v>-0.5129075918</x:v>
      </x:c>
      <x:c r="H579" s="44" t="b">
        <x:v>0</x:v>
      </x:c>
      <x:c r="I579" s="39" t="n">
        <x:v>0.0033614089</x:v>
      </x:c>
    </x:row>
    <x:row r="580" ht="19" customHeight="1">
      <x:c r="A580" s="30" t="str">
        <x:v>stagger_1</x:v>
      </x:c>
      <x:c r="B580" s="39" t="str">
        <x:v>PG</x:v>
      </x:c>
      <x:c r="C580" s="39" t="str">
        <x:v>Other sectors</x:v>
      </x:c>
      <x:c r="D580" s="31" t="n">
        <x:v>2</x:v>
      </x:c>
      <x:c r="E580" s="39" t="str">
        <x:v>XLU</x:v>
      </x:c>
      <x:c r="F580" s="39" t="n">
        <x:v>-0.0183143109</x:v>
      </x:c>
      <x:c r="G580" s="39" t="n">
        <x:v>-0.2009575888</x:v>
      </x:c>
      <x:c r="H580" s="44" t="b">
        <x:v>0</x:v>
      </x:c>
      <x:c r="I580" s="39" t="n">
        <x:v>0.0005174751</x:v>
      </x:c>
    </x:row>
    <x:row r="581" ht="19" customHeight="1">
      <x:c r="A581" s="30" t="str">
        <x:v>stagger_1</x:v>
      </x:c>
      <x:c r="B581" s="39" t="str">
        <x:v>PG</x:v>
      </x:c>
      <x:c r="C581" s="39" t="str">
        <x:v>Other sectors</x:v>
      </x:c>
      <x:c r="D581" s="31" t="n">
        <x:v>2</x:v>
      </x:c>
      <x:c r="E581" s="39" t="str">
        <x:v>XLV</x:v>
      </x:c>
      <x:c r="F581" s="39" t="n">
        <x:v>-0.0889598507</x:v>
      </x:c>
      <x:c r="G581" s="39" t="n">
        <x:v>-0.8273042279</x:v>
      </x:c>
      <x:c r="H581" s="44" t="b">
        <x:v>0</x:v>
      </x:c>
      <x:c r="I581" s="39" t="n">
        <x:v>0.008698446</x:v>
      </x:c>
    </x:row>
    <x:row r="582" ht="19" customHeight="1">
      <x:c r="A582" s="30" t="str">
        <x:v>stagger_1</x:v>
      </x:c>
      <x:c r="B582" s="39" t="str">
        <x:v>PG</x:v>
      </x:c>
      <x:c r="C582" s="39" t="str">
        <x:v>Other sectors</x:v>
      </x:c>
      <x:c r="D582" s="31" t="n">
        <x:v>2</x:v>
      </x:c>
      <x:c r="E582" s="39" t="str">
        <x:v>XLY</x:v>
      </x:c>
      <x:c r="F582" s="39" t="n">
        <x:v>0.0229707105</x:v>
      </x:c>
      <x:c r="G582" s="39" t="n">
        <x:v>0.1788740839</x:v>
      </x:c>
      <x:c r="H582" s="44" t="b">
        <x:v>0</x:v>
      </x:c>
      <x:c r="I582" s="39" t="n">
        <x:v>0.0004100361</x:v>
      </x:c>
    </x:row>
    <x:row r="583" ht="19" customHeight="1">
      <x:c r="A583" s="30" t="str">
        <x:v>stagger_1</x:v>
      </x:c>
      <x:c r="B583" s="39" t="str">
        <x:v>F</x:v>
      </x:c>
      <x:c r="C583" s="39" t="str">
        <x:v>Other FX</x:v>
      </x:c>
      <x:c r="D583" s="31" t="n">
        <x:v>1</x:v>
      </x:c>
      <x:c r="E583" s="39" t="str">
        <x:v>AUD/USD</x:v>
      </x:c>
      <x:c r="F583" s="39" t="n">
        <x:v>2.0246441532</x:v>
      </x:c>
      <x:c r="G583" s="39" t="n">
        <x:v>4.1741331194</x:v>
      </x:c>
      <x:c r="H583" s="44" t="b">
        <x:v>1</x:v>
      </x:c>
      <x:c r="I583" s="39" t="n">
        <x:v>0.182590325</x:v>
      </x:c>
    </x:row>
    <x:row r="584" ht="19" customHeight="1">
      <x:c r="A584" s="30" t="str">
        <x:v>stagger_1</x:v>
      </x:c>
      <x:c r="B584" s="39" t="str">
        <x:v>F</x:v>
      </x:c>
      <x:c r="C584" s="39" t="str">
        <x:v>Other sectors</x:v>
      </x:c>
      <x:c r="D584" s="31" t="n">
        <x:v>1</x:v>
      </x:c>
      <x:c r="E584" s="39" t="str">
        <x:v>XLB</x:v>
      </x:c>
      <x:c r="F584" s="39" t="n">
        <x:v>-0.1764274403</x:v>
      </x:c>
      <x:c r="G584" s="39" t="n">
        <x:v>-0.7029609201</x:v>
      </x:c>
      <x:c r="H584" s="44" t="b">
        <x:v>0</x:v>
      </x:c>
      <x:c r="I584" s="39" t="n">
        <x:v>0.0062954249</x:v>
      </x:c>
    </x:row>
    <x:row r="585" ht="19" customHeight="1">
      <x:c r="A585" s="30" t="str">
        <x:v>stagger_1</x:v>
      </x:c>
      <x:c r="B585" s="39" t="str">
        <x:v>F</x:v>
      </x:c>
      <x:c r="C585" s="39" t="str">
        <x:v>Other sectors</x:v>
      </x:c>
      <x:c r="D585" s="31" t="n">
        <x:v>1</x:v>
      </x:c>
      <x:c r="E585" s="39" t="str">
        <x:v>XLC</x:v>
      </x:c>
      <x:c r="F585" s="39" t="n">
        <x:v>-0.4977774257</x:v>
      </x:c>
      <x:c r="G585" s="39" t="n">
        <x:v>-1.4666982239</x:v>
      </x:c>
      <x:c r="H585" s="44" t="b">
        <x:v>0</x:v>
      </x:c>
      <x:c r="I585" s="39" t="n">
        <x:v>0.0268393185</x:v>
      </x:c>
    </x:row>
    <x:row r="586" ht="19" customHeight="1">
      <x:c r="A586" s="30" t="str">
        <x:v>stagger_1</x:v>
      </x:c>
      <x:c r="B586" s="39" t="str">
        <x:v>F</x:v>
      </x:c>
      <x:c r="C586" s="39" t="str">
        <x:v>Other sectors</x:v>
      </x:c>
      <x:c r="D586" s="31" t="n">
        <x:v>1</x:v>
      </x:c>
      <x:c r="E586" s="39" t="str">
        <x:v>XLE</x:v>
      </x:c>
      <x:c r="F586" s="39" t="n">
        <x:v>0.2215006215</x:v>
      </x:c>
      <x:c r="G586" s="39" t="n">
        <x:v>1.6572679224</x:v>
      </x:c>
      <x:c r="H586" s="44" t="b">
        <x:v>0</x:v>
      </x:c>
      <x:c r="I586" s="39" t="n">
        <x:v>0.0340143004</x:v>
      </x:c>
    </x:row>
    <x:row r="587" ht="19" customHeight="1">
      <x:c r="A587" s="30" t="str">
        <x:v>stagger_1</x:v>
      </x:c>
      <x:c r="B587" s="39" t="str">
        <x:v>F</x:v>
      </x:c>
      <x:c r="C587" s="39" t="str">
        <x:v>Other sectors</x:v>
      </x:c>
      <x:c r="D587" s="31" t="n">
        <x:v>1</x:v>
      </x:c>
      <x:c r="E587" s="39" t="str">
        <x:v>XLF</x:v>
      </x:c>
      <x:c r="F587" s="39" t="n">
        <x:v>0.2264869107</x:v>
      </x:c>
      <x:c r="G587" s="39" t="n">
        <x:v>0.7056118235</x:v>
      </x:c>
      <x:c r="H587" s="44" t="b">
        <x:v>0</x:v>
      </x:c>
      <x:c r="I587" s="39" t="n">
        <x:v>0.0063426935</x:v>
      </x:c>
    </x:row>
    <x:row r="588" ht="19" customHeight="1">
      <x:c r="A588" s="30" t="str">
        <x:v>stagger_1</x:v>
      </x:c>
      <x:c r="B588" s="39" t="str">
        <x:v>F</x:v>
      </x:c>
      <x:c r="C588" s="39" t="str">
        <x:v>Other sectors</x:v>
      </x:c>
      <x:c r="D588" s="31" t="n">
        <x:v>1</x:v>
      </x:c>
      <x:c r="E588" s="39" t="str">
        <x:v>XLI</x:v>
      </x:c>
      <x:c r="F588" s="39" t="n">
        <x:v>0.1005967822</x:v>
      </x:c>
      <x:c r="G588" s="39" t="n">
        <x:v>0.2968275022</x:v>
      </x:c>
      <x:c r="H588" s="44" t="b">
        <x:v>0</x:v>
      </x:c>
      <x:c r="I588" s="39" t="n">
        <x:v>0.0011282969</x:v>
      </x:c>
    </x:row>
    <x:row r="589" ht="19" customHeight="1">
      <x:c r="A589" s="30" t="str">
        <x:v>stagger_1</x:v>
      </x:c>
      <x:c r="B589" s="39" t="str">
        <x:v>F</x:v>
      </x:c>
      <x:c r="C589" s="39" t="str">
        <x:v>Other sectors</x:v>
      </x:c>
      <x:c r="D589" s="31" t="n">
        <x:v>1</x:v>
      </x:c>
      <x:c r="E589" s="39" t="str">
        <x:v>XLK</x:v>
      </x:c>
      <x:c r="F589" s="39" t="n">
        <x:v>-0.1931295</x:v>
      </x:c>
      <x:c r="G589" s="39" t="n">
        <x:v>-0.6412977558</x:v>
      </x:c>
      <x:c r="H589" s="44" t="b">
        <x:v>0</x:v>
      </x:c>
      <x:c r="I589" s="39" t="n">
        <x:v>0.0052449456</x:v>
      </x:c>
    </x:row>
    <x:row r="590" ht="19" customHeight="1">
      <x:c r="A590" s="30" t="str">
        <x:v>stagger_1</x:v>
      </x:c>
      <x:c r="B590" s="39" t="str">
        <x:v>F</x:v>
      </x:c>
      <x:c r="C590" s="39" t="str">
        <x:v>Other sectors</x:v>
      </x:c>
      <x:c r="D590" s="31" t="n">
        <x:v>1</x:v>
      </x:c>
      <x:c r="E590" s="39" t="str">
        <x:v>XLP</x:v>
      </x:c>
      <x:c r="F590" s="39" t="n">
        <x:v>-0.0200440648</x:v>
      </x:c>
      <x:c r="G590" s="39" t="n">
        <x:v>-0.0655347113</x:v>
      </x:c>
      <x:c r="H590" s="44" t="b">
        <x:v>0</x:v>
      </x:c>
      <x:c r="I590" s="39" t="n">
        <x:v>0.0000550585</x:v>
      </x:c>
    </x:row>
    <x:row r="591" ht="19" customHeight="1">
      <x:c r="A591" s="30" t="str">
        <x:v>stagger_1</x:v>
      </x:c>
      <x:c r="B591" s="39" t="str">
        <x:v>F</x:v>
      </x:c>
      <x:c r="C591" s="39" t="str">
        <x:v>Other sectors</x:v>
      </x:c>
      <x:c r="D591" s="31" t="n">
        <x:v>1</x:v>
      </x:c>
      <x:c r="E591" s="39" t="str">
        <x:v>XLRE</x:v>
      </x:c>
      <x:c r="F591" s="39" t="n">
        <x:v>0.1282990516</x:v>
      </x:c>
      <x:c r="G591" s="39" t="n">
        <x:v>0.4653820572</x:v>
      </x:c>
      <x:c r="H591" s="44" t="b">
        <x:v>0</x:v>
      </x:c>
      <x:c r="I591" s="39" t="n">
        <x:v>0.002768984</x:v>
      </x:c>
    </x:row>
    <x:row r="592" ht="19" customHeight="1">
      <x:c r="A592" s="30" t="str">
        <x:v>stagger_1</x:v>
      </x:c>
      <x:c r="B592" s="39" t="str">
        <x:v>F</x:v>
      </x:c>
      <x:c r="C592" s="39" t="str">
        <x:v>Other sectors</x:v>
      </x:c>
      <x:c r="D592" s="31" t="n">
        <x:v>1</x:v>
      </x:c>
      <x:c r="E592" s="39" t="str">
        <x:v>XLU</x:v>
      </x:c>
      <x:c r="F592" s="39" t="n">
        <x:v>-0.1137727461</x:v>
      </x:c>
      <x:c r="G592" s="39" t="n">
        <x:v>-0.4849260071</x:v>
      </x:c>
      <x:c r="H592" s="44" t="b">
        <x:v>0</x:v>
      </x:c>
      <x:c r="I592" s="39" t="n">
        <x:v>0.0030057234</x:v>
      </x:c>
    </x:row>
    <x:row r="593" ht="19" customHeight="1">
      <x:c r="A593" s="30" t="str">
        <x:v>stagger_1</x:v>
      </x:c>
      <x:c r="B593" s="39" t="str">
        <x:v>F</x:v>
      </x:c>
      <x:c r="C593" s="39" t="str">
        <x:v>Other sectors</x:v>
      </x:c>
      <x:c r="D593" s="31" t="n">
        <x:v>1</x:v>
      </x:c>
      <x:c r="E593" s="39" t="str">
        <x:v>XLV</x:v>
      </x:c>
      <x:c r="F593" s="39" t="n">
        <x:v>0.3695725444</x:v>
      </x:c>
      <x:c r="G593" s="39" t="n">
        <x:v>1.3428228048</x:v>
      </x:c>
      <x:c r="H593" s="44" t="b">
        <x:v>0</x:v>
      </x:c>
      <x:c r="I593" s="39" t="n">
        <x:v>0.0225952555</x:v>
      </x:c>
    </x:row>
    <x:row r="594" ht="19" customHeight="1">
      <x:c r="A594" s="30" t="str">
        <x:v>stagger_1</x:v>
      </x:c>
      <x:c r="B594" s="39" t="str">
        <x:v>HPE</x:v>
      </x:c>
      <x:c r="C594" s="39" t="str">
        <x:v>Other FX</x:v>
      </x:c>
      <x:c r="D594" s="31" t="n">
        <x:v>1</x:v>
      </x:c>
      <x:c r="E594" s="39" t="str">
        <x:v>AUD/USD</x:v>
      </x:c>
      <x:c r="F594" s="39" t="n">
        <x:v>0.6314922893</x:v>
      </x:c>
      <x:c r="G594" s="39" t="n">
        <x:v>1.0580132592</x:v>
      </x:c>
      <x:c r="H594" s="44" t="b">
        <x:v>0</x:v>
      </x:c>
      <x:c r="I594" s="39" t="n">
        <x:v>0.0141481377</x:v>
      </x:c>
    </x:row>
    <x:row r="595" ht="19" customHeight="1">
      <x:c r="A595" s="30" t="str">
        <x:v>stagger_1</x:v>
      </x:c>
      <x:c r="B595" s="39" t="str">
        <x:v>HPE</x:v>
      </x:c>
      <x:c r="C595" s="39" t="str">
        <x:v>Other sectors</x:v>
      </x:c>
      <x:c r="D595" s="31" t="n">
        <x:v>1</x:v>
      </x:c>
      <x:c r="E595" s="39" t="str">
        <x:v>XLB</x:v>
      </x:c>
      <x:c r="F595" s="39" t="n">
        <x:v>0.3438236429</x:v>
      </x:c>
      <x:c r="G595" s="39" t="n">
        <x:v>1.234209967</x:v>
      </x:c>
      <x:c r="H595" s="44" t="b">
        <x:v>0</x:v>
      </x:c>
      <x:c r="I595" s="39" t="n">
        <x:v>0.0191550745</x:v>
      </x:c>
    </x:row>
    <x:row r="596" ht="19" customHeight="1">
      <x:c r="A596" s="30" t="str">
        <x:v>stagger_1</x:v>
      </x:c>
      <x:c r="B596" s="39" t="str">
        <x:v>HPE</x:v>
      </x:c>
      <x:c r="C596" s="39" t="str">
        <x:v>Other sectors</x:v>
      </x:c>
      <x:c r="D596" s="31" t="n">
        <x:v>1</x:v>
      </x:c>
      <x:c r="E596" s="39" t="str">
        <x:v>XLC</x:v>
      </x:c>
      <x:c r="F596" s="39" t="n">
        <x:v>-0.8911518839</x:v>
      </x:c>
      <x:c r="G596" s="39" t="n">
        <x:v>-2.4027859697</x:v>
      </x:c>
      <x:c r="H596" s="44" t="b">
        <x:v>0</x:v>
      </x:c>
      <x:c r="I596" s="39" t="n">
        <x:v>0.0689166462</x:v>
      </x:c>
    </x:row>
    <x:row r="597" ht="19" customHeight="1">
      <x:c r="A597" s="30" t="str">
        <x:v>stagger_1</x:v>
      </x:c>
      <x:c r="B597" s="39" t="str">
        <x:v>HPE</x:v>
      </x:c>
      <x:c r="C597" s="39" t="str">
        <x:v>Other sectors</x:v>
      </x:c>
      <x:c r="D597" s="31" t="n">
        <x:v>1</x:v>
      </x:c>
      <x:c r="E597" s="39" t="str">
        <x:v>XLE</x:v>
      </x:c>
      <x:c r="F597" s="39" t="n">
        <x:v>0.3806617326</x:v>
      </x:c>
      <x:c r="G597" s="39" t="n">
        <x:v>2.6128982452</x:v>
      </x:c>
      <x:c r="H597" s="44" t="b">
        <x:v>0</x:v>
      </x:c>
      <x:c r="I597" s="39" t="n">
        <x:v>0.0804840221</x:v>
      </x:c>
    </x:row>
    <x:row r="598" ht="19" customHeight="1">
      <x:c r="A598" s="30" t="str">
        <x:v>stagger_1</x:v>
      </x:c>
      <x:c r="B598" s="39" t="str">
        <x:v>HPE</x:v>
      </x:c>
      <x:c r="C598" s="39" t="str">
        <x:v>Other sectors</x:v>
      </x:c>
      <x:c r="D598" s="31" t="n">
        <x:v>1</x:v>
      </x:c>
      <x:c r="E598" s="39" t="str">
        <x:v>XLF</x:v>
      </x:c>
      <x:c r="F598" s="39" t="n">
        <x:v>1.0629680777</x:v>
      </x:c>
      <x:c r="G598" s="39" t="n">
        <x:v>3.1354330935</x:v>
      </x:c>
      <x:c r="H598" s="44" t="b">
        <x:v>1</x:v>
      </x:c>
      <x:c r="I598" s="39" t="n">
        <x:v>0.1119302675</x:v>
      </x:c>
    </x:row>
    <x:row r="599" ht="19" customHeight="1">
      <x:c r="A599" s="30" t="str">
        <x:v>stagger_1</x:v>
      </x:c>
      <x:c r="B599" s="39" t="str">
        <x:v>HPE</x:v>
      </x:c>
      <x:c r="C599" s="39" t="str">
        <x:v>Other sectors</x:v>
      </x:c>
      <x:c r="D599" s="31" t="n">
        <x:v>1</x:v>
      </x:c>
      <x:c r="E599" s="39" t="str">
        <x:v>XLI</x:v>
      </x:c>
      <x:c r="F599" s="39" t="n">
        <x:v>0.4272410803</x:v>
      </x:c>
      <x:c r="G599" s="39" t="n">
        <x:v>1.1370445203</x:v>
      </x:c>
      <x:c r="H599" s="44" t="b">
        <x:v>0</x:v>
      </x:c>
      <x:c r="I599" s="39" t="n">
        <x:v>0.0163049999</x:v>
      </x:c>
    </x:row>
    <x:row r="600" ht="19" customHeight="1">
      <x:c r="A600" s="30" t="str">
        <x:v>stagger_1</x:v>
      </x:c>
      <x:c r="B600" s="39" t="str">
        <x:v>HPE</x:v>
      </x:c>
      <x:c r="C600" s="39" t="str">
        <x:v>Other sectors</x:v>
      </x:c>
      <x:c r="D600" s="31" t="n">
        <x:v>1</x:v>
      </x:c>
      <x:c r="E600" s="39" t="str">
        <x:v>XLP</x:v>
      </x:c>
      <x:c r="F600" s="39" t="n">
        <x:v>-0.4240959028</x:v>
      </x:c>
      <x:c r="G600" s="39" t="n">
        <x:v>-1.2535117485</x:v>
      </x:c>
      <x:c r="H600" s="44" t="b">
        <x:v>0</x:v>
      </x:c>
      <x:c r="I600" s="39" t="n">
        <x:v>0.0197469674</x:v>
      </x:c>
    </x:row>
    <x:row r="601" ht="19" customHeight="1">
      <x:c r="A601" s="30" t="str">
        <x:v>stagger_1</x:v>
      </x:c>
      <x:c r="B601" s="39" t="str">
        <x:v>HPE</x:v>
      </x:c>
      <x:c r="C601" s="39" t="str">
        <x:v>Other sectors</x:v>
      </x:c>
      <x:c r="D601" s="31" t="n">
        <x:v>1</x:v>
      </x:c>
      <x:c r="E601" s="39" t="str">
        <x:v>XLRE</x:v>
      </x:c>
      <x:c r="F601" s="39" t="n">
        <x:v>-0.335818633</x:v>
      </x:c>
      <x:c r="G601" s="39" t="n">
        <x:v>-1.0971710133</x:v>
      </x:c>
      <x:c r="H601" s="44" t="b">
        <x:v>0</x:v>
      </x:c>
      <x:c r="I601" s="39" t="n">
        <x:v>0.0151985697</x:v>
      </x:c>
    </x:row>
    <x:row r="602" ht="19" customHeight="1">
      <x:c r="A602" s="30" t="str">
        <x:v>stagger_1</x:v>
      </x:c>
      <x:c r="B602" s="39" t="str">
        <x:v>HPE</x:v>
      </x:c>
      <x:c r="C602" s="39" t="str">
        <x:v>Other sectors</x:v>
      </x:c>
      <x:c r="D602" s="31" t="n">
        <x:v>1</x:v>
      </x:c>
      <x:c r="E602" s="39" t="str">
        <x:v>XLU</x:v>
      </x:c>
      <x:c r="F602" s="39" t="n">
        <x:v>-0.0308933422</x:v>
      </x:c>
      <x:c r="G602" s="39" t="n">
        <x:v>-0.1176919652</x:v>
      </x:c>
      <x:c r="H602" s="44" t="b">
        <x:v>0</x:v>
      </x:c>
      <x:c r="I602" s="39" t="n">
        <x:v>0.0001775505</x:v>
      </x:c>
    </x:row>
    <x:row r="603" ht="19" customHeight="1">
      <x:c r="A603" s="30" t="str">
        <x:v>stagger_1</x:v>
      </x:c>
      <x:c r="B603" s="39" t="str">
        <x:v>HPE</x:v>
      </x:c>
      <x:c r="C603" s="39" t="str">
        <x:v>Other sectors</x:v>
      </x:c>
      <x:c r="D603" s="31" t="n">
        <x:v>1</x:v>
      </x:c>
      <x:c r="E603" s="39" t="str">
        <x:v>XLV</x:v>
      </x:c>
      <x:c r="F603" s="39" t="n">
        <x:v>0.0238464325</x:v>
      </x:c>
      <x:c r="G603" s="39" t="n">
        <x:v>0.0766753567</x:v>
      </x:c>
      <x:c r="H603" s="44" t="b">
        <x:v>0</x:v>
      </x:c>
      <x:c r="I603" s="39" t="n">
        <x:v>0.0000753675</x:v>
      </x:c>
    </x:row>
    <x:row r="604" ht="19" customHeight="1">
      <x:c r="A604" s="30" t="str">
        <x:v>stagger_1</x:v>
      </x:c>
      <x:c r="B604" s="39" t="str">
        <x:v>HPE</x:v>
      </x:c>
      <x:c r="C604" s="39" t="str">
        <x:v>Other sectors</x:v>
      </x:c>
      <x:c r="D604" s="31" t="n">
        <x:v>1</x:v>
      </x:c>
      <x:c r="E604" s="39" t="str">
        <x:v>XLY</x:v>
      </x:c>
      <x:c r="F604" s="39" t="n">
        <x:v>-0.6231358426</x:v>
      </x:c>
      <x:c r="G604" s="39" t="n">
        <x:v>-1.7161562646</x:v>
      </x:c>
      <x:c r="H604" s="44" t="b">
        <x:v>0</x:v>
      </x:c>
      <x:c r="I604" s="39" t="n">
        <x:v>0.0363850186</x:v>
      </x:c>
    </x:row>
    <x:row r="605" ht="19" customHeight="1">
      <x:c r="A605" s="30" t="str">
        <x:v>stagger_1</x:v>
      </x:c>
      <x:c r="B605" s="39" t="str">
        <x:v>HPE</x:v>
      </x:c>
      <x:c r="C605" s="39" t="str">
        <x:v>Other sectors</x:v>
      </x:c>
      <x:c r="D605" s="31" t="n">
        <x:v>2</x:v>
      </x:c>
      <x:c r="E605" s="39" t="str">
        <x:v>XLB</x:v>
      </x:c>
      <x:c r="F605" s="39" t="n">
        <x:v>0.0433030996</x:v>
      </x:c>
      <x:c r="G605" s="39" t="n">
        <x:v>0.1633891612</x:v>
      </x:c>
      <x:c r="H605" s="44" t="b">
        <x:v>0</x:v>
      </x:c>
      <x:c r="I605" s="39" t="n">
        <x:v>0.0003421395</x:v>
      </x:c>
    </x:row>
    <x:row r="606" ht="19" customHeight="1">
      <x:c r="A606" s="30" t="str">
        <x:v>stagger_1</x:v>
      </x:c>
      <x:c r="B606" s="39" t="str">
        <x:v>HPE</x:v>
      </x:c>
      <x:c r="C606" s="39" t="str">
        <x:v>Other sectors</x:v>
      </x:c>
      <x:c r="D606" s="31" t="n">
        <x:v>2</x:v>
      </x:c>
      <x:c r="E606" s="39" t="str">
        <x:v>XLC</x:v>
      </x:c>
      <x:c r="F606" s="39" t="n">
        <x:v>-0.9491421166</x:v>
      </x:c>
      <x:c r="G606" s="39" t="n">
        <x:v>-2.7439445694</x:v>
      </x:c>
      <x:c r="H606" s="44" t="b">
        <x:v>1</x:v>
      </x:c>
      <x:c r="I606" s="39" t="n">
        <x:v>0.0880310935</x:v>
      </x:c>
    </x:row>
    <x:row r="607" ht="19" customHeight="1">
      <x:c r="A607" s="30" t="str">
        <x:v>stagger_1</x:v>
      </x:c>
      <x:c r="B607" s="39" t="str">
        <x:v>HPE</x:v>
      </x:c>
      <x:c r="C607" s="39" t="str">
        <x:v>Other sectors</x:v>
      </x:c>
      <x:c r="D607" s="31" t="n">
        <x:v>2</x:v>
      </x:c>
      <x:c r="E607" s="39" t="str">
        <x:v>XLE</x:v>
      </x:c>
      <x:c r="F607" s="39" t="n">
        <x:v>0.2592310474</x:v>
      </x:c>
      <x:c r="G607" s="39" t="n">
        <x:v>1.8499092196</x:v>
      </x:c>
      <x:c r="H607" s="44" t="b">
        <x:v>0</x:v>
      </x:c>
      <x:c r="I607" s="39" t="n">
        <x:v>0.0420298841</x:v>
      </x:c>
    </x:row>
    <x:row r="608" ht="19" customHeight="1">
      <x:c r="A608" s="30" t="str">
        <x:v>stagger_1</x:v>
      </x:c>
      <x:c r="B608" s="39" t="str">
        <x:v>HPE</x:v>
      </x:c>
      <x:c r="C608" s="39" t="str">
        <x:v>Other sectors</x:v>
      </x:c>
      <x:c r="D608" s="31" t="n">
        <x:v>2</x:v>
      </x:c>
      <x:c r="E608" s="39" t="str">
        <x:v>XLI</x:v>
      </x:c>
      <x:c r="F608" s="39" t="n">
        <x:v>0.0650061854</x:v>
      </x:c>
      <x:c r="G608" s="39" t="n">
        <x:v>0.1821202185</x:v>
      </x:c>
      <x:c r="H608" s="44" t="b">
        <x:v>0</x:v>
      </x:c>
      <x:c r="I608" s="39" t="n">
        <x:v>0.0004250471</x:v>
      </x:c>
    </x:row>
    <x:row r="609" ht="19" customHeight="1">
      <x:c r="A609" s="30" t="str">
        <x:v>stagger_1</x:v>
      </x:c>
      <x:c r="B609" s="39" t="str">
        <x:v>HPE</x:v>
      </x:c>
      <x:c r="C609" s="39" t="str">
        <x:v>Other sectors</x:v>
      </x:c>
      <x:c r="D609" s="31" t="n">
        <x:v>2</x:v>
      </x:c>
      <x:c r="E609" s="39" t="str">
        <x:v>XLP</x:v>
      </x:c>
      <x:c r="F609" s="39" t="n">
        <x:v>-0.445475052</x:v>
      </x:c>
      <x:c r="G609" s="39" t="n">
        <x:v>-1.4006423679</x:v>
      </x:c>
      <x:c r="H609" s="44" t="b">
        <x:v>0</x:v>
      </x:c>
      <x:c r="I609" s="39" t="n">
        <x:v>0.0245342034</x:v>
      </x:c>
    </x:row>
    <x:row r="610" ht="19" customHeight="1">
      <x:c r="A610" s="30" t="str">
        <x:v>stagger_1</x:v>
      </x:c>
      <x:c r="B610" s="39" t="str">
        <x:v>HPE</x:v>
      </x:c>
      <x:c r="C610" s="39" t="str">
        <x:v>Other sectors</x:v>
      </x:c>
      <x:c r="D610" s="31" t="n">
        <x:v>2</x:v>
      </x:c>
      <x:c r="E610" s="39" t="str">
        <x:v>XLRE</x:v>
      </x:c>
      <x:c r="F610" s="39" t="n">
        <x:v>-0.5420032774</x:v>
      </x:c>
      <x:c r="G610" s="39" t="n">
        <x:v>-1.9077669239</x:v>
      </x:c>
      <x:c r="H610" s="44" t="b">
        <x:v>0</x:v>
      </x:c>
      <x:c r="I610" s="39" t="n">
        <x:v>0.0445810093</x:v>
      </x:c>
    </x:row>
    <x:row r="611" ht="19" customHeight="1">
      <x:c r="A611" s="30" t="str">
        <x:v>stagger_1</x:v>
      </x:c>
      <x:c r="B611" s="39" t="str">
        <x:v>HPE</x:v>
      </x:c>
      <x:c r="C611" s="39" t="str">
        <x:v>Other sectors</x:v>
      </x:c>
      <x:c r="D611" s="31" t="n">
        <x:v>2</x:v>
      </x:c>
      <x:c r="E611" s="39" t="str">
        <x:v>XLU</x:v>
      </x:c>
      <x:c r="F611" s="39" t="n">
        <x:v>-0.1030716029</x:v>
      </x:c>
      <x:c r="G611" s="39" t="n">
        <x:v>-0.4171023648</x:v>
      </x:c>
      <x:c r="H611" s="44" t="b">
        <x:v>0</x:v>
      </x:c>
      <x:c r="I611" s="39" t="n">
        <x:v>0.002225477</x:v>
      </x:c>
    </x:row>
    <x:row r="612" ht="19" customHeight="1">
      <x:c r="A612" s="30" t="str">
        <x:v>stagger_1</x:v>
      </x:c>
      <x:c r="B612" s="39" t="str">
        <x:v>HPE</x:v>
      </x:c>
      <x:c r="C612" s="39" t="str">
        <x:v>Other sectors</x:v>
      </x:c>
      <x:c r="D612" s="31" t="n">
        <x:v>2</x:v>
      </x:c>
      <x:c r="E612" s="39" t="str">
        <x:v>XLV</x:v>
      </x:c>
      <x:c r="F612" s="39" t="n">
        <x:v>-0.182122385</x:v>
      </x:c>
      <x:c r="G612" s="39" t="n">
        <x:v>-0.6229216069</x:v>
      </x:c>
      <x:c r="H612" s="44" t="b">
        <x:v>0</x:v>
      </x:c>
      <x:c r="I612" s="39" t="n">
        <x:v>0.0049501349</x:v>
      </x:c>
    </x:row>
    <x:row r="613" ht="19" customHeight="1">
      <x:c r="A613" s="30" t="str">
        <x:v>stagger_1</x:v>
      </x:c>
      <x:c r="B613" s="39" t="str">
        <x:v>HPE</x:v>
      </x:c>
      <x:c r="C613" s="39" t="str">
        <x:v>Other sectors</x:v>
      </x:c>
      <x:c r="D613" s="31" t="n">
        <x:v>2</x:v>
      </x:c>
      <x:c r="E613" s="39" t="str">
        <x:v>XLY</x:v>
      </x:c>
      <x:c r="F613" s="39" t="n">
        <x:v>-0.5897317603</x:v>
      </x:c>
      <x:c r="G613" s="39" t="n">
        <x:v>-1.7237535667</x:v>
      </x:c>
      <x:c r="H613" s="44" t="b">
        <x:v>0</x:v>
      </x:c>
      <x:c r="I613" s="39" t="n">
        <x:v>0.0366960317</x:v>
      </x:c>
    </x:row>
    <x:row r="614" ht="19" customHeight="1">
      <x:c r="A614" s="30" t="str">
        <x:v>stagger_1</x:v>
      </x:c>
      <x:c r="B614" s="39" t="str">
        <x:v>HPE</x:v>
      </x:c>
      <x:c r="C614" s="39" t="str">
        <x:v>Other sectors</x:v>
      </x:c>
      <x:c r="D614" s="31" t="n">
        <x:v>3</x:v>
      </x:c>
      <x:c r="E614" s="39" t="str">
        <x:v>XLB</x:v>
      </x:c>
      <x:c r="F614" s="39" t="n">
        <x:v>0.0009069784</x:v>
      </x:c>
      <x:c r="G614" s="39" t="n">
        <x:v>0.0035829184</x:v>
      </x:c>
      <x:c r="H614" s="44" t="b">
        <x:v>0</x:v>
      </x:c>
      <x:c r="I614" s="39" t="n">
        <x:v>1.646e-7</x:v>
      </x:c>
    </x:row>
    <x:row r="615" ht="19" customHeight="1">
      <x:c r="A615" s="30" t="str">
        <x:v>stagger_1</x:v>
      </x:c>
      <x:c r="B615" s="39" t="str">
        <x:v>HPE</x:v>
      </x:c>
      <x:c r="C615" s="39" t="str">
        <x:v>Other sectors</x:v>
      </x:c>
      <x:c r="D615" s="31" t="n">
        <x:v>3</x:v>
      </x:c>
      <x:c r="E615" s="39" t="str">
        <x:v>XLE</x:v>
      </x:c>
      <x:c r="F615" s="39" t="n">
        <x:v>0.2843849791</x:v>
      </x:c>
      <x:c r="G615" s="39" t="n">
        <x:v>2.1401634706</x:v>
      </x:c>
      <x:c r="H615" s="44" t="b">
        <x:v>1</x:v>
      </x:c>
      <x:c r="I615" s="39" t="n">
        <x:v>0.0554647985</x:v>
      </x:c>
    </x:row>
    <x:row r="616" ht="19" customHeight="1">
      <x:c r="A616" s="30" t="str">
        <x:v>stagger_1</x:v>
      </x:c>
      <x:c r="B616" s="39" t="str">
        <x:v>HPE</x:v>
      </x:c>
      <x:c r="C616" s="39" t="str">
        <x:v>Other sectors</x:v>
      </x:c>
      <x:c r="D616" s="31" t="n">
        <x:v>3</x:v>
      </x:c>
      <x:c r="E616" s="39" t="str">
        <x:v>XLI</x:v>
      </x:c>
      <x:c r="F616" s="39" t="n">
        <x:v>-0.0670190503</x:v>
      </x:c>
      <x:c r="G616" s="39" t="n">
        <x:v>-0.1966196935</x:v>
      </x:c>
      <x:c r="H616" s="44" t="b">
        <x:v>0</x:v>
      </x:c>
      <x:c r="I616" s="39" t="n">
        <x:v>0.0004953866</x:v>
      </x:c>
    </x:row>
    <x:row r="617" ht="19" customHeight="1">
      <x:c r="A617" s="30" t="str">
        <x:v>stagger_1</x:v>
      </x:c>
      <x:c r="B617" s="39" t="str">
        <x:v>HPE</x:v>
      </x:c>
      <x:c r="C617" s="39" t="str">
        <x:v>Other sectors</x:v>
      </x:c>
      <x:c r="D617" s="31" t="n">
        <x:v>3</x:v>
      </x:c>
      <x:c r="E617" s="39" t="str">
        <x:v>XLP</x:v>
      </x:c>
      <x:c r="F617" s="39" t="n">
        <x:v>-0.3938992884</x:v>
      </x:c>
      <x:c r="G617" s="39" t="n">
        <x:v>-1.2945570768</x:v>
      </x:c>
      <x:c r="H617" s="44" t="b">
        <x:v>0</x:v>
      </x:c>
      <x:c r="I617" s="39" t="n">
        <x:v>0.0210336938</x:v>
      </x:c>
    </x:row>
    <x:row r="618" ht="19" customHeight="1">
      <x:c r="A618" s="30" t="str">
        <x:v>stagger_1</x:v>
      </x:c>
      <x:c r="B618" s="39" t="str">
        <x:v>HPE</x:v>
      </x:c>
      <x:c r="C618" s="39" t="str">
        <x:v>Other sectors</x:v>
      </x:c>
      <x:c r="D618" s="31" t="n">
        <x:v>3</x:v>
      </x:c>
      <x:c r="E618" s="39" t="str">
        <x:v>XLRE</x:v>
      </x:c>
      <x:c r="F618" s="39" t="n">
        <x:v>-0.5556018922</x:v>
      </x:c>
      <x:c r="G618" s="39" t="n">
        <x:v>-2.0551578026</x:v>
      </x:c>
      <x:c r="H618" s="44" t="b">
        <x:v>0</x:v>
      </x:c>
      <x:c r="I618" s="39" t="n">
        <x:v>0.0513680964</x:v>
      </x:c>
    </x:row>
    <x:row r="619" ht="19" customHeight="1">
      <x:c r="A619" s="30" t="str">
        <x:v>stagger_1</x:v>
      </x:c>
      <x:c r="B619" s="39" t="str">
        <x:v>HPE</x:v>
      </x:c>
      <x:c r="C619" s="39" t="str">
        <x:v>Other sectors</x:v>
      </x:c>
      <x:c r="D619" s="31" t="n">
        <x:v>3</x:v>
      </x:c>
      <x:c r="E619" s="39" t="str">
        <x:v>XLU</x:v>
      </x:c>
      <x:c r="F619" s="39" t="n">
        <x:v>-0.1802672741</x:v>
      </x:c>
      <x:c r="G619" s="39" t="n">
        <x:v>-0.7659028252</x:v>
      </x:c>
      <x:c r="H619" s="44" t="b">
        <x:v>0</x:v>
      </x:c>
      <x:c r="I619" s="39" t="n">
        <x:v>0.007464467</x:v>
      </x:c>
    </x:row>
    <x:row r="620" ht="19" customHeight="1">
      <x:c r="A620" s="30" t="str">
        <x:v>stagger_1</x:v>
      </x:c>
      <x:c r="B620" s="39" t="str">
        <x:v>HPE</x:v>
      </x:c>
      <x:c r="C620" s="39" t="str">
        <x:v>Other sectors</x:v>
      </x:c>
      <x:c r="D620" s="31" t="n">
        <x:v>3</x:v>
      </x:c>
      <x:c r="E620" s="39" t="str">
        <x:v>XLV</x:v>
      </x:c>
      <x:c r="F620" s="39" t="n">
        <x:v>-0.1832595322</x:v>
      </x:c>
      <x:c r="G620" s="39" t="n">
        <x:v>-0.6565469234</x:v>
      </x:c>
      <x:c r="H620" s="44" t="b">
        <x:v>0</x:v>
      </x:c>
      <x:c r="I620" s="39" t="n">
        <x:v>0.0054959591</x:v>
      </x:c>
    </x:row>
    <x:row r="621" ht="19" customHeight="1">
      <x:c r="A621" s="30" t="str">
        <x:v>stagger_1</x:v>
      </x:c>
      <x:c r="B621" s="39" t="str">
        <x:v>HPE</x:v>
      </x:c>
      <x:c r="C621" s="39" t="str">
        <x:v>Other sectors</x:v>
      </x:c>
      <x:c r="D621" s="31" t="n">
        <x:v>3</x:v>
      </x:c>
      <x:c r="E621" s="39" t="str">
        <x:v>XLY</x:v>
      </x:c>
      <x:c r="F621" s="39" t="n">
        <x:v>-0.3027916388</x:v>
      </x:c>
      <x:c r="G621" s="39" t="n">
        <x:v>-0.9144751667</x:v>
      </x:c>
      <x:c r="H621" s="44" t="b">
        <x:v>0</x:v>
      </x:c>
      <x:c r="I621" s="39" t="n">
        <x:v>0.0106076161</x:v>
      </x:c>
    </x:row>
    <x:row r="622" ht="19" customHeight="1">
      <x:c r="A622" s="30" t="str">
        <x:v>stagger_1</x:v>
      </x:c>
      <x:c r="B622" s="39" t="str">
        <x:v>HPE</x:v>
      </x:c>
      <x:c r="C622" s="39" t="str">
        <x:v>Other sectors</x:v>
      </x:c>
      <x:c r="D622" s="31" t="n">
        <x:v>4</x:v>
      </x:c>
      <x:c r="E622" s="39" t="str">
        <x:v>XLB</x:v>
      </x:c>
      <x:c r="F622" s="39" t="n">
        <x:v>-0.1665606063</x:v>
      </x:c>
      <x:c r="G622" s="39" t="n">
        <x:v>-0.6790206232</x:v>
      </x:c>
      <x:c r="H622" s="44" t="b">
        <x:v>0</x:v>
      </x:c>
      <x:c r="I622" s="39" t="n">
        <x:v>0.0058764049</x:v>
      </x:c>
    </x:row>
    <x:row r="623" ht="19" customHeight="1">
      <x:c r="A623" s="30" t="str">
        <x:v>stagger_1</x:v>
      </x:c>
      <x:c r="B623" s="39" t="str">
        <x:v>HPE</x:v>
      </x:c>
      <x:c r="C623" s="39" t="str">
        <x:v>Other sectors</x:v>
      </x:c>
      <x:c r="D623" s="31" t="n">
        <x:v>4</x:v>
      </x:c>
      <x:c r="E623" s="39" t="str">
        <x:v>XLI</x:v>
      </x:c>
      <x:c r="F623" s="39" t="n">
        <x:v>-0.1922705731</x:v>
      </x:c>
      <x:c r="G623" s="39" t="n">
        <x:v>-0.5815195095</x:v>
      </x:c>
      <x:c r="H623" s="44" t="b">
        <x:v>0</x:v>
      </x:c>
      <x:c r="I623" s="39" t="n">
        <x:v>0.004316733</x:v>
      </x:c>
    </x:row>
    <x:row r="624" ht="19" customHeight="1">
      <x:c r="A624" s="30" t="str">
        <x:v>stagger_1</x:v>
      </x:c>
      <x:c r="B624" s="39" t="str">
        <x:v>HPE</x:v>
      </x:c>
      <x:c r="C624" s="39" t="str">
        <x:v>Other sectors</x:v>
      </x:c>
      <x:c r="D624" s="31" t="n">
        <x:v>4</x:v>
      </x:c>
      <x:c r="E624" s="39" t="str">
        <x:v>XLP</x:v>
      </x:c>
      <x:c r="F624" s="39" t="n">
        <x:v>-0.4772305911</x:v>
      </x:c>
      <x:c r="G624" s="39" t="n">
        <x:v>-1.6235127786</x:v>
      </x:c>
      <x:c r="H624" s="44" t="b">
        <x:v>0</x:v>
      </x:c>
      <x:c r="I624" s="39" t="n">
        <x:v>0.0326876393</x:v>
      </x:c>
    </x:row>
    <x:row r="625" ht="19" customHeight="1">
      <x:c r="A625" s="30" t="str">
        <x:v>stagger_1</x:v>
      </x:c>
      <x:c r="B625" s="39" t="str">
        <x:v>HPE</x:v>
      </x:c>
      <x:c r="C625" s="39" t="str">
        <x:v>Other sectors</x:v>
      </x:c>
      <x:c r="D625" s="31" t="n">
        <x:v>4</x:v>
      </x:c>
      <x:c r="E625" s="39" t="str">
        <x:v>XLRE</x:v>
      </x:c>
      <x:c r="F625" s="39" t="n">
        <x:v>-0.636646429</x:v>
      </x:c>
      <x:c r="G625" s="39" t="n">
        <x:v>-2.4491026878</x:v>
      </x:c>
      <x:c r="H625" s="44" t="b">
        <x:v>1</x:v>
      </x:c>
      <x:c r="I625" s="39" t="n">
        <x:v>0.0714076115</x:v>
      </x:c>
    </x:row>
    <x:row r="626" ht="19" customHeight="1">
      <x:c r="A626" s="30" t="str">
        <x:v>stagger_1</x:v>
      </x:c>
      <x:c r="B626" s="39" t="str">
        <x:v>HPE</x:v>
      </x:c>
      <x:c r="C626" s="39" t="str">
        <x:v>Other sectors</x:v>
      </x:c>
      <x:c r="D626" s="31" t="n">
        <x:v>4</x:v>
      </x:c>
      <x:c r="E626" s="39" t="str">
        <x:v>XLU</x:v>
      </x:c>
      <x:c r="F626" s="39" t="n">
        <x:v>-0.219338599</x:v>
      </x:c>
      <x:c r="G626" s="39" t="n">
        <x:v>-0.9609291162</x:v>
      </x:c>
      <x:c r="H626" s="44" t="b">
        <x:v>0</x:v>
      </x:c>
      <x:c r="I626" s="39" t="n">
        <x:v>0.0116997613</x:v>
      </x:c>
    </x:row>
    <x:row r="627" ht="19" customHeight="1">
      <x:c r="A627" s="30" t="str">
        <x:v>stagger_1</x:v>
      </x:c>
      <x:c r="B627" s="39" t="str">
        <x:v>HPE</x:v>
      </x:c>
      <x:c r="C627" s="39" t="str">
        <x:v>Other sectors</x:v>
      </x:c>
      <x:c r="D627" s="31" t="n">
        <x:v>4</x:v>
      </x:c>
      <x:c r="E627" s="39" t="str">
        <x:v>XLV</x:v>
      </x:c>
      <x:c r="F627" s="39" t="n">
        <x:v>-0.2813073764</x:v>
      </x:c>
      <x:c r="G627" s="39" t="n">
        <x:v>-1.0412914979</x:v>
      </x:c>
      <x:c r="H627" s="44" t="b">
        <x:v>0</x:v>
      </x:c>
      <x:c r="I627" s="39" t="n">
        <x:v>0.0137105361</x:v>
      </x:c>
    </x:row>
    <x:row r="628" ht="19" customHeight="1">
      <x:c r="A628" s="30" t="str">
        <x:v>stagger_1</x:v>
      </x:c>
      <x:c r="B628" s="39" t="str">
        <x:v>HPE</x:v>
      </x:c>
      <x:c r="C628" s="39" t="str">
        <x:v>Other sectors</x:v>
      </x:c>
      <x:c r="D628" s="31" t="n">
        <x:v>4</x:v>
      </x:c>
      <x:c r="E628" s="39" t="str">
        <x:v>XLY</x:v>
      </x:c>
      <x:c r="F628" s="39" t="n">
        <x:v>-0.135431706</x:v>
      </x:c>
      <x:c r="G628" s="39" t="n">
        <x:v>-0.419094553</x:v>
      </x:c>
      <x:c r="H628" s="44" t="b">
        <x:v>0</x:v>
      </x:c>
      <x:c r="I628" s="39" t="n">
        <x:v>0.0022467388</x:v>
      </x:c>
    </x:row>
    <x:row r="629" ht="19" customHeight="1">
      <x:c r="A629" s="30" t="str">
        <x:v>stagger_1</x:v>
      </x:c>
      <x:c r="B629" s="39" t="str">
        <x:v>HPE</x:v>
      </x:c>
      <x:c r="C629" s="39" t="str">
        <x:v>Other sectors</x:v>
      </x:c>
      <x:c r="D629" s="31" t="n">
        <x:v>5</x:v>
      </x:c>
      <x:c r="E629" s="39" t="str">
        <x:v>XLB</x:v>
      </x:c>
      <x:c r="F629" s="39" t="n">
        <x:v>0.0644650438</x:v>
      </x:c>
      <x:c r="G629" s="39" t="n">
        <x:v>0.2720498745</x:v>
      </x:c>
      <x:c r="H629" s="44" t="b">
        <x:v>0</x:v>
      </x:c>
      <x:c r="I629" s="39" t="n">
        <x:v>0.0009479612</x:v>
      </x:c>
    </x:row>
    <x:row r="630" ht="19" customHeight="1">
      <x:c r="A630" s="30" t="str">
        <x:v>stagger_1</x:v>
      </x:c>
      <x:c r="B630" s="39" t="str">
        <x:v>HPE</x:v>
      </x:c>
      <x:c r="C630" s="39" t="str">
        <x:v>Other sectors</x:v>
      </x:c>
      <x:c r="D630" s="31" t="n">
        <x:v>5</x:v>
      </x:c>
      <x:c r="E630" s="39" t="str">
        <x:v>XLI</x:v>
      </x:c>
      <x:c r="F630" s="39" t="n">
        <x:v>0.0177004184</x:v>
      </x:c>
      <x:c r="G630" s="39" t="n">
        <x:v>0.0554359636</x:v>
      </x:c>
      <x:c r="H630" s="44" t="b">
        <x:v>0</x:v>
      </x:c>
      <x:c r="I630" s="39" t="n">
        <x:v>0.0000393978</x:v>
      </x:c>
    </x:row>
    <x:row r="631" ht="19" customHeight="1">
      <x:c r="A631" s="30" t="str">
        <x:v>stagger_1</x:v>
      </x:c>
      <x:c r="B631" s="39" t="str">
        <x:v>HPE</x:v>
      </x:c>
      <x:c r="C631" s="39" t="str">
        <x:v>Other sectors</x:v>
      </x:c>
      <x:c r="D631" s="31" t="n">
        <x:v>5</x:v>
      </x:c>
      <x:c r="E631" s="39" t="str">
        <x:v>XLP</x:v>
      </x:c>
      <x:c r="F631" s="39" t="n">
        <x:v>-0.0840456981</x:v>
      </x:c>
      <x:c r="G631" s="39" t="n">
        <x:v>-0.2919785448</x:v>
      </x:c>
      <x:c r="H631" s="44" t="b">
        <x:v>0</x:v>
      </x:c>
      <x:c r="I631" s="39" t="n">
        <x:v>0.0010917743</x:v>
      </x:c>
    </x:row>
    <x:row r="632" ht="19" customHeight="1">
      <x:c r="A632" s="30" t="str">
        <x:v>stagger_1</x:v>
      </x:c>
      <x:c r="B632" s="39" t="str">
        <x:v>HPE</x:v>
      </x:c>
      <x:c r="C632" s="39" t="str">
        <x:v>Other sectors</x:v>
      </x:c>
      <x:c r="D632" s="31" t="n">
        <x:v>5</x:v>
      </x:c>
      <x:c r="E632" s="39" t="str">
        <x:v>XLU</x:v>
      </x:c>
      <x:c r="F632" s="39" t="n">
        <x:v>0.0608479335</x:v>
      </x:c>
      <x:c r="G632" s="39" t="n">
        <x:v>0.2751469289</x:v>
      </x:c>
      <x:c r="H632" s="44" t="b">
        <x:v>0</x:v>
      </x:c>
      <x:c r="I632" s="39" t="n">
        <x:v>0.0009696465</x:v>
      </x:c>
    </x:row>
    <x:row r="633" ht="19" customHeight="1">
      <x:c r="A633" s="30" t="str">
        <x:v>stagger_1</x:v>
      </x:c>
      <x:c r="B633" s="39" t="str">
        <x:v>HPE</x:v>
      </x:c>
      <x:c r="C633" s="39" t="str">
        <x:v>Other sectors</x:v>
      </x:c>
      <x:c r="D633" s="31" t="n">
        <x:v>5</x:v>
      </x:c>
      <x:c r="E633" s="39" t="str">
        <x:v>XLV</x:v>
      </x:c>
      <x:c r="F633" s="39" t="n">
        <x:v>-0.0167769621</x:v>
      </x:c>
      <x:c r="G633" s="39" t="n">
        <x:v>-0.0640037715</x:v>
      </x:c>
      <x:c r="H633" s="44" t="b">
        <x:v>0</x:v>
      </x:c>
      <x:c r="I633" s="39" t="n">
        <x:v>0.0000525163</x:v>
      </x:c>
    </x:row>
    <x:row r="634" ht="19" customHeight="1">
      <x:c r="A634" s="30" t="str">
        <x:v>stagger_1</x:v>
      </x:c>
      <x:c r="B634" s="39" t="str">
        <x:v>HPE</x:v>
      </x:c>
      <x:c r="C634" s="39" t="str">
        <x:v>Other sectors</x:v>
      </x:c>
      <x:c r="D634" s="31" t="n">
        <x:v>5</x:v>
      </x:c>
      <x:c r="E634" s="39" t="str">
        <x:v>XLY</x:v>
      </x:c>
      <x:c r="F634" s="39" t="n">
        <x:v>-0.0480371783</x:v>
      </x:c>
      <x:c r="G634" s="39" t="n">
        <x:v>-0.1541112291</x:v>
      </x:c>
      <x:c r="H634" s="44" t="b">
        <x:v>0</x:v>
      </x:c>
      <x:c r="I634" s="39" t="n">
        <x:v>0.000304398</x:v>
      </x:c>
    </x:row>
    <x:row r="635" ht="19" customHeight="1">
      <x:c r="A635" s="30" t="str">
        <x:v>stagger_1</x:v>
      </x:c>
      <x:c r="B635" s="39" t="str">
        <x:v>BA</x:v>
      </x:c>
      <x:c r="C635" s="39" t="str">
        <x:v>Other FX</x:v>
      </x:c>
      <x:c r="D635" s="31" t="n">
        <x:v>1</x:v>
      </x:c>
      <x:c r="E635" s="39" t="str">
        <x:v>AUD/USD</x:v>
      </x:c>
      <x:c r="F635" s="39" t="n">
        <x:v>2.0229612897</x:v>
      </x:c>
      <x:c r="G635" s="39" t="n">
        <x:v>4.6111204246</x:v>
      </x:c>
      <x:c r="H635" s="44" t="b">
        <x:v>1</x:v>
      </x:c>
      <x:c r="I635" s="39" t="n">
        <x:v>0.2142042184</x:v>
      </x:c>
    </x:row>
    <x:row r="636" ht="19" customHeight="1">
      <x:c r="A636" s="30" t="str">
        <x:v>stagger_1</x:v>
      </x:c>
      <x:c r="B636" s="39" t="str">
        <x:v>BA</x:v>
      </x:c>
      <x:c r="C636" s="39" t="str">
        <x:v>Other sectors</x:v>
      </x:c>
      <x:c r="D636" s="31" t="n">
        <x:v>1</x:v>
      </x:c>
      <x:c r="E636" s="39" t="str">
        <x:v>XLB</x:v>
      </x:c>
      <x:c r="F636" s="39" t="n">
        <x:v>-0.2859012186</x:v>
      </x:c>
      <x:c r="G636" s="39" t="n">
        <x:v>-1.2299143561</x:v>
      </x:c>
      <x:c r="H636" s="44" t="b">
        <x:v>0</x:v>
      </x:c>
      <x:c r="I636" s="39" t="n">
        <x:v>0.0190245021</x:v>
      </x:c>
    </x:row>
    <x:row r="637" ht="19" customHeight="1">
      <x:c r="A637" s="30" t="str">
        <x:v>stagger_1</x:v>
      </x:c>
      <x:c r="B637" s="39" t="str">
        <x:v>BA</x:v>
      </x:c>
      <x:c r="C637" s="39" t="str">
        <x:v>Other sectors</x:v>
      </x:c>
      <x:c r="D637" s="31" t="n">
        <x:v>1</x:v>
      </x:c>
      <x:c r="E637" s="39" t="str">
        <x:v>XLC</x:v>
      </x:c>
      <x:c r="F637" s="39" t="n">
        <x:v>-0.1670936647</x:v>
      </x:c>
      <x:c r="G637" s="39" t="n">
        <x:v>-0.5219262308</x:v>
      </x:c>
      <x:c r="H637" s="44" t="b">
        <x:v>0</x:v>
      </x:c>
      <x:c r="I637" s="39" t="n">
        <x:v>0.0034802429</x:v>
      </x:c>
    </x:row>
    <x:row r="638" ht="19" customHeight="1">
      <x:c r="A638" s="30" t="str">
        <x:v>stagger_1</x:v>
      </x:c>
      <x:c r="B638" s="39" t="str">
        <x:v>BA</x:v>
      </x:c>
      <x:c r="C638" s="39" t="str">
        <x:v>Other sectors</x:v>
      </x:c>
      <x:c r="D638" s="31" t="n">
        <x:v>1</x:v>
      </x:c>
      <x:c r="E638" s="39" t="str">
        <x:v>XLE</x:v>
      </x:c>
      <x:c r="F638" s="39" t="n">
        <x:v>-0.3072857084</x:v>
      </x:c>
      <x:c r="G638" s="39" t="n">
        <x:v>-2.5208502187</x:v>
      </x:c>
      <x:c r="H638" s="44" t="b">
        <x:v>1</x:v>
      </x:c>
      <x:c r="I638" s="39" t="n">
        <x:v>0.0753329322</x:v>
      </x:c>
    </x:row>
    <x:row r="639" ht="19" customHeight="1">
      <x:c r="A639" s="30" t="str">
        <x:v>stagger_1</x:v>
      </x:c>
      <x:c r="B639" s="39" t="str">
        <x:v>BA</x:v>
      </x:c>
      <x:c r="C639" s="39" t="str">
        <x:v>Other sectors</x:v>
      </x:c>
      <x:c r="D639" s="31" t="n">
        <x:v>1</x:v>
      </x:c>
      <x:c r="E639" s="39" t="str">
        <x:v>XLF</x:v>
      </x:c>
      <x:c r="F639" s="39" t="n">
        <x:v>0.342843738</x:v>
      </x:c>
      <x:c r="G639" s="39" t="n">
        <x:v>1.1518450236</x:v>
      </x:c>
      <x:c r="H639" s="44" t="b">
        <x:v>0</x:v>
      </x:c>
      <x:c r="I639" s="39" t="n">
        <x:v>0.0167250897</x:v>
      </x:c>
    </x:row>
    <x:row r="640" ht="19" customHeight="1">
      <x:c r="A640" s="30" t="str">
        <x:v>stagger_1</x:v>
      </x:c>
      <x:c r="B640" s="39" t="str">
        <x:v>BA</x:v>
      </x:c>
      <x:c r="C640" s="39" t="str">
        <x:v>Other sectors</x:v>
      </x:c>
      <x:c r="D640" s="31" t="n">
        <x:v>1</x:v>
      </x:c>
      <x:c r="E640" s="39" t="str">
        <x:v>XLK</x:v>
      </x:c>
      <x:c r="F640" s="39" t="n">
        <x:v>0.2022837204</x:v>
      </x:c>
      <x:c r="G640" s="39" t="n">
        <x:v>0.7210526536</x:v>
      </x:c>
      <x:c r="H640" s="44" t="b">
        <x:v>0</x:v>
      </x:c>
      <x:c r="I640" s="39" t="n">
        <x:v>0.0066214656</x:v>
      </x:c>
    </x:row>
    <x:row r="641" ht="19" customHeight="1">
      <x:c r="A641" s="30" t="str">
        <x:v>stagger_1</x:v>
      </x:c>
      <x:c r="B641" s="39" t="str">
        <x:v>BA</x:v>
      </x:c>
      <x:c r="C641" s="39" t="str">
        <x:v>Other sectors</x:v>
      </x:c>
      <x:c r="D641" s="31" t="n">
        <x:v>1</x:v>
      </x:c>
      <x:c r="E641" s="39" t="str">
        <x:v>XLP</x:v>
      </x:c>
      <x:c r="F641" s="39" t="n">
        <x:v>-0.362391006</x:v>
      </x:c>
      <x:c r="G641" s="39" t="n">
        <x:v>-1.2843689739</x:v>
      </x:c>
      <x:c r="H641" s="44" t="b">
        <x:v>0</x:v>
      </x:c>
      <x:c r="I641" s="39" t="n">
        <x:v>0.0207107579</x:v>
      </x:c>
    </x:row>
    <x:row r="642" ht="19" customHeight="1">
      <x:c r="A642" s="30" t="str">
        <x:v>stagger_1</x:v>
      </x:c>
      <x:c r="B642" s="39" t="str">
        <x:v>BA</x:v>
      </x:c>
      <x:c r="C642" s="39" t="str">
        <x:v>Other sectors</x:v>
      </x:c>
      <x:c r="D642" s="31" t="n">
        <x:v>1</x:v>
      </x:c>
      <x:c r="E642" s="39" t="str">
        <x:v>XLRE</x:v>
      </x:c>
      <x:c r="F642" s="39" t="n">
        <x:v>-0.3774359905</x:v>
      </x:c>
      <x:c r="G642" s="39" t="n">
        <x:v>-1.4872844986</x:v>
      </x:c>
      <x:c r="H642" s="44" t="b">
        <x:v>0</x:v>
      </x:c>
      <x:c r="I642" s="39" t="n">
        <x:v>0.0275771052</x:v>
      </x:c>
    </x:row>
    <x:row r="643" ht="19" customHeight="1">
      <x:c r="A643" s="30" t="str">
        <x:v>stagger_1</x:v>
      </x:c>
      <x:c r="B643" s="39" t="str">
        <x:v>BA</x:v>
      </x:c>
      <x:c r="C643" s="39" t="str">
        <x:v>Other sectors</x:v>
      </x:c>
      <x:c r="D643" s="31" t="n">
        <x:v>1</x:v>
      </x:c>
      <x:c r="E643" s="39" t="str">
        <x:v>XLU</x:v>
      </x:c>
      <x:c r="F643" s="39" t="n">
        <x:v>-0.2933368014</x:v>
      </x:c>
      <x:c r="G643" s="39" t="n">
        <x:v>-1.3548634165</x:v>
      </x:c>
      <x:c r="H643" s="44" t="b">
        <x:v>0</x:v>
      </x:c>
      <x:c r="I643" s="39" t="n">
        <x:v>0.0229929206</x:v>
      </x:c>
    </x:row>
    <x:row r="644" ht="19" customHeight="1">
      <x:c r="A644" s="30" t="str">
        <x:v>stagger_1</x:v>
      </x:c>
      <x:c r="B644" s="39" t="str">
        <x:v>BA</x:v>
      </x:c>
      <x:c r="C644" s="39" t="str">
        <x:v>Other sectors</x:v>
      </x:c>
      <x:c r="D644" s="31" t="n">
        <x:v>1</x:v>
      </x:c>
      <x:c r="E644" s="39" t="str">
        <x:v>XLV</x:v>
      </x:c>
      <x:c r="F644" s="39" t="n">
        <x:v>-0.3793522307</x:v>
      </x:c>
      <x:c r="G644" s="39" t="n">
        <x:v>-1.4822626333</x:v>
      </x:c>
      <x:c r="H644" s="44" t="b">
        <x:v>0</x:v>
      </x:c>
      <x:c r="I644" s="39" t="n">
        <x:v>0.027396283</x:v>
      </x:c>
    </x:row>
    <x:row r="645" ht="19" customHeight="1">
      <x:c r="A645" s="30" t="str">
        <x:v>stagger_1</x:v>
      </x:c>
      <x:c r="B645" s="39" t="str">
        <x:v>BA</x:v>
      </x:c>
      <x:c r="C645" s="39" t="str">
        <x:v>Other sectors</x:v>
      </x:c>
      <x:c r="D645" s="31" t="n">
        <x:v>1</x:v>
      </x:c>
      <x:c r="E645" s="39" t="str">
        <x:v>XLY</x:v>
      </x:c>
      <x:c r="F645" s="39" t="n">
        <x:v>0.0435499339</x:v>
      </x:c>
      <x:c r="G645" s="39" t="n">
        <x:v>0.141124776</x:v>
      </x:c>
      <x:c r="H645" s="44" t="b">
        <x:v>0</x:v>
      </x:c>
      <x:c r="I645" s="39" t="n">
        <x:v>0.0002552707</x:v>
      </x:c>
    </x:row>
    <x:row r="646" ht="19" customHeight="1">
      <x:c r="A646" s="30" t="str">
        <x:v>stagger_1</x:v>
      </x:c>
      <x:c r="B646" s="39" t="str">
        <x:v>BA</x:v>
      </x:c>
      <x:c r="C646" s="39" t="str">
        <x:v>Other sectors</x:v>
      </x:c>
      <x:c r="D646" s="31" t="n">
        <x:v>2</x:v>
      </x:c>
      <x:c r="E646" s="39" t="str">
        <x:v>XLB</x:v>
      </x:c>
      <x:c r="F646" s="39" t="n">
        <x:v>-0.1049479363</x:v>
      </x:c>
      <x:c r="G646" s="39" t="n">
        <x:v>-0.4656632771</x:v>
      </x:c>
      <x:c r="H646" s="44" t="b">
        <x:v>0</x:v>
      </x:c>
      <x:c r="I646" s="39" t="n">
        <x:v>0.0027723222</x:v>
      </x:c>
    </x:row>
    <x:row r="647" ht="19" customHeight="1">
      <x:c r="A647" s="30" t="str">
        <x:v>stagger_1</x:v>
      </x:c>
      <x:c r="B647" s="39" t="str">
        <x:v>BA</x:v>
      </x:c>
      <x:c r="C647" s="39" t="str">
        <x:v>Other sectors</x:v>
      </x:c>
      <x:c r="D647" s="31" t="n">
        <x:v>2</x:v>
      </x:c>
      <x:c r="E647" s="39" t="str">
        <x:v>XLC</x:v>
      </x:c>
      <x:c r="F647" s="39" t="n">
        <x:v>-0.1149708869</x:v>
      </x:c>
      <x:c r="G647" s="39" t="n">
        <x:v>-0.3731423651</x:v>
      </x:c>
      <x:c r="H647" s="44" t="b">
        <x:v>0</x:v>
      </x:c>
      <x:c r="I647" s="39" t="n">
        <x:v>0.0017818862</x:v>
      </x:c>
    </x:row>
    <x:row r="648" ht="19" customHeight="1">
      <x:c r="A648" s="30" t="str">
        <x:v>stagger_1</x:v>
      </x:c>
      <x:c r="B648" s="39" t="str">
        <x:v>BA</x:v>
      </x:c>
      <x:c r="C648" s="39" t="str">
        <x:v>Other sectors</x:v>
      </x:c>
      <x:c r="D648" s="31" t="n">
        <x:v>2</x:v>
      </x:c>
      <x:c r="E648" s="39" t="str">
        <x:v>XLF</x:v>
      </x:c>
      <x:c r="F648" s="39" t="n">
        <x:v>0.5396662274</x:v>
      </x:c>
      <x:c r="G648" s="39" t="n">
        <x:v>1.9130420726</x:v>
      </x:c>
      <x:c r="H648" s="44" t="b">
        <x:v>0</x:v>
      </x:c>
      <x:c r="I648" s="39" t="n">
        <x:v>0.0448168268</x:v>
      </x:c>
    </x:row>
    <x:row r="649" ht="19" customHeight="1">
      <x:c r="A649" s="30" t="str">
        <x:v>stagger_1</x:v>
      </x:c>
      <x:c r="B649" s="39" t="str">
        <x:v>BA</x:v>
      </x:c>
      <x:c r="C649" s="39" t="str">
        <x:v>Other sectors</x:v>
      </x:c>
      <x:c r="D649" s="31" t="n">
        <x:v>2</x:v>
      </x:c>
      <x:c r="E649" s="39" t="str">
        <x:v>XLK</x:v>
      </x:c>
      <x:c r="F649" s="39" t="n">
        <x:v>-0.0660579256</x:v>
      </x:c>
      <x:c r="G649" s="39" t="n">
        <x:v>-0.2441527149</x:v>
      </x:c>
      <x:c r="H649" s="44" t="b">
        <x:v>0</x:v>
      </x:c>
      <x:c r="I649" s="39" t="n">
        <x:v>0.0007636542</x:v>
      </x:c>
    </x:row>
    <x:row r="650" ht="19" customHeight="1">
      <x:c r="A650" s="30" t="str">
        <x:v>stagger_1</x:v>
      </x:c>
      <x:c r="B650" s="39" t="str">
        <x:v>BA</x:v>
      </x:c>
      <x:c r="C650" s="39" t="str">
        <x:v>Other sectors</x:v>
      </x:c>
      <x:c r="D650" s="31" t="n">
        <x:v>2</x:v>
      </x:c>
      <x:c r="E650" s="39" t="str">
        <x:v>XLP</x:v>
      </x:c>
      <x:c r="F650" s="39" t="n">
        <x:v>-0.2723492658</x:v>
      </x:c>
      <x:c r="G650" s="39" t="n">
        <x:v>-0.999691383</x:v>
      </x:c>
      <x:c r="H650" s="44" t="b">
        <x:v>0</x:v>
      </x:c>
      <x:c r="I650" s="39" t="n">
        <x:v>0.0126505148</x:v>
      </x:c>
    </x:row>
    <x:row r="651" ht="19" customHeight="1">
      <x:c r="A651" s="30" t="str">
        <x:v>stagger_1</x:v>
      </x:c>
      <x:c r="B651" s="39" t="str">
        <x:v>BA</x:v>
      </x:c>
      <x:c r="C651" s="39" t="str">
        <x:v>Other sectors</x:v>
      </x:c>
      <x:c r="D651" s="31" t="n">
        <x:v>2</x:v>
      </x:c>
      <x:c r="E651" s="39" t="str">
        <x:v>XLRE</x:v>
      </x:c>
      <x:c r="F651" s="39" t="n">
        <x:v>-0.2898651632</x:v>
      </x:c>
      <x:c r="G651" s="39" t="n">
        <x:v>-1.181776354</x:v>
      </x:c>
      <x:c r="H651" s="44" t="b">
        <x:v>0</x:v>
      </x:c>
      <x:c r="I651" s="39" t="n">
        <x:v>0.0175901164</x:v>
      </x:c>
    </x:row>
    <x:row r="652" ht="19" customHeight="1">
      <x:c r="A652" s="30" t="str">
        <x:v>stagger_1</x:v>
      </x:c>
      <x:c r="B652" s="39" t="str">
        <x:v>BA</x:v>
      </x:c>
      <x:c r="C652" s="39" t="str">
        <x:v>Other sectors</x:v>
      </x:c>
      <x:c r="D652" s="31" t="n">
        <x:v>2</x:v>
      </x:c>
      <x:c r="E652" s="39" t="str">
        <x:v>XLU</x:v>
      </x:c>
      <x:c r="F652" s="39" t="n">
        <x:v>-0.2511191716</x:v>
      </x:c>
      <x:c r="G652" s="39" t="n">
        <x:v>-1.2032578716</x:v>
      </x:c>
      <x:c r="H652" s="44" t="b">
        <x:v>0</x:v>
      </x:c>
      <x:c r="I652" s="39" t="n">
        <x:v>0.0182236508</x:v>
      </x:c>
    </x:row>
    <x:row r="653" ht="19" customHeight="1">
      <x:c r="A653" s="30" t="str">
        <x:v>stagger_1</x:v>
      </x:c>
      <x:c r="B653" s="39" t="str">
        <x:v>BA</x:v>
      </x:c>
      <x:c r="C653" s="39" t="str">
        <x:v>Other sectors</x:v>
      </x:c>
      <x:c r="D653" s="31" t="n">
        <x:v>2</x:v>
      </x:c>
      <x:c r="E653" s="39" t="str">
        <x:v>XLV</x:v>
      </x:c>
      <x:c r="F653" s="39" t="n">
        <x:v>-0.273408867</x:v>
      </x:c>
      <x:c r="G653" s="39" t="n">
        <x:v>-1.1041760391</x:v>
      </x:c>
      <x:c r="H653" s="44" t="b">
        <x:v>0</x:v>
      </x:c>
      <x:c r="I653" s="39" t="n">
        <x:v>0.0153902672</x:v>
      </x:c>
    </x:row>
    <x:row r="654" ht="19" customHeight="1">
      <x:c r="A654" s="30" t="str">
        <x:v>stagger_1</x:v>
      </x:c>
      <x:c r="B654" s="39" t="str">
        <x:v>BA</x:v>
      </x:c>
      <x:c r="C654" s="39" t="str">
        <x:v>Other sectors</x:v>
      </x:c>
      <x:c r="D654" s="31" t="n">
        <x:v>2</x:v>
      </x:c>
      <x:c r="E654" s="39" t="str">
        <x:v>XLY</x:v>
      </x:c>
      <x:c r="F654" s="39" t="n">
        <x:v>-0.1372870277</x:v>
      </x:c>
      <x:c r="G654" s="39" t="n">
        <x:v>-0.4632268123</x:v>
      </x:c>
      <x:c r="H654" s="44" t="b">
        <x:v>0</x:v>
      </x:c>
      <x:c r="I654" s="39" t="n">
        <x:v>0.0027434665</x:v>
      </x:c>
    </x:row>
    <x:row r="655" ht="19" customHeight="1">
      <x:c r="A655" s="30" t="str">
        <x:v>stagger_1</x:v>
      </x:c>
      <x:c r="B655" s="39" t="str">
        <x:v>HII</x:v>
      </x:c>
      <x:c r="C655" s="39" t="str">
        <x:v>Other FX</x:v>
      </x:c>
      <x:c r="D655" s="31" t="n">
        <x:v>1</x:v>
      </x:c>
      <x:c r="E655" s="39" t="str">
        <x:v>AUD/USD</x:v>
      </x:c>
      <x:c r="F655" s="39" t="n">
        <x:v>1.7449135935</x:v>
      </x:c>
      <x:c r="G655" s="39" t="n">
        <x:v>3.9324677456</x:v>
      </x:c>
      <x:c r="H655" s="44" t="b">
        <x:v>1</x:v>
      </x:c>
      <x:c r="I655" s="39" t="n">
        <x:v>0.1654567802</x:v>
      </x:c>
    </x:row>
    <x:row r="656" ht="19" customHeight="1">
      <x:c r="A656" s="30" t="str">
        <x:v>stagger_1</x:v>
      </x:c>
      <x:c r="B656" s="39" t="str">
        <x:v>HII</x:v>
      </x:c>
      <x:c r="C656" s="39" t="str">
        <x:v>Other sectors</x:v>
      </x:c>
      <x:c r="D656" s="31" t="n">
        <x:v>1</x:v>
      </x:c>
      <x:c r="E656" s="39" t="str">
        <x:v>XLB</x:v>
      </x:c>
      <x:c r="F656" s="39" t="n">
        <x:v>0.0117588466</x:v>
      </x:c>
      <x:c r="G656" s="39" t="n">
        <x:v>0.0492742468</x:v>
      </x:c>
      <x:c r="H656" s="44" t="b">
        <x:v>0</x:v>
      </x:c>
      <x:c r="I656" s="39" t="n">
        <x:v>0.0000311266</x:v>
      </x:c>
    </x:row>
    <x:row r="657" ht="19" customHeight="1">
      <x:c r="A657" s="30" t="str">
        <x:v>stagger_1</x:v>
      </x:c>
      <x:c r="B657" s="39" t="str">
        <x:v>HII</x:v>
      </x:c>
      <x:c r="C657" s="39" t="str">
        <x:v>Other sectors</x:v>
      </x:c>
      <x:c r="D657" s="31" t="n">
        <x:v>1</x:v>
      </x:c>
      <x:c r="E657" s="39" t="str">
        <x:v>XLC</x:v>
      </x:c>
      <x:c r="F657" s="39" t="n">
        <x:v>0.1167457502</x:v>
      </x:c>
      <x:c r="G657" s="39" t="n">
        <x:v>0.3583033396</x:v>
      </x:c>
      <x:c r="H657" s="44" t="b">
        <x:v>0</x:v>
      </x:c>
      <x:c r="I657" s="39" t="n">
        <x:v>0.0016432093</x:v>
      </x:c>
    </x:row>
    <x:row r="658" ht="19" customHeight="1">
      <x:c r="A658" s="30" t="str">
        <x:v>stagger_1</x:v>
      </x:c>
      <x:c r="B658" s="39" t="str">
        <x:v>HII</x:v>
      </x:c>
      <x:c r="C658" s="39" t="str">
        <x:v>Other sectors</x:v>
      </x:c>
      <x:c r="D658" s="31" t="n">
        <x:v>1</x:v>
      </x:c>
      <x:c r="E658" s="39" t="str">
        <x:v>XLE</x:v>
      </x:c>
      <x:c r="F658" s="39" t="n">
        <x:v>0.0864369749</x:v>
      </x:c>
      <x:c r="G658" s="39" t="n">
        <x:v>0.6725321315</x:v>
      </x:c>
      <x:c r="H658" s="44" t="b">
        <x:v>0</x:v>
      </x:c>
      <x:c r="I658" s="39" t="n">
        <x:v>0.0057652799</x:v>
      </x:c>
    </x:row>
    <x:row r="659" ht="19" customHeight="1">
      <x:c r="A659" s="30" t="str">
        <x:v>stagger_1</x:v>
      </x:c>
      <x:c r="B659" s="39" t="str">
        <x:v>HII</x:v>
      </x:c>
      <x:c r="C659" s="39" t="str">
        <x:v>Other sectors</x:v>
      </x:c>
      <x:c r="D659" s="31" t="n">
        <x:v>1</x:v>
      </x:c>
      <x:c r="E659" s="39" t="str">
        <x:v>XLF</x:v>
      </x:c>
      <x:c r="F659" s="39" t="n">
        <x:v>-0.5411075907</x:v>
      </x:c>
      <x:c r="G659" s="39" t="n">
        <x:v>-1.8097179757</x:v>
      </x:c>
      <x:c r="H659" s="44" t="b">
        <x:v>0</x:v>
      </x:c>
      <x:c r="I659" s="39" t="n">
        <x:v>0.0402962284</x:v>
      </x:c>
    </x:row>
    <x:row r="660" ht="19" customHeight="1">
      <x:c r="A660" s="30" t="str">
        <x:v>stagger_1</x:v>
      </x:c>
      <x:c r="B660" s="39" t="str">
        <x:v>HII</x:v>
      </x:c>
      <x:c r="C660" s="39" t="str">
        <x:v>Other sectors</x:v>
      </x:c>
      <x:c r="D660" s="31" t="n">
        <x:v>1</x:v>
      </x:c>
      <x:c r="E660" s="39" t="str">
        <x:v>XLK</x:v>
      </x:c>
      <x:c r="F660" s="39" t="n">
        <x:v>-0.1319756571</x:v>
      </x:c>
      <x:c r="G660" s="39" t="n">
        <x:v>-0.4617539348</x:v>
      </x:c>
      <x:c r="H660" s="44" t="b">
        <x:v>0</x:v>
      </x:c>
      <x:c r="I660" s="39" t="n">
        <x:v>0.0027260955</x:v>
      </x:c>
    </x:row>
    <x:row r="661" ht="19" customHeight="1">
      <x:c r="A661" s="30" t="str">
        <x:v>stagger_1</x:v>
      </x:c>
      <x:c r="B661" s="39" t="str">
        <x:v>HII</x:v>
      </x:c>
      <x:c r="C661" s="39" t="str">
        <x:v>Other sectors</x:v>
      </x:c>
      <x:c r="D661" s="31" t="n">
        <x:v>1</x:v>
      </x:c>
      <x:c r="E661" s="39" t="str">
        <x:v>XLP</x:v>
      </x:c>
      <x:c r="F661" s="39" t="n">
        <x:v>-0.021007145</x:v>
      </x:c>
      <x:c r="G661" s="39" t="n">
        <x:v>-0.0724619647</x:v>
      </x:c>
      <x:c r="H661" s="44" t="b">
        <x:v>0</x:v>
      </x:c>
      <x:c r="I661" s="39" t="n">
        <x:v>0.0000673126</x:v>
      </x:c>
    </x:row>
    <x:row r="662" ht="19" customHeight="1">
      <x:c r="A662" s="30" t="str">
        <x:v>stagger_1</x:v>
      </x:c>
      <x:c r="B662" s="39" t="str">
        <x:v>HII</x:v>
      </x:c>
      <x:c r="C662" s="39" t="str">
        <x:v>Other sectors</x:v>
      </x:c>
      <x:c r="D662" s="31" t="n">
        <x:v>1</x:v>
      </x:c>
      <x:c r="E662" s="39" t="str">
        <x:v>XLRE</x:v>
      </x:c>
      <x:c r="F662" s="39" t="n">
        <x:v>-0.3602653613</x:v>
      </x:c>
      <x:c r="G662" s="39" t="n">
        <x:v>-1.3938098341</x:v>
      </x:c>
      <x:c r="H662" s="44" t="b">
        <x:v>0</x:v>
      </x:c>
      <x:c r="I662" s="39" t="n">
        <x:v>0.0243012271</x:v>
      </x:c>
    </x:row>
    <x:row r="663" ht="19" customHeight="1">
      <x:c r="A663" s="30" t="str">
        <x:v>stagger_1</x:v>
      </x:c>
      <x:c r="B663" s="39" t="str">
        <x:v>HII</x:v>
      </x:c>
      <x:c r="C663" s="39" t="str">
        <x:v>Other sectors</x:v>
      </x:c>
      <x:c r="D663" s="31" t="n">
        <x:v>1</x:v>
      </x:c>
      <x:c r="E663" s="39" t="str">
        <x:v>XLU</x:v>
      </x:c>
      <x:c r="F663" s="39" t="n">
        <x:v>-0.2022165584</x:v>
      </x:c>
      <x:c r="G663" s="39" t="n">
        <x:v>-0.9127718691</x:v>
      </x:c>
      <x:c r="H663" s="44" t="b">
        <x:v>0</x:v>
      </x:c>
      <x:c r="I663" s="39" t="n">
        <x:v>0.0105685547</x:v>
      </x:c>
    </x:row>
    <x:row r="664" ht="19" customHeight="1">
      <x:c r="A664" s="30" t="str">
        <x:v>stagger_1</x:v>
      </x:c>
      <x:c r="B664" s="39" t="str">
        <x:v>HII</x:v>
      </x:c>
      <x:c r="C664" s="39" t="str">
        <x:v>Other sectors</x:v>
      </x:c>
      <x:c r="D664" s="31" t="n">
        <x:v>1</x:v>
      </x:c>
      <x:c r="E664" s="39" t="str">
        <x:v>XLV</x:v>
      </x:c>
      <x:c r="F664" s="39" t="n">
        <x:v>0.3421111857</x:v>
      </x:c>
      <x:c r="G664" s="39" t="n">
        <x:v>1.3107177051</x:v>
      </x:c>
      <x:c r="H664" s="44" t="b">
        <x:v>0</x:v>
      </x:c>
      <x:c r="I664" s="39" t="n">
        <x:v>0.0215507328</x:v>
      </x:c>
    </x:row>
    <x:row r="665" ht="19" customHeight="1">
      <x:c r="A665" s="30" t="str">
        <x:v>stagger_1</x:v>
      </x:c>
      <x:c r="B665" s="39" t="str">
        <x:v>HII</x:v>
      </x:c>
      <x:c r="C665" s="39" t="str">
        <x:v>Other sectors</x:v>
      </x:c>
      <x:c r="D665" s="31" t="n">
        <x:v>1</x:v>
      </x:c>
      <x:c r="E665" s="39" t="str">
        <x:v>XLY</x:v>
      </x:c>
      <x:c r="F665" s="39" t="n">
        <x:v>-0.0951146122</x:v>
      </x:c>
      <x:c r="G665" s="39" t="n">
        <x:v>-0.3032662107</x:v>
      </x:c>
      <x:c r="H665" s="44" t="b">
        <x:v>0</x:v>
      </x:c>
      <x:c r="I665" s="39" t="n">
        <x:v>0.001177719</x:v>
      </x:c>
    </x:row>
    <x:row r="666" ht="19" customHeight="1">
      <x:c r="A666" s="30" t="str">
        <x:v>stagger_1</x:v>
      </x:c>
      <x:c r="B666" s="39" t="str">
        <x:v>AMD</x:v>
      </x:c>
      <x:c r="C666" s="39" t="str">
        <x:v>Other FX</x:v>
      </x:c>
      <x:c r="D666" s="31" t="n">
        <x:v>1</x:v>
      </x:c>
      <x:c r="E666" s="39" t="str">
        <x:v>AUD/USD</x:v>
      </x:c>
      <x:c r="F666" s="39" t="n">
        <x:v>1.7601711292</x:v>
      </x:c>
      <x:c r="G666" s="39" t="n">
        <x:v>2.0792624408</x:v>
      </x:c>
      <x:c r="H666" s="44" t="b">
        <x:v>1</x:v>
      </x:c>
      <x:c r="I666" s="39" t="n">
        <x:v>0.0525164881</x:v>
      </x:c>
    </x:row>
    <x:row r="667" ht="19" customHeight="1">
      <x:c r="A667" s="30" t="str">
        <x:v>stagger_1</x:v>
      </x:c>
      <x:c r="B667" s="39" t="str">
        <x:v>AMD</x:v>
      </x:c>
      <x:c r="C667" s="39" t="str">
        <x:v>Other sectors</x:v>
      </x:c>
      <x:c r="D667" s="31" t="n">
        <x:v>1</x:v>
      </x:c>
      <x:c r="E667" s="39" t="str">
        <x:v>XLB</x:v>
      </x:c>
      <x:c r="F667" s="39" t="n">
        <x:v>-0.4058030549</x:v>
      </x:c>
      <x:c r="G667" s="39" t="n">
        <x:v>-1.3548137197</x:v>
      </x:c>
      <x:c r="H667" s="44" t="b">
        <x:v>0</x:v>
      </x:c>
      <x:c r="I667" s="39" t="n">
        <x:v>0.0229912727</x:v>
      </x:c>
    </x:row>
    <x:row r="668" ht="19" customHeight="1">
      <x:c r="A668" s="30" t="str">
        <x:v>stagger_1</x:v>
      </x:c>
      <x:c r="B668" s="39" t="str">
        <x:v>AMD</x:v>
      </x:c>
      <x:c r="C668" s="39" t="str">
        <x:v>Other sectors</x:v>
      </x:c>
      <x:c r="D668" s="31" t="n">
        <x:v>1</x:v>
      </x:c>
      <x:c r="E668" s="39" t="str">
        <x:v>XLC</x:v>
      </x:c>
      <x:c r="F668" s="39" t="n">
        <x:v>-0.2830915361</x:v>
      </x:c>
      <x:c r="G668" s="39" t="n">
        <x:v>-0.6857244915</x:v>
      </x:c>
      <x:c r="H668" s="44" t="b">
        <x:v>0</x:v>
      </x:c>
      <x:c r="I668" s="39" t="n">
        <x:v>0.0059923126</x:v>
      </x:c>
    </x:row>
    <x:row r="669" ht="19" customHeight="1">
      <x:c r="A669" s="30" t="str">
        <x:v>stagger_1</x:v>
      </x:c>
      <x:c r="B669" s="39" t="str">
        <x:v>AMD</x:v>
      </x:c>
      <x:c r="C669" s="39" t="str">
        <x:v>Other sectors</x:v>
      </x:c>
      <x:c r="D669" s="31" t="n">
        <x:v>1</x:v>
      </x:c>
      <x:c r="E669" s="39" t="str">
        <x:v>XLE</x:v>
      </x:c>
      <x:c r="F669" s="39" t="n">
        <x:v>0.0565121479</x:v>
      </x:c>
      <x:c r="G669" s="39" t="n">
        <x:v>0.3455388478</x:v>
      </x:c>
      <x:c r="H669" s="44" t="b">
        <x:v>0</x:v>
      </x:c>
      <x:c r="I669" s="39" t="n">
        <x:v>0.0015283924</x:v>
      </x:c>
    </x:row>
    <x:row r="670" ht="19" customHeight="1">
      <x:c r="A670" s="30" t="str">
        <x:v>stagger_1</x:v>
      </x:c>
      <x:c r="B670" s="39" t="str">
        <x:v>AMD</x:v>
      </x:c>
      <x:c r="C670" s="39" t="str">
        <x:v>Other sectors</x:v>
      </x:c>
      <x:c r="D670" s="31" t="n">
        <x:v>1</x:v>
      </x:c>
      <x:c r="E670" s="39" t="str">
        <x:v>XLF</x:v>
      </x:c>
      <x:c r="F670" s="39" t="n">
        <x:v>0.2242951578</x:v>
      </x:c>
      <x:c r="G670" s="39" t="n">
        <x:v>0.5799829211</x:v>
      </x:c>
      <x:c r="H670" s="44" t="b">
        <x:v>0</x:v>
      </x:c>
      <x:c r="I670" s="39" t="n">
        <x:v>0.0042940482</x:v>
      </x:c>
    </x:row>
    <x:row r="671" ht="19" customHeight="1">
      <x:c r="A671" s="30" t="str">
        <x:v>stagger_1</x:v>
      </x:c>
      <x:c r="B671" s="39" t="str">
        <x:v>AMD</x:v>
      </x:c>
      <x:c r="C671" s="39" t="str">
        <x:v>Other sectors</x:v>
      </x:c>
      <x:c r="D671" s="31" t="n">
        <x:v>1</x:v>
      </x:c>
      <x:c r="E671" s="39" t="str">
        <x:v>XLI</x:v>
      </x:c>
      <x:c r="F671" s="39" t="n">
        <x:v>-0.374993851</x:v>
      </x:c>
      <x:c r="G671" s="39" t="n">
        <x:v>-0.9238082203</x:v>
      </x:c>
      <x:c r="H671" s="44" t="b">
        <x:v>0</x:v>
      </x:c>
      <x:c r="I671" s="39" t="n">
        <x:v>0.0108228864</x:v>
      </x:c>
    </x:row>
    <x:row r="672" ht="19" customHeight="1">
      <x:c r="A672" s="30" t="str">
        <x:v>stagger_1</x:v>
      </x:c>
      <x:c r="B672" s="39" t="str">
        <x:v>AMD</x:v>
      </x:c>
      <x:c r="C672" s="39" t="str">
        <x:v>Other sectors</x:v>
      </x:c>
      <x:c r="D672" s="31" t="n">
        <x:v>1</x:v>
      </x:c>
      <x:c r="E672" s="39" t="str">
        <x:v>XLP</x:v>
      </x:c>
      <x:c r="F672" s="39" t="n">
        <x:v>-0.5559017792</x:v>
      </x:c>
      <x:c r="G672" s="39" t="n">
        <x:v>-1.5326190727</x:v>
      </x:c>
      <x:c r="H672" s="44" t="b">
        <x:v>0</x:v>
      </x:c>
      <x:c r="I672" s="39" t="n">
        <x:v>0.0292340107</x:v>
      </x:c>
    </x:row>
    <x:row r="673" ht="19" customHeight="1">
      <x:c r="A673" s="30" t="str">
        <x:v>stagger_1</x:v>
      </x:c>
      <x:c r="B673" s="39" t="str">
        <x:v>AMD</x:v>
      </x:c>
      <x:c r="C673" s="39" t="str">
        <x:v>Other sectors</x:v>
      </x:c>
      <x:c r="D673" s="31" t="n">
        <x:v>1</x:v>
      </x:c>
      <x:c r="E673" s="39" t="str">
        <x:v>XLRE</x:v>
      </x:c>
      <x:c r="F673" s="39" t="n">
        <x:v>-0.1572678908</x:v>
      </x:c>
      <x:c r="G673" s="39" t="n">
        <x:v>-0.473989258</x:v>
      </x:c>
      <x:c r="H673" s="44" t="b">
        <x:v>0</x:v>
      </x:c>
      <x:c r="I673" s="39" t="n">
        <x:v>0.0028720585</x:v>
      </x:c>
    </x:row>
    <x:row r="674" ht="19" customHeight="1">
      <x:c r="A674" s="30" t="str">
        <x:v>stagger_1</x:v>
      </x:c>
      <x:c r="B674" s="39" t="str">
        <x:v>AMD</x:v>
      </x:c>
      <x:c r="C674" s="39" t="str">
        <x:v>Other sectors</x:v>
      </x:c>
      <x:c r="D674" s="31" t="n">
        <x:v>1</x:v>
      </x:c>
      <x:c r="E674" s="39" t="str">
        <x:v>XLU</x:v>
      </x:c>
      <x:c r="F674" s="39" t="n">
        <x:v>0.0633276518</x:v>
      </x:c>
      <x:c r="G674" s="39" t="n">
        <x:v>0.2239940023</x:v>
      </x:c>
      <x:c r="H674" s="44" t="b">
        <x:v>0</x:v>
      </x:c>
      <x:c r="I674" s="39" t="n">
        <x:v>0.0006428341</x:v>
      </x:c>
    </x:row>
    <x:row r="675" ht="19" customHeight="1">
      <x:c r="A675" s="30" t="str">
        <x:v>stagger_1</x:v>
      </x:c>
      <x:c r="B675" s="39" t="str">
        <x:v>AMD</x:v>
      </x:c>
      <x:c r="C675" s="39" t="str">
        <x:v>Other sectors</x:v>
      </x:c>
      <x:c r="D675" s="31" t="n">
        <x:v>1</x:v>
      </x:c>
      <x:c r="E675" s="39" t="str">
        <x:v>XLV</x:v>
      </x:c>
      <x:c r="F675" s="39" t="n">
        <x:v>0.2826245317</x:v>
      </x:c>
      <x:c r="G675" s="39" t="n">
        <x:v>0.8473751723</x:v>
      </x:c>
      <x:c r="H675" s="44" t="b">
        <x:v>0</x:v>
      </x:c>
      <x:c r="I675" s="39" t="n">
        <x:v>0.0091217291</x:v>
      </x:c>
    </x:row>
    <x:row r="676" ht="19" customHeight="1">
      <x:c r="A676" s="30" t="str">
        <x:v>stagger_1</x:v>
      </x:c>
      <x:c r="B676" s="39" t="str">
        <x:v>AMD</x:v>
      </x:c>
      <x:c r="C676" s="39" t="str">
        <x:v>Other sectors</x:v>
      </x:c>
      <x:c r="D676" s="31" t="n">
        <x:v>1</x:v>
      </x:c>
      <x:c r="E676" s="39" t="str">
        <x:v>XLY</x:v>
      </x:c>
      <x:c r="F676" s="39" t="n">
        <x:v>-0.5309438491</x:v>
      </x:c>
      <x:c r="G676" s="39" t="n">
        <x:v>-1.347826152</x:v>
      </x:c>
      <x:c r="H676" s="44" t="b">
        <x:v>0</x:v>
      </x:c>
      <x:c r="I676" s="39" t="n">
        <x:v>0.0227601092</x:v>
      </x:c>
    </x:row>
    <x:row r="677" ht="19" customHeight="1">
      <x:c r="A677" s="30" t="str">
        <x:v>stagger_1</x:v>
      </x:c>
      <x:c r="B677" s="39" t="str">
        <x:v>LLY</x:v>
      </x:c>
      <x:c r="C677" s="39" t="str">
        <x:v>Other FX</x:v>
      </x:c>
      <x:c r="D677" s="31" t="n">
        <x:v>1</x:v>
      </x:c>
      <x:c r="E677" s="39" t="str">
        <x:v>AUD/USD</x:v>
      </x:c>
      <x:c r="F677" s="39" t="n">
        <x:v>0.0431573643</x:v>
      </x:c>
      <x:c r="G677" s="39" t="n">
        <x:v>0.0935983372</x:v>
      </x:c>
      <x:c r="H677" s="44" t="b">
        <x:v>0</x:v>
      </x:c>
      <x:c r="I677" s="39" t="n">
        <x:v>0.0001123034</x:v>
      </x:c>
    </x:row>
    <x:row r="678" ht="19" customHeight="1">
      <x:c r="A678" s="30" t="str">
        <x:v>stagger_1</x:v>
      </x:c>
      <x:c r="B678" s="39" t="str">
        <x:v>LLY</x:v>
      </x:c>
      <x:c r="C678" s="39" t="str">
        <x:v>Other sectors</x:v>
      </x:c>
      <x:c r="D678" s="31" t="n">
        <x:v>1</x:v>
      </x:c>
      <x:c r="E678" s="39" t="str">
        <x:v>XLB</x:v>
      </x:c>
      <x:c r="F678" s="39" t="n">
        <x:v>-0.469794241</x:v>
      </x:c>
      <x:c r="G678" s="39" t="n">
        <x:v>-2.2538806803</x:v>
      </x:c>
      <x:c r="H678" s="44" t="b">
        <x:v>0</x:v>
      </x:c>
      <x:c r="I678" s="39" t="n">
        <x:v>0.0611456362</x:v>
      </x:c>
    </x:row>
    <x:row r="679" ht="19" customHeight="1">
      <x:c r="A679" s="30" t="str">
        <x:v>stagger_1</x:v>
      </x:c>
      <x:c r="B679" s="39" t="str">
        <x:v>LLY</x:v>
      </x:c>
      <x:c r="C679" s="39" t="str">
        <x:v>Other sectors</x:v>
      </x:c>
      <x:c r="D679" s="31" t="n">
        <x:v>1</x:v>
      </x:c>
      <x:c r="E679" s="39" t="str">
        <x:v>XLC</x:v>
      </x:c>
      <x:c r="F679" s="39" t="n">
        <x:v>-0.2255478548</x:v>
      </x:c>
      <x:c r="G679" s="39" t="n">
        <x:v>-0.7702123166</x:v>
      </x:c>
      <x:c r="H679" s="44" t="b">
        <x:v>0</x:v>
      </x:c>
      <x:c r="I679" s="39" t="n">
        <x:v>0.0075480679</x:v>
      </x:c>
    </x:row>
    <x:row r="680" ht="19" customHeight="1">
      <x:c r="A680" s="30" t="str">
        <x:v>stagger_1</x:v>
      </x:c>
      <x:c r="B680" s="39" t="str">
        <x:v>LLY</x:v>
      </x:c>
      <x:c r="C680" s="39" t="str">
        <x:v>Other sectors</x:v>
      </x:c>
      <x:c r="D680" s="31" t="n">
        <x:v>1</x:v>
      </x:c>
      <x:c r="E680" s="39" t="str">
        <x:v>XLE</x:v>
      </x:c>
      <x:c r="F680" s="39" t="n">
        <x:v>-0.1221178715</x:v>
      </x:c>
      <x:c r="G680" s="39" t="n">
        <x:v>-1.0585423708</x:v>
      </x:c>
      <x:c r="H680" s="44" t="b">
        <x:v>0</x:v>
      </x:c>
      <x:c r="I680" s="39" t="n">
        <x:v>0.0141620918</x:v>
      </x:c>
    </x:row>
    <x:row r="681" ht="19" customHeight="1">
      <x:c r="A681" s="30" t="str">
        <x:v>stagger_1</x:v>
      </x:c>
      <x:c r="B681" s="39" t="str">
        <x:v>LLY</x:v>
      </x:c>
      <x:c r="C681" s="39" t="str">
        <x:v>Other sectors</x:v>
      </x:c>
      <x:c r="D681" s="31" t="n">
        <x:v>1</x:v>
      </x:c>
      <x:c r="E681" s="39" t="str">
        <x:v>XLF</x:v>
      </x:c>
      <x:c r="F681" s="39" t="n">
        <x:v>-0.38763715</x:v>
      </x:c>
      <x:c r="G681" s="39" t="n">
        <x:v>-1.4272272894</x:v>
      </x:c>
      <x:c r="H681" s="44" t="b">
        <x:v>0</x:v>
      </x:c>
      <x:c r="I681" s="39" t="n">
        <x:v>0.0254504579</x:v>
      </x:c>
    </x:row>
    <x:row r="682" ht="19" customHeight="1">
      <x:c r="A682" s="30" t="str">
        <x:v>stagger_1</x:v>
      </x:c>
      <x:c r="B682" s="39" t="str">
        <x:v>LLY</x:v>
      </x:c>
      <x:c r="C682" s="39" t="str">
        <x:v>Other sectors</x:v>
      </x:c>
      <x:c r="D682" s="31" t="n">
        <x:v>1</x:v>
      </x:c>
      <x:c r="E682" s="39" t="str">
        <x:v>XLI</x:v>
      </x:c>
      <x:c r="F682" s="39" t="n">
        <x:v>-0.609403587</x:v>
      </x:c>
      <x:c r="G682" s="39" t="n">
        <x:v>-2.1656478491</x:v>
      </x:c>
      <x:c r="H682" s="44" t="b">
        <x:v>0</x:v>
      </x:c>
      <x:c r="I682" s="39" t="n">
        <x:v>0.056718211</x:v>
      </x:c>
    </x:row>
    <x:row r="683" ht="19" customHeight="1">
      <x:c r="A683" s="30" t="str">
        <x:v>stagger_1</x:v>
      </x:c>
      <x:c r="B683" s="39" t="str">
        <x:v>LLY</x:v>
      </x:c>
      <x:c r="C683" s="39" t="str">
        <x:v>Other sectors</x:v>
      </x:c>
      <x:c r="D683" s="31" t="n">
        <x:v>1</x:v>
      </x:c>
      <x:c r="E683" s="39" t="str">
        <x:v>XLK</x:v>
      </x:c>
      <x:c r="F683" s="39" t="n">
        <x:v>0.7570750371</x:v>
      </x:c>
      <x:c r="G683" s="39" t="n">
        <x:v>3.1112863618</x:v>
      </x:c>
      <x:c r="H683" s="44" t="b">
        <x:v>1</x:v>
      </x:c>
      <x:c r="I683" s="39" t="n">
        <x:v>0.1104025031</x:v>
      </x:c>
    </x:row>
    <x:row r="684" ht="19" customHeight="1">
      <x:c r="A684" s="30" t="str">
        <x:v>stagger_1</x:v>
      </x:c>
      <x:c r="B684" s="39" t="str">
        <x:v>LLY</x:v>
      </x:c>
      <x:c r="C684" s="39" t="str">
        <x:v>Other sectors</x:v>
      </x:c>
      <x:c r="D684" s="31" t="n">
        <x:v>1</x:v>
      </x:c>
      <x:c r="E684" s="39" t="str">
        <x:v>XLP</x:v>
      </x:c>
      <x:c r="F684" s="39" t="n">
        <x:v>-0.3405612102</x:v>
      </x:c>
      <x:c r="G684" s="39" t="n">
        <x:v>-1.3175813761</x:v>
      </x:c>
      <x:c r="H684" s="44" t="b">
        <x:v>0</x:v>
      </x:c>
      <x:c r="I684" s="39" t="n">
        <x:v>0.0217721008</x:v>
      </x:c>
    </x:row>
    <x:row r="685" ht="19" customHeight="1">
      <x:c r="A685" s="30" t="str">
        <x:v>stagger_1</x:v>
      </x:c>
      <x:c r="B685" s="39" t="str">
        <x:v>LLY</x:v>
      </x:c>
      <x:c r="C685" s="39" t="str">
        <x:v>Other sectors</x:v>
      </x:c>
      <x:c r="D685" s="31" t="n">
        <x:v>1</x:v>
      </x:c>
      <x:c r="E685" s="39" t="str">
        <x:v>XLRE</x:v>
      </x:c>
      <x:c r="F685" s="39" t="n">
        <x:v>-0.3502515147</x:v>
      </x:c>
      <x:c r="G685" s="39" t="n">
        <x:v>-1.5063276238</x:v>
      </x:c>
      <x:c r="H685" s="44" t="b">
        <x:v>0</x:v>
      </x:c>
      <x:c r="I685" s="39" t="n">
        <x:v>0.028267728</x:v>
      </x:c>
    </x:row>
    <x:row r="686" ht="19" customHeight="1">
      <x:c r="A686" s="30" t="str">
        <x:v>stagger_1</x:v>
      </x:c>
      <x:c r="B686" s="39" t="str">
        <x:v>LLY</x:v>
      </x:c>
      <x:c r="C686" s="39" t="str">
        <x:v>Other sectors</x:v>
      </x:c>
      <x:c r="D686" s="31" t="n">
        <x:v>1</x:v>
      </x:c>
      <x:c r="E686" s="39" t="str">
        <x:v>XLU</x:v>
      </x:c>
      <x:c r="F686" s="39" t="n">
        <x:v>-0.5147068865</x:v>
      </x:c>
      <x:c r="G686" s="39" t="n">
        <x:v>-2.6790906739</x:v>
      </x:c>
      <x:c r="H686" s="44" t="b">
        <x:v>0</x:v>
      </x:c>
      <x:c r="I686" s="39" t="n">
        <x:v>0.0842654994</x:v>
      </x:c>
    </x:row>
    <x:row r="687" ht="19" customHeight="1">
      <x:c r="A687" s="30" t="str">
        <x:v>stagger_1</x:v>
      </x:c>
      <x:c r="B687" s="39" t="str">
        <x:v>LLY</x:v>
      </x:c>
      <x:c r="C687" s="39" t="str">
        <x:v>Other sectors</x:v>
      </x:c>
      <x:c r="D687" s="31" t="n">
        <x:v>1</x:v>
      </x:c>
      <x:c r="E687" s="39" t="str">
        <x:v>XLY</x:v>
      </x:c>
      <x:c r="F687" s="39" t="n">
        <x:v>-0.6265000498</x:v>
      </x:c>
      <x:c r="G687" s="39" t="n">
        <x:v>-2.2878052877</x:v>
      </x:c>
      <x:c r="H687" s="44" t="b">
        <x:v>0</x:v>
      </x:c>
      <x:c r="I687" s="39" t="n">
        <x:v>0.0628835536</x:v>
      </x:c>
    </x:row>
    <x:row r="688" ht="19" customHeight="1">
      <x:c r="A688" s="30" t="str">
        <x:v>stagger_1</x:v>
      </x:c>
      <x:c r="B688" s="39" t="str">
        <x:v>LLY</x:v>
      </x:c>
      <x:c r="C688" s="39" t="str">
        <x:v>Other sectors</x:v>
      </x:c>
      <x:c r="D688" s="31" t="n">
        <x:v>2</x:v>
      </x:c>
      <x:c r="E688" s="39" t="str">
        <x:v>XLB</x:v>
      </x:c>
      <x:c r="F688" s="39" t="n">
        <x:v>-0.1652434418</x:v>
      </x:c>
      <x:c r="G688" s="39" t="n">
        <x:v>-0.8179075958</x:v>
      </x:c>
      <x:c r="H688" s="44" t="b">
        <x:v>0</x:v>
      </x:c>
      <x:c r="I688" s="39" t="n">
        <x:v>0.0085036427</x:v>
      </x:c>
    </x:row>
    <x:row r="689" ht="19" customHeight="1">
      <x:c r="A689" s="30" t="str">
        <x:v>stagger_1</x:v>
      </x:c>
      <x:c r="B689" s="39" t="str">
        <x:v>LLY</x:v>
      </x:c>
      <x:c r="C689" s="39" t="str">
        <x:v>Other sectors</x:v>
      </x:c>
      <x:c r="D689" s="31" t="n">
        <x:v>2</x:v>
      </x:c>
      <x:c r="E689" s="39" t="str">
        <x:v>XLC</x:v>
      </x:c>
      <x:c r="F689" s="39" t="n">
        <x:v>0.0962310389</x:v>
      </x:c>
      <x:c r="G689" s="39" t="n">
        <x:v>0.347360592</x:v>
      </x:c>
      <x:c r="H689" s="44" t="b">
        <x:v>0</x:v>
      </x:c>
      <x:c r="I689" s="39" t="n">
        <x:v>0.0015445259</x:v>
      </x:c>
    </x:row>
    <x:row r="690" ht="19" customHeight="1">
      <x:c r="A690" s="30" t="str">
        <x:v>stagger_1</x:v>
      </x:c>
      <x:c r="B690" s="39" t="str">
        <x:v>LLY</x:v>
      </x:c>
      <x:c r="C690" s="39" t="str">
        <x:v>Other sectors</x:v>
      </x:c>
      <x:c r="D690" s="31" t="n">
        <x:v>2</x:v>
      </x:c>
      <x:c r="E690" s="39" t="str">
        <x:v>XLE</x:v>
      </x:c>
      <x:c r="F690" s="39" t="n">
        <x:v>0.0119784173</x:v>
      </x:c>
      <x:c r="G690" s="39" t="n">
        <x:v>0.1093119657</x:v>
      </x:c>
      <x:c r="H690" s="44" t="b">
        <x:v>0</x:v>
      </x:c>
      <x:c r="I690" s="39" t="n">
        <x:v>0.0001531702</x:v>
      </x:c>
    </x:row>
    <x:row r="691" ht="19" customHeight="1">
      <x:c r="A691" s="30" t="str">
        <x:v>stagger_1</x:v>
      </x:c>
      <x:c r="B691" s="39" t="str">
        <x:v>LLY</x:v>
      </x:c>
      <x:c r="C691" s="39" t="str">
        <x:v>Other sectors</x:v>
      </x:c>
      <x:c r="D691" s="31" t="n">
        <x:v>2</x:v>
      </x:c>
      <x:c r="E691" s="39" t="str">
        <x:v>XLF</x:v>
      </x:c>
      <x:c r="F691" s="39" t="n">
        <x:v>0.0780404585</x:v>
      </x:c>
      <x:c r="G691" s="39" t="n">
        <x:v>0.3009155886</x:v>
      </x:c>
      <x:c r="H691" s="44" t="b">
        <x:v>0</x:v>
      </x:c>
      <x:c r="I691" s="39" t="n">
        <x:v>0.0011595538</x:v>
      </x:c>
    </x:row>
    <x:row r="692" ht="19" customHeight="1">
      <x:c r="A692" s="30" t="str">
        <x:v>stagger_1</x:v>
      </x:c>
      <x:c r="B692" s="39" t="str">
        <x:v>LLY</x:v>
      </x:c>
      <x:c r="C692" s="39" t="str">
        <x:v>Other sectors</x:v>
      </x:c>
      <x:c r="D692" s="31" t="n">
        <x:v>2</x:v>
      </x:c>
      <x:c r="E692" s="39" t="str">
        <x:v>XLI</x:v>
      </x:c>
      <x:c r="F692" s="39" t="n">
        <x:v>-0.303188166</x:v>
      </x:c>
      <x:c r="G692" s="39" t="n">
        <x:v>-1.1183383718</x:v>
      </x:c>
      <x:c r="H692" s="44" t="b">
        <x:v>0</x:v>
      </x:c>
      <x:c r="I692" s="39" t="n">
        <x:v>0.0157813246</x:v>
      </x:c>
    </x:row>
    <x:row r="693" ht="19" customHeight="1">
      <x:c r="A693" s="30" t="str">
        <x:v>stagger_1</x:v>
      </x:c>
      <x:c r="B693" s="39" t="str">
        <x:v>LLY</x:v>
      </x:c>
      <x:c r="C693" s="39" t="str">
        <x:v>Other sectors</x:v>
      </x:c>
      <x:c r="D693" s="31" t="n">
        <x:v>2</x:v>
      </x:c>
      <x:c r="E693" s="39" t="str">
        <x:v>XLP</x:v>
      </x:c>
      <x:c r="F693" s="39" t="n">
        <x:v>0.0416493397</x:v>
      </x:c>
      <x:c r="G693" s="39" t="n">
        <x:v>0.1690025019</x:v>
      </x:c>
      <x:c r="H693" s="44" t="b">
        <x:v>0</x:v>
      </x:c>
      <x:c r="I693" s="39" t="n">
        <x:v>0.0003660435</x:v>
      </x:c>
    </x:row>
    <x:row r="694" ht="19" customHeight="1">
      <x:c r="A694" s="30" t="str">
        <x:v>stagger_1</x:v>
      </x:c>
      <x:c r="B694" s="39" t="str">
        <x:v>LLY</x:v>
      </x:c>
      <x:c r="C694" s="39" t="str">
        <x:v>Other sectors</x:v>
      </x:c>
      <x:c r="D694" s="31" t="n">
        <x:v>2</x:v>
      </x:c>
      <x:c r="E694" s="39" t="str">
        <x:v>XLRE</x:v>
      </x:c>
      <x:c r="F694" s="39" t="n">
        <x:v>-0.0098993549</x:v>
      </x:c>
      <x:c r="G694" s="39" t="n">
        <x:v>-0.0444967571</x:v>
      </x:c>
      <x:c r="H694" s="44" t="b">
        <x:v>0</x:v>
      </x:c>
      <x:c r="I694" s="39" t="n">
        <x:v>0.0000253835</x:v>
      </x:c>
    </x:row>
    <x:row r="695" ht="19" customHeight="1">
      <x:c r="A695" s="30" t="str">
        <x:v>stagger_1</x:v>
      </x:c>
      <x:c r="B695" s="39" t="str">
        <x:v>LLY</x:v>
      </x:c>
      <x:c r="C695" s="39" t="str">
        <x:v>Other sectors</x:v>
      </x:c>
      <x:c r="D695" s="31" t="n">
        <x:v>2</x:v>
      </x:c>
      <x:c r="E695" s="39" t="str">
        <x:v>XLU</x:v>
      </x:c>
      <x:c r="F695" s="39" t="n">
        <x:v>-0.2927299897</x:v>
      </x:c>
      <x:c r="G695" s="39" t="n">
        <x:v>-1.5701452543</x:v>
      </x:c>
      <x:c r="H695" s="44" t="b">
        <x:v>0</x:v>
      </x:c>
      <x:c r="I695" s="39" t="n">
        <x:v>0.0306387275</x:v>
      </x:c>
    </x:row>
    <x:row r="696" ht="19" customHeight="1">
      <x:c r="A696" s="30" t="str">
        <x:v>stagger_1</x:v>
      </x:c>
      <x:c r="B696" s="39" t="str">
        <x:v>LLY</x:v>
      </x:c>
      <x:c r="C696" s="39" t="str">
        <x:v>Other sectors</x:v>
      </x:c>
      <x:c r="D696" s="31" t="n">
        <x:v>2</x:v>
      </x:c>
      <x:c r="E696" s="39" t="str">
        <x:v>XLY</x:v>
      </x:c>
      <x:c r="F696" s="39" t="n">
        <x:v>-0.4741271615</x:v>
      </x:c>
      <x:c r="G696" s="39" t="n">
        <x:v>-1.8141234531</x:v>
      </x:c>
      <x:c r="H696" s="44" t="b">
        <x:v>0</x:v>
      </x:c>
      <x:c r="I696" s="39" t="n">
        <x:v>0.0404847046</x:v>
      </x:c>
    </x:row>
    <x:row r="697" ht="19" customHeight="1">
      <x:c r="A697" s="30" t="str">
        <x:v>stagger_1</x:v>
      </x:c>
      <x:c r="B697" s="39" t="str">
        <x:v>WELL</x:v>
      </x:c>
      <x:c r="C697" s="39" t="str">
        <x:v>Other FX</x:v>
      </x:c>
      <x:c r="D697" s="31" t="n">
        <x:v>1</x:v>
      </x:c>
      <x:c r="E697" s="39" t="str">
        <x:v>AUD/USD</x:v>
      </x:c>
      <x:c r="F697" s="39" t="n">
        <x:v>1.2466373392</x:v>
      </x:c>
      <x:c r="G697" s="39" t="n">
        <x:v>3.602797225</x:v>
      </x:c>
      <x:c r="H697" s="44" t="b">
        <x:v>1</x:v>
      </x:c>
      <x:c r="I697" s="39" t="n">
        <x:v>0.1426701116</x:v>
      </x:c>
    </x:row>
    <x:row r="698" ht="19" customHeight="1">
      <x:c r="A698" s="30" t="str">
        <x:v>stagger_1</x:v>
      </x:c>
      <x:c r="B698" s="39" t="str">
        <x:v>WELL</x:v>
      </x:c>
      <x:c r="C698" s="39" t="str">
        <x:v>Other sectors</x:v>
      </x:c>
      <x:c r="D698" s="31" t="n">
        <x:v>1</x:v>
      </x:c>
      <x:c r="E698" s="39" t="str">
        <x:v>XLB</x:v>
      </x:c>
      <x:c r="F698" s="39" t="n">
        <x:v>-0.3848135838</x:v>
      </x:c>
      <x:c r="G698" s="39" t="n">
        <x:v>-2.3809404063</x:v>
      </x:c>
      <x:c r="H698" s="44" t="b">
        <x:v>1</x:v>
      </x:c>
      <x:c r="I698" s="39" t="n">
        <x:v>0.0677537145</x:v>
      </x:c>
    </x:row>
    <x:row r="699" ht="19" customHeight="1">
      <x:c r="A699" s="30" t="str">
        <x:v>stagger_1</x:v>
      </x:c>
      <x:c r="B699" s="39" t="str">
        <x:v>WELL</x:v>
      </x:c>
      <x:c r="C699" s="39" t="str">
        <x:v>Other sectors</x:v>
      </x:c>
      <x:c r="D699" s="31" t="n">
        <x:v>1</x:v>
      </x:c>
      <x:c r="E699" s="39" t="str">
        <x:v>XLC</x:v>
      </x:c>
      <x:c r="F699" s="39" t="n">
        <x:v>0.3514989935</x:v>
      </x:c>
      <x:c r="G699" s="39" t="n">
        <x:v>1.5605133082</x:v>
      </x:c>
      <x:c r="H699" s="44" t="b">
        <x:v>0</x:v>
      </x:c>
      <x:c r="I699" s="39" t="n">
        <x:v>0.0302753239</x:v>
      </x:c>
    </x:row>
    <x:row r="700" ht="19" customHeight="1">
      <x:c r="A700" s="30" t="str">
        <x:v>stagger_1</x:v>
      </x:c>
      <x:c r="B700" s="39" t="str">
        <x:v>WELL</x:v>
      </x:c>
      <x:c r="C700" s="39" t="str">
        <x:v>Other sectors</x:v>
      </x:c>
      <x:c r="D700" s="31" t="n">
        <x:v>1</x:v>
      </x:c>
      <x:c r="E700" s="39" t="str">
        <x:v>XLE</x:v>
      </x:c>
      <x:c r="F700" s="39" t="n">
        <x:v>0.1391894713</x:v>
      </x:c>
      <x:c r="G700" s="39" t="n">
        <x:v>1.5634344931</x:v>
      </x:c>
      <x:c r="H700" s="44" t="b">
        <x:v>0</x:v>
      </x:c>
      <x:c r="I700" s="39" t="n">
        <x:v>0.0303853297</x:v>
      </x:c>
    </x:row>
    <x:row r="701" ht="19" customHeight="1">
      <x:c r="A701" s="30" t="str">
        <x:v>stagger_1</x:v>
      </x:c>
      <x:c r="B701" s="39" t="str">
        <x:v>WELL</x:v>
      </x:c>
      <x:c r="C701" s="39" t="str">
        <x:v>Other sectors</x:v>
      </x:c>
      <x:c r="D701" s="31" t="n">
        <x:v>1</x:v>
      </x:c>
      <x:c r="E701" s="39" t="str">
        <x:v>XLF</x:v>
      </x:c>
      <x:c r="F701" s="39" t="n">
        <x:v>0.29492629</x:v>
      </x:c>
      <x:c r="G701" s="39" t="n">
        <x:v>1.394674903</x:v>
      </x:c>
      <x:c r="H701" s="44" t="b">
        <x:v>0</x:v>
      </x:c>
      <x:c r="I701" s="39" t="n">
        <x:v>0.0243306675</x:v>
      </x:c>
    </x:row>
    <x:row r="702" ht="19" customHeight="1">
      <x:c r="A702" s="30" t="str">
        <x:v>stagger_1</x:v>
      </x:c>
      <x:c r="B702" s="39" t="str">
        <x:v>WELL</x:v>
      </x:c>
      <x:c r="C702" s="39" t="str">
        <x:v>Other sectors</x:v>
      </x:c>
      <x:c r="D702" s="31" t="n">
        <x:v>1</x:v>
      </x:c>
      <x:c r="E702" s="39" t="str">
        <x:v>XLI</x:v>
      </x:c>
      <x:c r="F702" s="39" t="n">
        <x:v>-0.3071966783</x:v>
      </x:c>
      <x:c r="G702" s="39" t="n">
        <x:v>-1.3790893537</x:v>
      </x:c>
      <x:c r="H702" s="44" t="b">
        <x:v>0</x:v>
      </x:c>
      <x:c r="I702" s="39" t="n">
        <x:v>0.023802785</x:v>
      </x:c>
    </x:row>
    <x:row r="703" ht="19" customHeight="1">
      <x:c r="A703" s="30" t="str">
        <x:v>stagger_1</x:v>
      </x:c>
      <x:c r="B703" s="39" t="str">
        <x:v>WELL</x:v>
      </x:c>
      <x:c r="C703" s="39" t="str">
        <x:v>Other sectors</x:v>
      </x:c>
      <x:c r="D703" s="31" t="n">
        <x:v>1</x:v>
      </x:c>
      <x:c r="E703" s="39" t="str">
        <x:v>XLK</x:v>
      </x:c>
      <x:c r="F703" s="39" t="n">
        <x:v>-0.3573042187</x:v>
      </x:c>
      <x:c r="G703" s="39" t="n">
        <x:v>-1.8171051669</x:v>
      </x:c>
      <x:c r="H703" s="44" t="b">
        <x:v>0</x:v>
      </x:c>
      <x:c r="I703" s="39" t="n">
        <x:v>0.040612487</x:v>
      </x:c>
    </x:row>
    <x:row r="704" ht="19" customHeight="1">
      <x:c r="A704" s="30" t="str">
        <x:v>stagger_1</x:v>
      </x:c>
      <x:c r="B704" s="39" t="str">
        <x:v>WELL</x:v>
      </x:c>
      <x:c r="C704" s="39" t="str">
        <x:v>Other sectors</x:v>
      </x:c>
      <x:c r="D704" s="31" t="n">
        <x:v>1</x:v>
      </x:c>
      <x:c r="E704" s="39" t="str">
        <x:v>XLP</x:v>
      </x:c>
      <x:c r="F704" s="39" t="n">
        <x:v>-0.1227623978</x:v>
      </x:c>
      <x:c r="G704" s="39" t="n">
        <x:v>-0.6050979809</x:v>
      </x:c>
      <x:c r="H704" s="44" t="b">
        <x:v>0</x:v>
      </x:c>
      <x:c r="I704" s="39" t="n">
        <x:v>0.0046722162</x:v>
      </x:c>
    </x:row>
    <x:row r="705" ht="19" customHeight="1">
      <x:c r="A705" s="30" t="str">
        <x:v>stagger_1</x:v>
      </x:c>
      <x:c r="B705" s="39" t="str">
        <x:v>WELL</x:v>
      </x:c>
      <x:c r="C705" s="39" t="str">
        <x:v>Other sectors</x:v>
      </x:c>
      <x:c r="D705" s="31" t="n">
        <x:v>1</x:v>
      </x:c>
      <x:c r="E705" s="39" t="str">
        <x:v>XLU</x:v>
      </x:c>
      <x:c r="F705" s="39" t="n">
        <x:v>-0.0484864005</x:v>
      </x:c>
      <x:c r="G705" s="39" t="n">
        <x:v>-0.310557209</x:v>
      </x:c>
      <x:c r="H705" s="44" t="b">
        <x:v>0</x:v>
      </x:c>
      <x:c r="I705" s="39" t="n">
        <x:v>0.0012349574</x:v>
      </x:c>
    </x:row>
    <x:row r="706" ht="19" customHeight="1">
      <x:c r="A706" s="30" t="str">
        <x:v>stagger_1</x:v>
      </x:c>
      <x:c r="B706" s="39" t="str">
        <x:v>WELL</x:v>
      </x:c>
      <x:c r="C706" s="39" t="str">
        <x:v>Other sectors</x:v>
      </x:c>
      <x:c r="D706" s="31" t="n">
        <x:v>1</x:v>
      </x:c>
      <x:c r="E706" s="39" t="str">
        <x:v>XLV</x:v>
      </x:c>
      <x:c r="F706" s="39" t="n">
        <x:v>0.3062868335</x:v>
      </x:c>
      <x:c r="G706" s="39" t="n">
        <x:v>1.6846710718</x:v>
      </x:c>
      <x:c r="H706" s="44" t="b">
        <x:v>0</x:v>
      </x:c>
      <x:c r="I706" s="39" t="n">
        <x:v>0.0351086435</x:v>
      </x:c>
    </x:row>
    <x:row r="707" ht="19" customHeight="1">
      <x:c r="A707" s="30" t="str">
        <x:v>stagger_1</x:v>
      </x:c>
      <x:c r="B707" s="39" t="str">
        <x:v>WELL</x:v>
      </x:c>
      <x:c r="C707" s="39" t="str">
        <x:v>Other sectors</x:v>
      </x:c>
      <x:c r="D707" s="31" t="n">
        <x:v>1</x:v>
      </x:c>
      <x:c r="E707" s="39" t="str">
        <x:v>XLY</x:v>
      </x:c>
      <x:c r="F707" s="39" t="n">
        <x:v>-0.2233371035</x:v>
      </x:c>
      <x:c r="G707" s="39" t="n">
        <x:v>-1.0213665998</x:v>
      </x:c>
      <x:c r="H707" s="44" t="b">
        <x:v>0</x:v>
      </x:c>
      <x:c r="I707" s="39" t="n">
        <x:v>0.013197718</x:v>
      </x:c>
    </x:row>
    <x:row r="708" ht="19" customHeight="1">
      <x:c r="A708" s="30" t="str">
        <x:v>stagger_1</x:v>
      </x:c>
      <x:c r="B708" s="39" t="str">
        <x:v>WELL</x:v>
      </x:c>
      <x:c r="C708" s="39" t="str">
        <x:v>Other sectors</x:v>
      </x:c>
      <x:c r="D708" s="31" t="n">
        <x:v>2</x:v>
      </x:c>
      <x:c r="E708" s="39" t="str">
        <x:v>XLC</x:v>
      </x:c>
      <x:c r="F708" s="39" t="n">
        <x:v>0.3194040238</x:v>
      </x:c>
      <x:c r="G708" s="39" t="n">
        <x:v>1.4660377105</x:v>
      </x:c>
      <x:c r="H708" s="44" t="b">
        <x:v>0</x:v>
      </x:c>
      <x:c r="I708" s="39" t="n">
        <x:v>0.0268157983</x:v>
      </x:c>
    </x:row>
    <x:row r="709" ht="19" customHeight="1">
      <x:c r="A709" s="30" t="str">
        <x:v>stagger_1</x:v>
      </x:c>
      <x:c r="B709" s="39" t="str">
        <x:v>WELL</x:v>
      </x:c>
      <x:c r="C709" s="39" t="str">
        <x:v>Other sectors</x:v>
      </x:c>
      <x:c r="D709" s="31" t="n">
        <x:v>2</x:v>
      </x:c>
      <x:c r="E709" s="39" t="str">
        <x:v>XLE</x:v>
      </x:c>
      <x:c r="F709" s="39" t="n">
        <x:v>0.2052977175</x:v>
      </x:c>
      <x:c r="G709" s="39" t="n">
        <x:v>2.4398440935</x:v>
      </x:c>
      <x:c r="H709" s="44" t="b">
        <x:v>0</x:v>
      </x:c>
      <x:c r="I709" s="39" t="n">
        <x:v>0.0709069432</x:v>
      </x:c>
    </x:row>
    <x:row r="710" ht="19" customHeight="1">
      <x:c r="A710" s="30" t="str">
        <x:v>stagger_1</x:v>
      </x:c>
      <x:c r="B710" s="39" t="str">
        <x:v>WELL</x:v>
      </x:c>
      <x:c r="C710" s="39" t="str">
        <x:v>Other sectors</x:v>
      </x:c>
      <x:c r="D710" s="31" t="n">
        <x:v>2</x:v>
      </x:c>
      <x:c r="E710" s="39" t="str">
        <x:v>XLF</x:v>
      </x:c>
      <x:c r="F710" s="39" t="n">
        <x:v>0.4728810506</x:v>
      </x:c>
      <x:c r="G710" s="39" t="n">
        <x:v>2.3685309106</x:v>
      </x:c>
      <x:c r="H710" s="44" t="b">
        <x:v>0</x:v>
      </x:c>
      <x:c r="I710" s="39" t="n">
        <x:v>0.0670965529</x:v>
      </x:c>
    </x:row>
    <x:row r="711" ht="19" customHeight="1">
      <x:c r="A711" s="30" t="str">
        <x:v>stagger_1</x:v>
      </x:c>
      <x:c r="B711" s="39" t="str">
        <x:v>WELL</x:v>
      </x:c>
      <x:c r="C711" s="39" t="str">
        <x:v>Other sectors</x:v>
      </x:c>
      <x:c r="D711" s="31" t="n">
        <x:v>2</x:v>
      </x:c>
      <x:c r="E711" s="39" t="str">
        <x:v>XLI</x:v>
      </x:c>
      <x:c r="F711" s="39" t="n">
        <x:v>0.1021522084</x:v>
      </x:c>
      <x:c r="G711" s="39" t="n">
        <x:v>0.4699385194</x:v>
      </x:c>
      <x:c r="H711" s="44" t="b">
        <x:v>0</x:v>
      </x:c>
      <x:c r="I711" s="39" t="n">
        <x:v>0.0028233167</x:v>
      </x:c>
    </x:row>
    <x:row r="712" ht="19" customHeight="1">
      <x:c r="A712" s="30" t="str">
        <x:v>stagger_1</x:v>
      </x:c>
      <x:c r="B712" s="39" t="str">
        <x:v>WELL</x:v>
      </x:c>
      <x:c r="C712" s="39" t="str">
        <x:v>Other sectors</x:v>
      </x:c>
      <x:c r="D712" s="31" t="n">
        <x:v>2</x:v>
      </x:c>
      <x:c r="E712" s="39" t="str">
        <x:v>XLK</x:v>
      </x:c>
      <x:c r="F712" s="39" t="n">
        <x:v>-0.5799529552</x:v>
      </x:c>
      <x:c r="G712" s="39" t="n">
        <x:v>-3.1800866798</x:v>
      </x:c>
      <x:c r="H712" s="44" t="b">
        <x:v>1</x:v>
      </x:c>
      <x:c r="I712" s="39" t="n">
        <x:v>0.1147725861</x:v>
      </x:c>
    </x:row>
    <x:row r="713" ht="19" customHeight="1">
      <x:c r="A713" s="30" t="str">
        <x:v>stagger_1</x:v>
      </x:c>
      <x:c r="B713" s="39" t="str">
        <x:v>WELL</x:v>
      </x:c>
      <x:c r="C713" s="39" t="str">
        <x:v>Other sectors</x:v>
      </x:c>
      <x:c r="D713" s="31" t="n">
        <x:v>2</x:v>
      </x:c>
      <x:c r="E713" s="39" t="str">
        <x:v>XLP</x:v>
      </x:c>
      <x:c r="F713" s="39" t="n">
        <x:v>0.1011639592</x:v>
      </x:c>
      <x:c r="G713" s="39" t="n">
        <x:v>0.5161122788</x:v>
      </x:c>
      <x:c r="H713" s="44" t="b">
        <x:v>0</x:v>
      </x:c>
      <x:c r="I713" s="39" t="n">
        <x:v>0.0034034015</x:v>
      </x:c>
    </x:row>
    <x:row r="714" ht="19" customHeight="1">
      <x:c r="A714" s="30" t="str">
        <x:v>stagger_1</x:v>
      </x:c>
      <x:c r="B714" s="39" t="str">
        <x:v>WELL</x:v>
      </x:c>
      <x:c r="C714" s="39" t="str">
        <x:v>Other sectors</x:v>
      </x:c>
      <x:c r="D714" s="31" t="n">
        <x:v>2</x:v>
      </x:c>
      <x:c r="E714" s="39" t="str">
        <x:v>XLU</x:v>
      </x:c>
      <x:c r="F714" s="39" t="n">
        <x:v>0.0942550891</x:v>
      </x:c>
      <x:c r="G714" s="39" t="n">
        <x:v>0.6264444767</x:v>
      </x:c>
      <x:c r="H714" s="44" t="b">
        <x:v>0</x:v>
      </x:c>
      <x:c r="I714" s="39" t="n">
        <x:v>0.0050060021</x:v>
      </x:c>
    </x:row>
    <x:row r="715" ht="19" customHeight="1">
      <x:c r="A715" s="30" t="str">
        <x:v>stagger_1</x:v>
      </x:c>
      <x:c r="B715" s="39" t="str">
        <x:v>WELL</x:v>
      </x:c>
      <x:c r="C715" s="39" t="str">
        <x:v>Other sectors</x:v>
      </x:c>
      <x:c r="D715" s="31" t="n">
        <x:v>2</x:v>
      </x:c>
      <x:c r="E715" s="39" t="str">
        <x:v>XLV</x:v>
      </x:c>
      <x:c r="F715" s="39" t="n">
        <x:v>0.4243830586</x:v>
      </x:c>
      <x:c r="G715" s="39" t="n">
        <x:v>2.4655573212</x:v>
      </x:c>
      <x:c r="H715" s="44" t="b">
        <x:v>0</x:v>
      </x:c>
      <x:c r="I715" s="39" t="n">
        <x:v>0.0723007512</x:v>
      </x:c>
    </x:row>
    <x:row r="716" ht="19" customHeight="1">
      <x:c r="A716" s="30" t="str">
        <x:v>stagger_1</x:v>
      </x:c>
      <x:c r="B716" s="39" t="str">
        <x:v>WELL</x:v>
      </x:c>
      <x:c r="C716" s="39" t="str">
        <x:v>Other sectors</x:v>
      </x:c>
      <x:c r="D716" s="31" t="n">
        <x:v>2</x:v>
      </x:c>
      <x:c r="E716" s="39" t="str">
        <x:v>XLY</x:v>
      </x:c>
      <x:c r="F716" s="39" t="n">
        <x:v>-0.2596934213</x:v>
      </x:c>
      <x:c r="G716" s="39" t="n">
        <x:v>-1.2337529594</x:v>
      </x:c>
      <x:c r="H716" s="44" t="b">
        <x:v>0</x:v>
      </x:c>
      <x:c r="I716" s="39" t="n">
        <x:v>0.019141163</x:v>
      </x:c>
    </x:row>
    <x:row r="717" ht="19" customHeight="1">
      <x:c r="A717" s="30" t="str">
        <x:v>stagger_1</x:v>
      </x:c>
      <x:c r="B717" s="39" t="str">
        <x:v>WELL</x:v>
      </x:c>
      <x:c r="C717" s="39" t="str">
        <x:v>Other sectors</x:v>
      </x:c>
      <x:c r="D717" s="31" t="n">
        <x:v>3</x:v>
      </x:c>
      <x:c r="E717" s="39" t="str">
        <x:v>XLC</x:v>
      </x:c>
      <x:c r="F717" s="39" t="n">
        <x:v>0.0729071627</x:v>
      </x:c>
      <x:c r="G717" s="39" t="n">
        <x:v>0.3511462644</x:v>
      </x:c>
      <x:c r="H717" s="44" t="b">
        <x:v>0</x:v>
      </x:c>
      <x:c r="I717" s="39" t="n">
        <x:v>0.0015783216</x:v>
      </x:c>
    </x:row>
    <x:row r="718" ht="19" customHeight="1">
      <x:c r="A718" s="30" t="str">
        <x:v>stagger_1</x:v>
      </x:c>
      <x:c r="B718" s="39" t="str">
        <x:v>WELL</x:v>
      </x:c>
      <x:c r="C718" s="39" t="str">
        <x:v>Other sectors</x:v>
      </x:c>
      <x:c r="D718" s="31" t="n">
        <x:v>3</x:v>
      </x:c>
      <x:c r="E718" s="39" t="str">
        <x:v>XLE</x:v>
      </x:c>
      <x:c r="F718" s="39" t="n">
        <x:v>0.1025740308</x:v>
      </x:c>
      <x:c r="G718" s="39" t="n">
        <x:v>1.2615474956</x:v>
      </x:c>
      <x:c r="H718" s="44" t="b">
        <x:v>0</x:v>
      </x:c>
      <x:c r="I718" s="39" t="n">
        <x:v>0.0199958795</x:v>
      </x:c>
    </x:row>
    <x:row r="719" ht="19" customHeight="1">
      <x:c r="A719" s="30" t="str">
        <x:v>stagger_1</x:v>
      </x:c>
      <x:c r="B719" s="39" t="str">
        <x:v>WELL</x:v>
      </x:c>
      <x:c r="C719" s="39" t="str">
        <x:v>Other sectors</x:v>
      </x:c>
      <x:c r="D719" s="31" t="n">
        <x:v>3</x:v>
      </x:c>
      <x:c r="E719" s="39" t="str">
        <x:v>XLF</x:v>
      </x:c>
      <x:c r="F719" s="39" t="n">
        <x:v>0.1161514109</x:v>
      </x:c>
      <x:c r="G719" s="39" t="n">
        <x:v>0.5986015319</x:v>
      </x:c>
      <x:c r="H719" s="44" t="b">
        <x:v>0</x:v>
      </x:c>
      <x:c r="I719" s="39" t="n">
        <x:v>0.0045728874</x:v>
      </x:c>
    </x:row>
    <x:row r="720" ht="19" customHeight="1">
      <x:c r="A720" s="30" t="str">
        <x:v>stagger_1</x:v>
      </x:c>
      <x:c r="B720" s="39" t="str">
        <x:v>WELL</x:v>
      </x:c>
      <x:c r="C720" s="39" t="str">
        <x:v>Other sectors</x:v>
      </x:c>
      <x:c r="D720" s="31" t="n">
        <x:v>3</x:v>
      </x:c>
      <x:c r="E720" s="39" t="str">
        <x:v>XLI</x:v>
      </x:c>
      <x:c r="F720" s="39" t="n">
        <x:v>-0.1324223445</x:v>
      </x:c>
      <x:c r="G720" s="39" t="n">
        <x:v>-0.6483061443</x:v>
      </x:c>
      <x:c r="H720" s="44" t="b">
        <x:v>0</x:v>
      </x:c>
      <x:c r="I720" s="39" t="n">
        <x:v>0.0053595925</x:v>
      </x:c>
    </x:row>
    <x:row r="721" ht="19" customHeight="1">
      <x:c r="A721" s="30" t="str">
        <x:v>stagger_1</x:v>
      </x:c>
      <x:c r="B721" s="39" t="str">
        <x:v>WELL</x:v>
      </x:c>
      <x:c r="C721" s="39" t="str">
        <x:v>Other sectors</x:v>
      </x:c>
      <x:c r="D721" s="31" t="n">
        <x:v>3</x:v>
      </x:c>
      <x:c r="E721" s="39" t="str">
        <x:v>XLP</x:v>
      </x:c>
      <x:c r="F721" s="39" t="n">
        <x:v>-0.1916262228</x:v>
      </x:c>
      <x:c r="G721" s="39" t="n">
        <x:v>-1.0445324818</x:v>
      </x:c>
      <x:c r="H721" s="44" t="b">
        <x:v>0</x:v>
      </x:c>
      <x:c r="I721" s="39" t="n">
        <x:v>0.0137948369</x:v>
      </x:c>
    </x:row>
    <x:row r="722" ht="19" customHeight="1">
      <x:c r="A722" s="30" t="str">
        <x:v>stagger_1</x:v>
      </x:c>
      <x:c r="B722" s="39" t="str">
        <x:v>WELL</x:v>
      </x:c>
      <x:c r="C722" s="39" t="str">
        <x:v>Other sectors</x:v>
      </x:c>
      <x:c r="D722" s="31" t="n">
        <x:v>3</x:v>
      </x:c>
      <x:c r="E722" s="39" t="str">
        <x:v>XLU</x:v>
      </x:c>
      <x:c r="F722" s="39" t="n">
        <x:v>-0.0757890293</x:v>
      </x:c>
      <x:c r="G722" s="39" t="n">
        <x:v>-0.5350105295</x:v>
      </x:c>
      <x:c r="H722" s="44" t="b">
        <x:v>0</x:v>
      </x:c>
      <x:c r="I722" s="39" t="n">
        <x:v>0.0036562783</x:v>
      </x:c>
    </x:row>
    <x:row r="723" ht="19" customHeight="1">
      <x:c r="A723" s="30" t="str">
        <x:v>stagger_1</x:v>
      </x:c>
      <x:c r="B723" s="39" t="str">
        <x:v>WELL</x:v>
      </x:c>
      <x:c r="C723" s="39" t="str">
        <x:v>Other sectors</x:v>
      </x:c>
      <x:c r="D723" s="31" t="n">
        <x:v>3</x:v>
      </x:c>
      <x:c r="E723" s="39" t="str">
        <x:v>XLV</x:v>
      </x:c>
      <x:c r="F723" s="39" t="n">
        <x:v>0.1418519824</x:v>
      </x:c>
      <x:c r="G723" s="39" t="n">
        <x:v>0.8475381567</x:v>
      </x:c>
      <x:c r="H723" s="44" t="b">
        <x:v>0</x:v>
      </x:c>
      <x:c r="I723" s="39" t="n">
        <x:v>0.0091252064</x:v>
      </x:c>
    </x:row>
    <x:row r="724" ht="19" customHeight="1">
      <x:c r="A724" s="30" t="str">
        <x:v>stagger_1</x:v>
      </x:c>
      <x:c r="B724" s="39" t="str">
        <x:v>WELL</x:v>
      </x:c>
      <x:c r="C724" s="39" t="str">
        <x:v>Other sectors</x:v>
      </x:c>
      <x:c r="D724" s="31" t="n">
        <x:v>3</x:v>
      </x:c>
      <x:c r="E724" s="39" t="str">
        <x:v>XLY</x:v>
      </x:c>
      <x:c r="F724" s="39" t="n">
        <x:v>-0.3764177915</x:v>
      </x:c>
      <x:c r="G724" s="39" t="n">
        <x:v>-1.9266777378</x:v>
      </x:c>
      <x:c r="H724" s="44" t="b">
        <x:v>0</x:v>
      </x:c>
      <x:c r="I724" s="39" t="n">
        <x:v>0.0454288617</x:v>
      </x:c>
    </x:row>
    <x:row r="725" ht="19" customHeight="1">
      <x:c r="A725" s="30" t="str">
        <x:v>stagger_1</x:v>
      </x:c>
      <x:c r="B725" s="39" t="str">
        <x:v>NOK</x:v>
      </x:c>
      <x:c r="C725" s="39" t="str">
        <x:v>Other FX</x:v>
      </x:c>
      <x:c r="D725" s="31" t="n">
        <x:v>1</x:v>
      </x:c>
      <x:c r="E725" s="39" t="str">
        <x:v>AUD/USD</x:v>
      </x:c>
      <x:c r="F725" s="39" t="n">
        <x:v>0.8796845615</x:v>
      </x:c>
      <x:c r="G725" s="39" t="n">
        <x:v>1.3016476341</x:v>
      </x:c>
      <x:c r="H725" s="44" t="b">
        <x:v>0</x:v>
      </x:c>
      <x:c r="I725" s="39" t="n">
        <x:v>0.0212598247</x:v>
      </x:c>
    </x:row>
    <x:row r="726" ht="19" customHeight="1">
      <x:c r="A726" s="30" t="str">
        <x:v>stagger_1</x:v>
      </x:c>
      <x:c r="B726" s="39" t="str">
        <x:v>NOK</x:v>
      </x:c>
      <x:c r="C726" s="39" t="str">
        <x:v>Other sectors</x:v>
      </x:c>
      <x:c r="D726" s="31" t="n">
        <x:v>1</x:v>
      </x:c>
      <x:c r="E726" s="39" t="str">
        <x:v>XLB</x:v>
      </x:c>
      <x:c r="F726" s="39" t="n">
        <x:v>0.0429070934</x:v>
      </x:c>
      <x:c r="G726" s="39" t="n">
        <x:v>0.1257733981</x:v>
      </x:c>
      <x:c r="H726" s="44" t="b">
        <x:v>0</x:v>
      </x:c>
      <x:c r="I726" s="39" t="n">
        <x:v>0.0002027659</x:v>
      </x:c>
    </x:row>
    <x:row r="727" ht="19" customHeight="1">
      <x:c r="A727" s="30" t="str">
        <x:v>stagger_1</x:v>
      </x:c>
      <x:c r="B727" s="39" t="str">
        <x:v>NOK</x:v>
      </x:c>
      <x:c r="C727" s="39" t="str">
        <x:v>Other sectors</x:v>
      </x:c>
      <x:c r="D727" s="31" t="n">
        <x:v>1</x:v>
      </x:c>
      <x:c r="E727" s="39" t="str">
        <x:v>XLC</x:v>
      </x:c>
      <x:c r="F727" s="39" t="n">
        <x:v>-0.7426943414</x:v>
      </x:c>
      <x:c r="G727" s="39" t="n">
        <x:v>-1.6196178091</x:v>
      </x:c>
      <x:c r="H727" s="44" t="b">
        <x:v>0</x:v>
      </x:c>
      <x:c r="I727" s="39" t="n">
        <x:v>0.0325360825</x:v>
      </x:c>
    </x:row>
    <x:row r="728" ht="19" customHeight="1">
      <x:c r="A728" s="30" t="str">
        <x:v>stagger_1</x:v>
      </x:c>
      <x:c r="B728" s="39" t="str">
        <x:v>NOK</x:v>
      </x:c>
      <x:c r="C728" s="39" t="str">
        <x:v>Other sectors</x:v>
      </x:c>
      <x:c r="D728" s="31" t="n">
        <x:v>1</x:v>
      </x:c>
      <x:c r="E728" s="39" t="str">
        <x:v>XLE</x:v>
      </x:c>
      <x:c r="F728" s="39" t="n">
        <x:v>0.3927158483</x:v>
      </x:c>
      <x:c r="G728" s="39" t="n">
        <x:v>2.1959883676</x:v>
      </x:c>
      <x:c r="H728" s="44" t="b">
        <x:v>1</x:v>
      </x:c>
      <x:c r="I728" s="39" t="n">
        <x:v>0.058225395</x:v>
      </x:c>
    </x:row>
    <x:row r="729" ht="19" customHeight="1">
      <x:c r="A729" s="30" t="str">
        <x:v>stagger_1</x:v>
      </x:c>
      <x:c r="B729" s="39" t="str">
        <x:v>NOK</x:v>
      </x:c>
      <x:c r="C729" s="39" t="str">
        <x:v>Other sectors</x:v>
      </x:c>
      <x:c r="D729" s="31" t="n">
        <x:v>1</x:v>
      </x:c>
      <x:c r="E729" s="39" t="str">
        <x:v>XLF</x:v>
      </x:c>
      <x:c r="F729" s="39" t="n">
        <x:v>-0.4779435175</x:v>
      </x:c>
      <x:c r="G729" s="39" t="n">
        <x:v>-1.1038383985</x:v>
      </x:c>
      <x:c r="H729" s="44" t="b">
        <x:v>0</x:v>
      </x:c>
      <x:c r="I729" s="39" t="n">
        <x:v>0.0153810011</x:v>
      </x:c>
    </x:row>
    <x:row r="730" ht="19" customHeight="1">
      <x:c r="A730" s="30" t="str">
        <x:v>stagger_1</x:v>
      </x:c>
      <x:c r="B730" s="39" t="str">
        <x:v>NOK</x:v>
      </x:c>
      <x:c r="C730" s="39" t="str">
        <x:v>Other sectors</x:v>
      </x:c>
      <x:c r="D730" s="31" t="n">
        <x:v>1</x:v>
      </x:c>
      <x:c r="E730" s="39" t="str">
        <x:v>XLI</x:v>
      </x:c>
      <x:c r="F730" s="39" t="n">
        <x:v>0.1130781761</x:v>
      </x:c>
      <x:c r="G730" s="39" t="n">
        <x:v>0.2461752101</x:v>
      </x:c>
      <x:c r="H730" s="44" t="b">
        <x:v>0</x:v>
      </x:c>
      <x:c r="I730" s="39" t="n">
        <x:v>0.0007763485</x:v>
      </x:c>
    </x:row>
    <x:row r="731" ht="19" customHeight="1">
      <x:c r="A731" s="30" t="str">
        <x:v>stagger_1</x:v>
      </x:c>
      <x:c r="B731" s="39" t="str">
        <x:v>NOK</x:v>
      </x:c>
      <x:c r="C731" s="39" t="str">
        <x:v>Other sectors</x:v>
      </x:c>
      <x:c r="D731" s="31" t="n">
        <x:v>1</x:v>
      </x:c>
      <x:c r="E731" s="39" t="str">
        <x:v>XLP</x:v>
      </x:c>
      <x:c r="F731" s="39" t="n">
        <x:v>0.3631776628</x:v>
      </x:c>
      <x:c r="G731" s="39" t="n">
        <x:v>0.880567682</x:v>
      </x:c>
      <x:c r="H731" s="44" t="b">
        <x:v>0</x:v>
      </x:c>
      <x:c r="I731" s="39" t="n">
        <x:v>0.0098431674</x:v>
      </x:c>
    </x:row>
    <x:row r="732" ht="19" customHeight="1">
      <x:c r="A732" s="30" t="str">
        <x:v>stagger_1</x:v>
      </x:c>
      <x:c r="B732" s="39" t="str">
        <x:v>NOK</x:v>
      </x:c>
      <x:c r="C732" s="39" t="str">
        <x:v>Other sectors</x:v>
      </x:c>
      <x:c r="D732" s="31" t="n">
        <x:v>1</x:v>
      </x:c>
      <x:c r="E732" s="39" t="str">
        <x:v>XLRE</x:v>
      </x:c>
      <x:c r="F732" s="39" t="n">
        <x:v>0.4719271837</x:v>
      </x:c>
      <x:c r="G732" s="39" t="n">
        <x:v>1.2745504878</x:v>
      </x:c>
      <x:c r="H732" s="44" t="b">
        <x:v>0</x:v>
      </x:c>
      <x:c r="I732" s="39" t="n">
        <x:v>0.0204017529</x:v>
      </x:c>
    </x:row>
    <x:row r="733" ht="19" customHeight="1">
      <x:c r="A733" s="30" t="str">
        <x:v>stagger_1</x:v>
      </x:c>
      <x:c r="B733" s="39" t="str">
        <x:v>NOK</x:v>
      </x:c>
      <x:c r="C733" s="39" t="str">
        <x:v>Other sectors</x:v>
      </x:c>
      <x:c r="D733" s="31" t="n">
        <x:v>1</x:v>
      </x:c>
      <x:c r="E733" s="39" t="str">
        <x:v>XLU</x:v>
      </x:c>
      <x:c r="F733" s="39" t="n">
        <x:v>0.5930400268</x:v>
      </x:c>
      <x:c r="G733" s="39" t="n">
        <x:v>1.9053193886</x:v>
      </x:c>
      <x:c r="H733" s="44" t="b">
        <x:v>0</x:v>
      </x:c>
      <x:c r="I733" s="39" t="n">
        <x:v>0.0444717777</x:v>
      </x:c>
    </x:row>
    <x:row r="734" ht="19" customHeight="1">
      <x:c r="A734" s="30" t="str">
        <x:v>stagger_1</x:v>
      </x:c>
      <x:c r="B734" s="39" t="str">
        <x:v>NOK</x:v>
      </x:c>
      <x:c r="C734" s="39" t="str">
        <x:v>Other sectors</x:v>
      </x:c>
      <x:c r="D734" s="31" t="n">
        <x:v>1</x:v>
      </x:c>
      <x:c r="E734" s="39" t="str">
        <x:v>XLV</x:v>
      </x:c>
      <x:c r="F734" s="39" t="n">
        <x:v>0.2205605607</x:v>
      </x:c>
      <x:c r="G734" s="39" t="n">
        <x:v>0.5859489597</x:v>
      </x:c>
      <x:c r="H734" s="44" t="b">
        <x:v>0</x:v>
      </x:c>
      <x:c r="I734" s="39" t="n">
        <x:v>0.0043824555</x:v>
      </x:c>
    </x:row>
    <x:row r="735" ht="19" customHeight="1">
      <x:c r="A735" s="30" t="str">
        <x:v>stagger_1</x:v>
      </x:c>
      <x:c r="B735" s="39" t="str">
        <x:v>NOK</x:v>
      </x:c>
      <x:c r="C735" s="39" t="str">
        <x:v>Other sectors</x:v>
      </x:c>
      <x:c r="D735" s="31" t="n">
        <x:v>1</x:v>
      </x:c>
      <x:c r="E735" s="39" t="str">
        <x:v>XLY</x:v>
      </x:c>
      <x:c r="F735" s="39" t="n">
        <x:v>-0.7324136444</x:v>
      </x:c>
      <x:c r="G735" s="39" t="n">
        <x:v>-1.6610902622</x:v>
      </x:c>
      <x:c r="H735" s="44" t="b">
        <x:v>0</x:v>
      </x:c>
      <x:c r="I735" s="39" t="n">
        <x:v>0.0341660163</x:v>
      </x:c>
    </x:row>
    <x:row r="736" ht="19" customHeight="1">
      <x:c r="A736" s="30" t="str">
        <x:v>stagger_1</x:v>
      </x:c>
      <x:c r="B736" s="39" t="str">
        <x:v>NOK</x:v>
      </x:c>
      <x:c r="C736" s="39" t="str">
        <x:v>Other sectors</x:v>
      </x:c>
      <x:c r="D736" s="31" t="n">
        <x:v>2</x:v>
      </x:c>
      <x:c r="E736" s="39" t="str">
        <x:v>XLB</x:v>
      </x:c>
      <x:c r="F736" s="39" t="n">
        <x:v>-0.1883539767</x:v>
      </x:c>
      <x:c r="G736" s="39" t="n">
        <x:v>-0.5700589653</x:v>
      </x:c>
      <x:c r="H736" s="44" t="b">
        <x:v>0</x:v>
      </x:c>
      <x:c r="I736" s="39" t="n">
        <x:v>0.0041489609</x:v>
      </x:c>
    </x:row>
    <x:row r="737" ht="19" customHeight="1">
      <x:c r="A737" s="30" t="str">
        <x:v>stagger_1</x:v>
      </x:c>
      <x:c r="B737" s="39" t="str">
        <x:v>NOK</x:v>
      </x:c>
      <x:c r="C737" s="39" t="str">
        <x:v>Other sectors</x:v>
      </x:c>
      <x:c r="D737" s="31" t="n">
        <x:v>2</x:v>
      </x:c>
      <x:c r="E737" s="39" t="str">
        <x:v>XLC</x:v>
      </x:c>
      <x:c r="F737" s="39" t="n">
        <x:v>-0.8093080508</x:v>
      </x:c>
      <x:c r="G737" s="39" t="n">
        <x:v>-1.8266530193</x:v>
      </x:c>
      <x:c r="H737" s="44" t="b">
        <x:v>0</x:v>
      </x:c>
      <x:c r="I737" s="39" t="n">
        <x:v>0.0410228451</x:v>
      </x:c>
    </x:row>
    <x:row r="738" ht="19" customHeight="1">
      <x:c r="A738" s="30" t="str">
        <x:v>stagger_1</x:v>
      </x:c>
      <x:c r="B738" s="39" t="str">
        <x:v>NOK</x:v>
      </x:c>
      <x:c r="C738" s="39" t="str">
        <x:v>Other sectors</x:v>
      </x:c>
      <x:c r="D738" s="31" t="n">
        <x:v>2</x:v>
      </x:c>
      <x:c r="E738" s="39" t="str">
        <x:v>XLF</x:v>
      </x:c>
      <x:c r="F738" s="39" t="n">
        <x:v>-0.7294856777</x:v>
      </x:c>
      <x:c r="G738" s="39" t="n">
        <x:v>-1.7564238896</x:v>
      </x:c>
      <x:c r="H738" s="44" t="b">
        <x:v>0</x:v>
      </x:c>
      <x:c r="I738" s="39" t="n">
        <x:v>0.0380467896</x:v>
      </x:c>
    </x:row>
    <x:row r="739" ht="19" customHeight="1">
      <x:c r="A739" s="30" t="str">
        <x:v>stagger_1</x:v>
      </x:c>
      <x:c r="B739" s="39" t="str">
        <x:v>NOK</x:v>
      </x:c>
      <x:c r="C739" s="39" t="str">
        <x:v>Other sectors</x:v>
      </x:c>
      <x:c r="D739" s="31" t="n">
        <x:v>2</x:v>
      </x:c>
      <x:c r="E739" s="39" t="str">
        <x:v>XLI</x:v>
      </x:c>
      <x:c r="F739" s="39" t="n">
        <x:v>-0.0598854529</x:v>
      </x:c>
      <x:c r="G739" s="39" t="n">
        <x:v>-0.1343058522</x:v>
      </x:c>
      <x:c r="H739" s="44" t="b">
        <x:v>0</x:v>
      </x:c>
      <x:c r="I739" s="39" t="n">
        <x:v>0.0002312037</x:v>
      </x:c>
    </x:row>
    <x:row r="740" ht="19" customHeight="1">
      <x:c r="A740" s="30" t="str">
        <x:v>stagger_1</x:v>
      </x:c>
      <x:c r="B740" s="39" t="str">
        <x:v>NOK</x:v>
      </x:c>
      <x:c r="C740" s="39" t="str">
        <x:v>Other sectors</x:v>
      </x:c>
      <x:c r="D740" s="31" t="n">
        <x:v>2</x:v>
      </x:c>
      <x:c r="E740" s="39" t="str">
        <x:v>XLP</x:v>
      </x:c>
      <x:c r="F740" s="39" t="n">
        <x:v>0.2481029378</x:v>
      </x:c>
      <x:c r="G740" s="39" t="n">
        <x:v>0.6183235573</x:v>
      </x:c>
      <x:c r="H740" s="44" t="b">
        <x:v>0</x:v>
      </x:c>
      <x:c r="I740" s="39" t="n">
        <x:v>0.0048776816</x:v>
      </x:c>
    </x:row>
    <x:row r="741" ht="19" customHeight="1">
      <x:c r="A741" s="30" t="str">
        <x:v>stagger_1</x:v>
      </x:c>
      <x:c r="B741" s="39" t="str">
        <x:v>NOK</x:v>
      </x:c>
      <x:c r="C741" s="39" t="str">
        <x:v>Other sectors</x:v>
      </x:c>
      <x:c r="D741" s="31" t="n">
        <x:v>2</x:v>
      </x:c>
      <x:c r="E741" s="39" t="str">
        <x:v>XLRE</x:v>
      </x:c>
      <x:c r="F741" s="39" t="n">
        <x:v>0.3600103232</x:v>
      </x:c>
      <x:c r="G741" s="39" t="n">
        <x:v>0.9979353829</x:v>
      </x:c>
      <x:c r="H741" s="44" t="b">
        <x:v>0</x:v>
      </x:c>
      <x:c r="I741" s="39" t="n">
        <x:v>0.0126066713</x:v>
      </x:c>
    </x:row>
    <x:row r="742" ht="19" customHeight="1">
      <x:c r="A742" s="30" t="str">
        <x:v>stagger_1</x:v>
      </x:c>
      <x:c r="B742" s="39" t="str">
        <x:v>NOK</x:v>
      </x:c>
      <x:c r="C742" s="39" t="str">
        <x:v>Other sectors</x:v>
      </x:c>
      <x:c r="D742" s="31" t="n">
        <x:v>2</x:v>
      </x:c>
      <x:c r="E742" s="39" t="str">
        <x:v>XLU</x:v>
      </x:c>
      <x:c r="F742" s="39" t="n">
        <x:v>0.5390852484</x:v>
      </x:c>
      <x:c r="G742" s="39" t="n">
        <x:v>1.7796404438</x:v>
      </x:c>
      <x:c r="H742" s="44" t="b">
        <x:v>0</x:v>
      </x:c>
      <x:c r="I742" s="39" t="n">
        <x:v>0.0390197423</x:v>
      </x:c>
    </x:row>
    <x:row r="743" ht="19" customHeight="1">
      <x:c r="A743" s="30" t="str">
        <x:v>stagger_1</x:v>
      </x:c>
      <x:c r="B743" s="39" t="str">
        <x:v>NOK</x:v>
      </x:c>
      <x:c r="C743" s="39" t="str">
        <x:v>Other sectors</x:v>
      </x:c>
      <x:c r="D743" s="31" t="n">
        <x:v>2</x:v>
      </x:c>
      <x:c r="E743" s="39" t="str">
        <x:v>XLV</x:v>
      </x:c>
      <x:c r="F743" s="39" t="n">
        <x:v>0.085163317</x:v>
      </x:c>
      <x:c r="G743" s="39" t="n">
        <x:v>0.2327062168</x:v>
      </x:c>
      <x:c r="H743" s="44" t="b">
        <x:v>0</x:v>
      </x:c>
      <x:c r="I743" s="39" t="n">
        <x:v>0.0006937771</x:v>
      </x:c>
    </x:row>
    <x:row r="744" ht="19" customHeight="1">
      <x:c r="A744" s="30" t="str">
        <x:v>stagger_1</x:v>
      </x:c>
      <x:c r="B744" s="39" t="str">
        <x:v>NOK</x:v>
      </x:c>
      <x:c r="C744" s="39" t="str">
        <x:v>Other sectors</x:v>
      </x:c>
      <x:c r="D744" s="31" t="n">
        <x:v>2</x:v>
      </x:c>
      <x:c r="E744" s="39" t="str">
        <x:v>XLY</x:v>
      </x:c>
      <x:c r="F744" s="39" t="n">
        <x:v>-0.501301234</x:v>
      </x:c>
      <x:c r="G744" s="39" t="n">
        <x:v>-1.1612763026</x:v>
      </x:c>
      <x:c r="H744" s="44" t="b">
        <x:v>0</x:v>
      </x:c>
      <x:c r="I744" s="39" t="n">
        <x:v>0.0169954263</x:v>
      </x:c>
    </x:row>
    <x:row r="745" ht="19" customHeight="1">
      <x:c r="A745" s="30" t="str">
        <x:v>stagger_1</x:v>
      </x:c>
      <x:c r="B745" s="39" t="str">
        <x:v>MSFT</x:v>
      </x:c>
      <x:c r="C745" s="39" t="str">
        <x:v>Other FX</x:v>
      </x:c>
      <x:c r="D745" s="31" t="n">
        <x:v>1</x:v>
      </x:c>
      <x:c r="E745" s="39" t="str">
        <x:v>AUD/USD</x:v>
      </x:c>
      <x:c r="F745" s="39" t="n">
        <x:v>0.7583656751</x:v>
      </x:c>
      <x:c r="G745" s="39" t="n">
        <x:v>1.8431044851</x:v>
      </x:c>
      <x:c r="H745" s="44" t="b">
        <x:v>0</x:v>
      </x:c>
      <x:c r="I745" s="39" t="n">
        <x:v>0.0417341268</x:v>
      </x:c>
    </x:row>
    <x:row r="746" ht="19" customHeight="1">
      <x:c r="A746" s="30" t="str">
        <x:v>stagger_1</x:v>
      </x:c>
      <x:c r="B746" s="39" t="str">
        <x:v>MSFT</x:v>
      </x:c>
      <x:c r="C746" s="39" t="str">
        <x:v>Other sectors</x:v>
      </x:c>
      <x:c r="D746" s="31" t="n">
        <x:v>1</x:v>
      </x:c>
      <x:c r="E746" s="39" t="str">
        <x:v>XLB</x:v>
      </x:c>
      <x:c r="F746" s="39" t="n">
        <x:v>-0.3828858405</x:v>
      </x:c>
      <x:c r="G746" s="39" t="n">
        <x:v>-2.300761206</x:v>
      </x:c>
      <x:c r="H746" s="44" t="b">
        <x:v>0</x:v>
      </x:c>
      <x:c r="I746" s="39" t="n">
        <x:v>0.063552402</x:v>
      </x:c>
    </x:row>
    <x:row r="747" ht="19" customHeight="1">
      <x:c r="A747" s="30" t="str">
        <x:v>stagger_1</x:v>
      </x:c>
      <x:c r="B747" s="39" t="str">
        <x:v>MSFT</x:v>
      </x:c>
      <x:c r="C747" s="39" t="str">
        <x:v>Other sectors</x:v>
      </x:c>
      <x:c r="D747" s="31" t="n">
        <x:v>1</x:v>
      </x:c>
      <x:c r="E747" s="39" t="str">
        <x:v>XLC</x:v>
      </x:c>
      <x:c r="F747" s="39" t="n">
        <x:v>0.4584927469</x:v>
      </x:c>
      <x:c r="G747" s="39" t="n">
        <x:v>2.0005337448</x:v>
      </x:c>
      <x:c r="H747" s="44" t="b">
        <x:v>0</x:v>
      </x:c>
      <x:c r="I747" s="39" t="n">
        <x:v>0.0488052567</x:v>
      </x:c>
    </x:row>
    <x:row r="748" ht="19" customHeight="1">
      <x:c r="A748" s="30" t="str">
        <x:v>stagger_1</x:v>
      </x:c>
      <x:c r="B748" s="39" t="str">
        <x:v>MSFT</x:v>
      </x:c>
      <x:c r="C748" s="39" t="str">
        <x:v>Other sectors</x:v>
      </x:c>
      <x:c r="D748" s="31" t="n">
        <x:v>1</x:v>
      </x:c>
      <x:c r="E748" s="39" t="str">
        <x:v>XLE</x:v>
      </x:c>
      <x:c r="F748" s="39" t="n">
        <x:v>-0.0850149694</x:v>
      </x:c>
      <x:c r="G748" s="39" t="n">
        <x:v>-0.9202240563</x:v>
      </x:c>
      <x:c r="H748" s="44" t="b">
        <x:v>0</x:v>
      </x:c>
      <x:c r="I748" s="39" t="n">
        <x:v>0.0107399689</x:v>
      </x:c>
    </x:row>
    <x:row r="749" ht="19" customHeight="1">
      <x:c r="A749" s="30" t="str">
        <x:v>stagger_1</x:v>
      </x:c>
      <x:c r="B749" s="39" t="str">
        <x:v>MSFT</x:v>
      </x:c>
      <x:c r="C749" s="39" t="str">
        <x:v>Other sectors</x:v>
      </x:c>
      <x:c r="D749" s="31" t="n">
        <x:v>1</x:v>
      </x:c>
      <x:c r="E749" s="39" t="str">
        <x:v>XLF</x:v>
      </x:c>
      <x:c r="F749" s="39" t="n">
        <x:v>-0.1243189954</x:v>
      </x:c>
      <x:c r="G749" s="39" t="n">
        <x:v>-0.5663959029</x:v>
      </x:c>
      <x:c r="H749" s="44" t="b">
        <x:v>0</x:v>
      </x:c>
      <x:c r="I749" s="39" t="n">
        <x:v>0.0040960294</x:v>
      </x:c>
    </x:row>
    <x:row r="750" ht="19" customHeight="1">
      <x:c r="A750" s="30" t="str">
        <x:v>stagger_1</x:v>
      </x:c>
      <x:c r="B750" s="39" t="str">
        <x:v>MSFT</x:v>
      </x:c>
      <x:c r="C750" s="39" t="str">
        <x:v>Other sectors</x:v>
      </x:c>
      <x:c r="D750" s="31" t="n">
        <x:v>1</x:v>
      </x:c>
      <x:c r="E750" s="39" t="str">
        <x:v>XLI</x:v>
      </x:c>
      <x:c r="F750" s="39" t="n">
        <x:v>-0.5828445957</x:v>
      </x:c>
      <x:c r="G750" s="39" t="n">
        <x:v>-2.6252053875</x:v>
      </x:c>
      <x:c r="H750" s="44" t="b">
        <x:v>1</x:v>
      </x:c>
      <x:c r="I750" s="39" t="n">
        <x:v>0.0811822953</x:v>
      </x:c>
    </x:row>
    <x:row r="751" ht="19" customHeight="1">
      <x:c r="A751" s="30" t="str">
        <x:v>stagger_1</x:v>
      </x:c>
      <x:c r="B751" s="39" t="str">
        <x:v>MSFT</x:v>
      </x:c>
      <x:c r="C751" s="39" t="str">
        <x:v>Other sectors</x:v>
      </x:c>
      <x:c r="D751" s="31" t="n">
        <x:v>1</x:v>
      </x:c>
      <x:c r="E751" s="39" t="str">
        <x:v>XLP</x:v>
      </x:c>
      <x:c r="F751" s="39" t="n">
        <x:v>-0.1491418684</x:v>
      </x:c>
      <x:c r="G751" s="39" t="n">
        <x:v>-0.716220768</x:v>
      </x:c>
      <x:c r="H751" s="44" t="b">
        <x:v>0</x:v>
      </x:c>
      <x:c r="I751" s="39" t="n">
        <x:v>0.0065335979</x:v>
      </x:c>
    </x:row>
    <x:row r="752" ht="19" customHeight="1">
      <x:c r="A752" s="30" t="str">
        <x:v>stagger_1</x:v>
      </x:c>
      <x:c r="B752" s="39" t="str">
        <x:v>MSFT</x:v>
      </x:c>
      <x:c r="C752" s="39" t="str">
        <x:v>Other sectors</x:v>
      </x:c>
      <x:c r="D752" s="31" t="n">
        <x:v>1</x:v>
      </x:c>
      <x:c r="E752" s="39" t="str">
        <x:v>XLRE</x:v>
      </x:c>
      <x:c r="F752" s="39" t="n">
        <x:v>-0.2144164241</x:v>
      </x:c>
      <x:c r="G752" s="39" t="n">
        <x:v>-1.1466268323</x:v>
      </x:c>
      <x:c r="H752" s="44" t="b">
        <x:v>0</x:v>
      </x:c>
      <x:c r="I752" s="39" t="n">
        <x:v>0.0165764002</x:v>
      </x:c>
    </x:row>
    <x:row r="753" ht="19" customHeight="1">
      <x:c r="A753" s="30" t="str">
        <x:v>stagger_1</x:v>
      </x:c>
      <x:c r="B753" s="39" t="str">
        <x:v>MSFT</x:v>
      </x:c>
      <x:c r="C753" s="39" t="str">
        <x:v>Other sectors</x:v>
      </x:c>
      <x:c r="D753" s="31" t="n">
        <x:v>1</x:v>
      </x:c>
      <x:c r="E753" s="39" t="str">
        <x:v>XLU</x:v>
      </x:c>
      <x:c r="F753" s="39" t="n">
        <x:v>-0.1311279663</x:v>
      </x:c>
      <x:c r="G753" s="39" t="n">
        <x:v>-0.8205319335</x:v>
      </x:c>
      <x:c r="H753" s="44" t="b">
        <x:v>0</x:v>
      </x:c>
      <x:c r="I753" s="39" t="n">
        <x:v>0.008557832</x:v>
      </x:c>
    </x:row>
    <x:row r="754" ht="19" customHeight="1">
      <x:c r="A754" s="30" t="str">
        <x:v>stagger_1</x:v>
      </x:c>
      <x:c r="B754" s="39" t="str">
        <x:v>MSFT</x:v>
      </x:c>
      <x:c r="C754" s="39" t="str">
        <x:v>Other sectors</x:v>
      </x:c>
      <x:c r="D754" s="31" t="n">
        <x:v>1</x:v>
      </x:c>
      <x:c r="E754" s="39" t="str">
        <x:v>XLV</x:v>
      </x:c>
      <x:c r="F754" s="39" t="n">
        <x:v>-0.1060512286</x:v>
      </x:c>
      <x:c r="G754" s="39" t="n">
        <x:v>-0.5588431405</x:v>
      </x:c>
      <x:c r="H754" s="44" t="b">
        <x:v>0</x:v>
      </x:c>
      <x:c r="I754" s="39" t="n">
        <x:v>0.0039879512</x:v>
      </x:c>
    </x:row>
    <x:row r="755" ht="19" customHeight="1">
      <x:c r="A755" s="30" t="str">
        <x:v>stagger_1</x:v>
      </x:c>
      <x:c r="B755" s="39" t="str">
        <x:v>MSFT</x:v>
      </x:c>
      <x:c r="C755" s="39" t="str">
        <x:v>Other sectors</x:v>
      </x:c>
      <x:c r="D755" s="31" t="n">
        <x:v>1</x:v>
      </x:c>
      <x:c r="E755" s="39" t="str">
        <x:v>XLY</x:v>
      </x:c>
      <x:c r="F755" s="39" t="n">
        <x:v>0.1841610202</x:v>
      </x:c>
      <x:c r="G755" s="39" t="n">
        <x:v>0.8178397347</x:v>
      </x:c>
      <x:c r="H755" s="44" t="b">
        <x:v>0</x:v>
      </x:c>
      <x:c r="I755" s="39" t="n">
        <x:v>0.0085022437</x:v>
      </x:c>
    </x:row>
    <x:row r="756" ht="19" customHeight="1">
      <x:c r="A756" s="30" t="str">
        <x:v>stagger_1</x:v>
      </x:c>
      <x:c r="B756" s="39" t="str">
        <x:v>MSFT</x:v>
      </x:c>
      <x:c r="C756" s="39" t="str">
        <x:v>Other sectors</x:v>
      </x:c>
      <x:c r="D756" s="31" t="n">
        <x:v>2</x:v>
      </x:c>
      <x:c r="E756" s="39" t="str">
        <x:v>XLB</x:v>
      </x:c>
      <x:c r="F756" s="39" t="n">
        <x:v>-0.0410965785</x:v>
      </x:c>
      <x:c r="G756" s="39" t="n">
        <x:v>-0.2494066739</x:v>
      </x:c>
      <x:c r="H756" s="44" t="b">
        <x:v>0</x:v>
      </x:c>
      <x:c r="I756" s="39" t="n">
        <x:v>0.0007968477</x:v>
      </x:c>
    </x:row>
    <x:row r="757" ht="19" customHeight="1">
      <x:c r="A757" s="30" t="str">
        <x:v>stagger_1</x:v>
      </x:c>
      <x:c r="B757" s="39" t="str">
        <x:v>MSFT</x:v>
      </x:c>
      <x:c r="C757" s="39" t="str">
        <x:v>Other sectors</x:v>
      </x:c>
      <x:c r="D757" s="31" t="n">
        <x:v>2</x:v>
      </x:c>
      <x:c r="E757" s="39" t="str">
        <x:v>XLC</x:v>
      </x:c>
      <x:c r="F757" s="39" t="n">
        <x:v>0.3750415449</x:v>
      </x:c>
      <x:c r="G757" s="39" t="n">
        <x:v>1.6953953003</x:v>
      </x:c>
      <x:c r="H757" s="44" t="b">
        <x:v>0</x:v>
      </x:c>
      <x:c r="I757" s="39" t="n">
        <x:v>0.0355411164</x:v>
      </x:c>
    </x:row>
    <x:row r="758" ht="19" customHeight="1">
      <x:c r="A758" s="30" t="str">
        <x:v>stagger_1</x:v>
      </x:c>
      <x:c r="B758" s="39" t="str">
        <x:v>MSFT</x:v>
      </x:c>
      <x:c r="C758" s="39" t="str">
        <x:v>Other sectors</x:v>
      </x:c>
      <x:c r="D758" s="31" t="n">
        <x:v>2</x:v>
      </x:c>
      <x:c r="E758" s="39" t="str">
        <x:v>XLE</x:v>
      </x:c>
      <x:c r="F758" s="39" t="n">
        <x:v>-0.0437318321</x:v>
      </x:c>
      <x:c r="G758" s="39" t="n">
        <x:v>-0.491936537</x:v>
      </x:c>
      <x:c r="H758" s="44" t="b">
        <x:v>0</x:v>
      </x:c>
      <x:c r="I758" s="39" t="n">
        <x:v>0.0030929878</x:v>
      </x:c>
    </x:row>
    <x:row r="759" ht="19" customHeight="1">
      <x:c r="A759" s="30" t="str">
        <x:v>stagger_1</x:v>
      </x:c>
      <x:c r="B759" s="39" t="str">
        <x:v>MSFT</x:v>
      </x:c>
      <x:c r="C759" s="39" t="str">
        <x:v>Other sectors</x:v>
      </x:c>
      <x:c r="D759" s="31" t="n">
        <x:v>2</x:v>
      </x:c>
      <x:c r="E759" s="39" t="str">
        <x:v>XLF</x:v>
      </x:c>
      <x:c r="F759" s="39" t="n">
        <x:v>0.0547789199</x:v>
      </x:c>
      <x:c r="G759" s="39" t="n">
        <x:v>0.2599430202</x:v>
      </x:c>
      <x:c r="H759" s="44" t="b">
        <x:v>0</x:v>
      </x:c>
      <x:c r="I759" s="39" t="n">
        <x:v>0.000865537</x:v>
      </x:c>
    </x:row>
    <x:row r="760" ht="19" customHeight="1">
      <x:c r="A760" s="30" t="str">
        <x:v>stagger_1</x:v>
      </x:c>
      <x:c r="B760" s="39" t="str">
        <x:v>MSFT</x:v>
      </x:c>
      <x:c r="C760" s="39" t="str">
        <x:v>Other sectors</x:v>
      </x:c>
      <x:c r="D760" s="31" t="n">
        <x:v>2</x:v>
      </x:c>
      <x:c r="E760" s="39" t="str">
        <x:v>XLP</x:v>
      </x:c>
      <x:c r="F760" s="39" t="n">
        <x:v>0.0755400779</x:v>
      </x:c>
      <x:c r="G760" s="39" t="n">
        <x:v>0.3775575513</x:v>
      </x:c>
      <x:c r="H760" s="44" t="b">
        <x:v>0</x:v>
      </x:c>
      <x:c r="I760" s="39" t="n">
        <x:v>0.0018242264</x:v>
      </x:c>
    </x:row>
    <x:row r="761" ht="19" customHeight="1">
      <x:c r="A761" s="30" t="str">
        <x:v>stagger_1</x:v>
      </x:c>
      <x:c r="B761" s="39" t="str">
        <x:v>MSFT</x:v>
      </x:c>
      <x:c r="C761" s="39" t="str">
        <x:v>Other sectors</x:v>
      </x:c>
      <x:c r="D761" s="31" t="n">
        <x:v>2</x:v>
      </x:c>
      <x:c r="E761" s="39" t="str">
        <x:v>XLRE</x:v>
      </x:c>
      <x:c r="F761" s="39" t="n">
        <x:v>-0.0870088</x:v>
      </x:c>
      <x:c r="G761" s="39" t="n">
        <x:v>-0.4820908891</x:v>
      </x:c>
      <x:c r="H761" s="44" t="b">
        <x:v>0</x:v>
      </x:c>
      <x:c r="I761" s="39" t="n">
        <x:v>0.0029707844</x:v>
      </x:c>
    </x:row>
    <x:row r="762" ht="19" customHeight="1">
      <x:c r="A762" s="30" t="str">
        <x:v>stagger_1</x:v>
      </x:c>
      <x:c r="B762" s="39" t="str">
        <x:v>MSFT</x:v>
      </x:c>
      <x:c r="C762" s="39" t="str">
        <x:v>Other sectors</x:v>
      </x:c>
      <x:c r="D762" s="31" t="n">
        <x:v>2</x:v>
      </x:c>
      <x:c r="E762" s="39" t="str">
        <x:v>XLU</x:v>
      </x:c>
      <x:c r="F762" s="39" t="n">
        <x:v>0.0218813822</x:v>
      </x:c>
      <x:c r="G762" s="39" t="n">
        <x:v>0.1422493386</x:v>
      </x:c>
      <x:c r="H762" s="44" t="b">
        <x:v>0</x:v>
      </x:c>
      <x:c r="I762" s="39" t="n">
        <x:v>0.0002593542</x:v>
      </x:c>
    </x:row>
    <x:row r="763" ht="19" customHeight="1">
      <x:c r="A763" s="30" t="str">
        <x:v>stagger_1</x:v>
      </x:c>
      <x:c r="B763" s="39" t="str">
        <x:v>MSFT</x:v>
      </x:c>
      <x:c r="C763" s="39" t="str">
        <x:v>Other sectors</x:v>
      </x:c>
      <x:c r="D763" s="31" t="n">
        <x:v>2</x:v>
      </x:c>
      <x:c r="E763" s="39" t="str">
        <x:v>XLV</x:v>
      </x:c>
      <x:c r="F763" s="39" t="n">
        <x:v>-0.0305316261</x:v>
      </x:c>
      <x:c r="G763" s="39" t="n">
        <x:v>-0.1675405376</x:v>
      </x:c>
      <x:c r="H763" s="44" t="b">
        <x:v>0</x:v>
      </x:c>
      <x:c r="I763" s="39" t="n">
        <x:v>0.0003597402</x:v>
      </x:c>
    </x:row>
    <x:row r="764" ht="19" customHeight="1">
      <x:c r="A764" s="30" t="str">
        <x:v>stagger_1</x:v>
      </x:c>
      <x:c r="B764" s="39" t="str">
        <x:v>MSFT</x:v>
      </x:c>
      <x:c r="C764" s="39" t="str">
        <x:v>Other sectors</x:v>
      </x:c>
      <x:c r="D764" s="31" t="n">
        <x:v>2</x:v>
      </x:c>
      <x:c r="E764" s="39" t="str">
        <x:v>XLY</x:v>
      </x:c>
      <x:c r="F764" s="39" t="n">
        <x:v>0.1153148132</x:v>
      </x:c>
      <x:c r="G764" s="39" t="n">
        <x:v>0.5329372159</x:v>
      </x:c>
      <x:c r="H764" s="44" t="b">
        <x:v>0</x:v>
      </x:c>
      <x:c r="I764" s="39" t="n">
        <x:v>0.0036280976</x:v>
      </x:c>
    </x:row>
    <x:row r="765" ht="19" customHeight="1">
      <x:c r="A765" s="30" t="str">
        <x:v>stagger_1</x:v>
      </x:c>
      <x:c r="B765" s="39" t="str">
        <x:v>GOOGL</x:v>
      </x:c>
      <x:c r="C765" s="39" t="str">
        <x:v>Other FX</x:v>
      </x:c>
      <x:c r="D765" s="31" t="n">
        <x:v>1</x:v>
      </x:c>
      <x:c r="E765" s="39" t="str">
        <x:v>AUD/USD</x:v>
      </x:c>
      <x:c r="F765" s="39" t="n">
        <x:v>1.0817910482</x:v>
      </x:c>
      <x:c r="G765" s="39" t="n">
        <x:v>2.2919717556</x:v>
      </x:c>
      <x:c r="H765" s="44" t="b">
        <x:v>1</x:v>
      </x:c>
      <x:c r="I765" s="39" t="n">
        <x:v>0.0630983393</x:v>
      </x:c>
    </x:row>
    <x:row r="766" ht="19" customHeight="1">
      <x:c r="A766" s="30" t="str">
        <x:v>stagger_1</x:v>
      </x:c>
      <x:c r="B766" s="39" t="str">
        <x:v>GOOGL</x:v>
      </x:c>
      <x:c r="C766" s="39" t="str">
        <x:v>Other sectors</x:v>
      </x:c>
      <x:c r="D766" s="31" t="n">
        <x:v>1</x:v>
      </x:c>
      <x:c r="E766" s="39" t="str">
        <x:v>XLB</x:v>
      </x:c>
      <x:c r="F766" s="39" t="n">
        <x:v>-0.9690721817</x:v>
      </x:c>
      <x:c r="G766" s="39" t="n">
        <x:v>-4.9560596478</x:v>
      </x:c>
      <x:c r="H766" s="44" t="b">
        <x:v>1</x:v>
      </x:c>
      <x:c r="I766" s="39" t="n">
        <x:v>0.2394883189</x:v>
      </x:c>
    </x:row>
    <x:row r="767" ht="19" customHeight="1">
      <x:c r="A767" s="30" t="str">
        <x:v>stagger_1</x:v>
      </x:c>
      <x:c r="B767" s="39" t="str">
        <x:v>GOOGL</x:v>
      </x:c>
      <x:c r="C767" s="39" t="str">
        <x:v>Other sectors</x:v>
      </x:c>
      <x:c r="D767" s="31" t="n">
        <x:v>1</x:v>
      </x:c>
      <x:c r="E767" s="39" t="str">
        <x:v>XLE</x:v>
      </x:c>
      <x:c r="F767" s="39" t="n">
        <x:v>-0.2410380828</x:v>
      </x:c>
      <x:c r="G767" s="39" t="n">
        <x:v>-2.0428988234</x:v>
      </x:c>
      <x:c r="H767" s="44" t="b">
        <x:v>0</x:v>
      </x:c>
      <x:c r="I767" s="39" t="n">
        <x:v>0.0507881358</x:v>
      </x:c>
    </x:row>
    <x:row r="768" ht="19" customHeight="1">
      <x:c r="A768" s="30" t="str">
        <x:v>stagger_1</x:v>
      </x:c>
      <x:c r="B768" s="39" t="str">
        <x:v>GOOGL</x:v>
      </x:c>
      <x:c r="C768" s="39" t="str">
        <x:v>Other sectors</x:v>
      </x:c>
      <x:c r="D768" s="31" t="n">
        <x:v>1</x:v>
      </x:c>
      <x:c r="E768" s="39" t="str">
        <x:v>XLF</x:v>
      </x:c>
      <x:c r="F768" s="39" t="n">
        <x:v>-0.8573064429</x:v>
      </x:c>
      <x:c r="G768" s="39" t="n">
        <x:v>-3.177196542</x:v>
      </x:c>
      <x:c r="H768" s="44" t="b">
        <x:v>0</x:v>
      </x:c>
      <x:c r="I768" s="39" t="n">
        <x:v>0.1145879589</x:v>
      </x:c>
    </x:row>
    <x:row r="769" ht="19" customHeight="1">
      <x:c r="A769" s="30" t="str">
        <x:v>stagger_1</x:v>
      </x:c>
      <x:c r="B769" s="39" t="str">
        <x:v>GOOGL</x:v>
      </x:c>
      <x:c r="C769" s="39" t="str">
        <x:v>Other sectors</x:v>
      </x:c>
      <x:c r="D769" s="31" t="n">
        <x:v>1</x:v>
      </x:c>
      <x:c r="E769" s="39" t="str">
        <x:v>XLI</x:v>
      </x:c>
      <x:c r="F769" s="39" t="n">
        <x:v>-1.1325079989</x:v>
      </x:c>
      <x:c r="G769" s="39" t="n">
        <x:v>-4.1421966153</x:v>
      </x:c>
      <x:c r="H769" s="44" t="b">
        <x:v>0</x:v>
      </x:c>
      <x:c r="I769" s="39" t="n">
        <x:v>0.1803088564</x:v>
      </x:c>
    </x:row>
    <x:row r="770" ht="19" customHeight="1">
      <x:c r="A770" s="30" t="str">
        <x:v>stagger_1</x:v>
      </x:c>
      <x:c r="B770" s="39" t="str">
        <x:v>GOOGL</x:v>
      </x:c>
      <x:c r="C770" s="39" t="str">
        <x:v>Other sectors</x:v>
      </x:c>
      <x:c r="D770" s="31" t="n">
        <x:v>1</x:v>
      </x:c>
      <x:c r="E770" s="39" t="str">
        <x:v>XLK</x:v>
      </x:c>
      <x:c r="F770" s="39" t="n">
        <x:v>0.7481016844</x:v>
      </x:c>
      <x:c r="G770" s="39" t="n">
        <x:v>2.9313156013</x:v>
      </x:c>
      <x:c r="H770" s="44" t="b">
        <x:v>0</x:v>
      </x:c>
      <x:c r="I770" s="39" t="n">
        <x:v>0.0992303043</x:v>
      </x:c>
    </x:row>
    <x:row r="771" ht="19" customHeight="1">
      <x:c r="A771" s="30" t="str">
        <x:v>stagger_1</x:v>
      </x:c>
      <x:c r="B771" s="39" t="str">
        <x:v>GOOGL</x:v>
      </x:c>
      <x:c r="C771" s="39" t="str">
        <x:v>Other sectors</x:v>
      </x:c>
      <x:c r="D771" s="31" t="n">
        <x:v>1</x:v>
      </x:c>
      <x:c r="E771" s="39" t="str">
        <x:v>XLP</x:v>
      </x:c>
      <x:c r="F771" s="39" t="n">
        <x:v>-1.1240531552</x:v>
      </x:c>
      <x:c r="G771" s="39" t="n">
        <x:v>-4.6675322729</x:v>
      </x:c>
      <x:c r="H771" s="44" t="b">
        <x:v>0</x:v>
      </x:c>
      <x:c r="I771" s="39" t="n">
        <x:v>0.2183261041</x:v>
      </x:c>
    </x:row>
    <x:row r="772" ht="19" customHeight="1">
      <x:c r="A772" s="30" t="str">
        <x:v>stagger_1</x:v>
      </x:c>
      <x:c r="B772" s="39" t="str">
        <x:v>GOOGL</x:v>
      </x:c>
      <x:c r="C772" s="39" t="str">
        <x:v>Other sectors</x:v>
      </x:c>
      <x:c r="D772" s="31" t="n">
        <x:v>1</x:v>
      </x:c>
      <x:c r="E772" s="39" t="str">
        <x:v>XLRE</x:v>
      </x:c>
      <x:c r="F772" s="39" t="n">
        <x:v>-1.0144037099</x:v>
      </x:c>
      <x:c r="G772" s="39" t="n">
        <x:v>-4.666630751</x:v>
      </x:c>
      <x:c r="H772" s="44" t="b">
        <x:v>0</x:v>
      </x:c>
      <x:c r="I772" s="39" t="n">
        <x:v>0.2182601799</x:v>
      </x:c>
    </x:row>
    <x:row r="773" ht="19" customHeight="1">
      <x:c r="A773" s="30" t="str">
        <x:v>stagger_1</x:v>
      </x:c>
      <x:c r="B773" s="39" t="str">
        <x:v>GOOGL</x:v>
      </x:c>
      <x:c r="C773" s="39" t="str">
        <x:v>Other sectors</x:v>
      </x:c>
      <x:c r="D773" s="31" t="n">
        <x:v>1</x:v>
      </x:c>
      <x:c r="E773" s="39" t="str">
        <x:v>XLU</x:v>
      </x:c>
      <x:c r="F773" s="39" t="n">
        <x:v>-0.7174999675</x:v>
      </x:c>
      <x:c r="G773" s="39" t="n">
        <x:v>-3.7206759592</x:v>
      </x:c>
      <x:c r="H773" s="44" t="b">
        <x:v>0</x:v>
      </x:c>
      <x:c r="I773" s="39" t="n">
        <x:v>0.1507285786</x:v>
      </x:c>
    </x:row>
    <x:row r="774" ht="19" customHeight="1">
      <x:c r="A774" s="30" t="str">
        <x:v>stagger_1</x:v>
      </x:c>
      <x:c r="B774" s="39" t="str">
        <x:v>GOOGL</x:v>
      </x:c>
      <x:c r="C774" s="39" t="str">
        <x:v>Other sectors</x:v>
      </x:c>
      <x:c r="D774" s="31" t="n">
        <x:v>1</x:v>
      </x:c>
      <x:c r="E774" s="39" t="str">
        <x:v>XLV</x:v>
      </x:c>
      <x:c r="F774" s="39" t="n">
        <x:v>-0.5491460168</x:v>
      </x:c>
      <x:c r="G774" s="39" t="n">
        <x:v>-2.2881868853</x:v>
      </x:c>
      <x:c r="H774" s="44" t="b">
        <x:v>0</x:v>
      </x:c>
      <x:c r="I774" s="39" t="n">
        <x:v>0.0629032132</x:v>
      </x:c>
    </x:row>
    <x:row r="775" ht="19" customHeight="1">
      <x:c r="A775" s="30" t="str">
        <x:v>stagger_1</x:v>
      </x:c>
      <x:c r="B775" s="39" t="str">
        <x:v>GOOGL</x:v>
      </x:c>
      <x:c r="C775" s="39" t="str">
        <x:v>Other sectors</x:v>
      </x:c>
      <x:c r="D775" s="31" t="n">
        <x:v>1</x:v>
      </x:c>
      <x:c r="E775" s="39" t="str">
        <x:v>XLY</x:v>
      </x:c>
      <x:c r="F775" s="39" t="n">
        <x:v>0.3786245713</x:v>
      </x:c>
      <x:c r="G775" s="39" t="n">
        <x:v>1.2979397905</x:v>
      </x:c>
      <x:c r="H775" s="44" t="b">
        <x:v>0</x:v>
      </x:c>
      <x:c r="I775" s="39" t="n">
        <x:v>0.0211414337</x:v>
      </x:c>
    </x:row>
    <x:row r="776" ht="19" customHeight="1">
      <x:c r="A776" s="30" t="str">
        <x:v>stagger_1</x:v>
      </x:c>
      <x:c r="B776" s="39" t="str">
        <x:v>GOOGL</x:v>
      </x:c>
      <x:c r="C776" s="39" t="str">
        <x:v>Other sectors</x:v>
      </x:c>
      <x:c r="D776" s="31" t="n">
        <x:v>2</x:v>
      </x:c>
      <x:c r="E776" s="39" t="str">
        <x:v>XLE</x:v>
      </x:c>
      <x:c r="F776" s="39" t="n">
        <x:v>-0.0745583506</x:v>
      </x:c>
      <x:c r="G776" s="39" t="n">
        <x:v>-0.7082361147</x:v>
      </x:c>
      <x:c r="H776" s="44" t="b">
        <x:v>0</x:v>
      </x:c>
      <x:c r="I776" s="39" t="n">
        <x:v>0.0063896584</x:v>
      </x:c>
    </x:row>
    <x:row r="777" ht="19" customHeight="1">
      <x:c r="A777" s="30" t="str">
        <x:v>stagger_1</x:v>
      </x:c>
      <x:c r="B777" s="39" t="str">
        <x:v>GOOGL</x:v>
      </x:c>
      <x:c r="C777" s="39" t="str">
        <x:v>Other sectors</x:v>
      </x:c>
      <x:c r="D777" s="31" t="n">
        <x:v>2</x:v>
      </x:c>
      <x:c r="E777" s="39" t="str">
        <x:v>XLF</x:v>
      </x:c>
      <x:c r="F777" s="39" t="n">
        <x:v>-0.4091647573</x:v>
      </x:c>
      <x:c r="G777" s="39" t="n">
        <x:v>-1.6649819938</x:v>
      </x:c>
      <x:c r="H777" s="44" t="b">
        <x:v>0</x:v>
      </x:c>
      <x:c r="I777" s="39" t="n">
        <x:v>0.0343207965</x:v>
      </x:c>
    </x:row>
    <x:row r="778" ht="19" customHeight="1">
      <x:c r="A778" s="30" t="str">
        <x:v>stagger_1</x:v>
      </x:c>
      <x:c r="B778" s="39" t="str">
        <x:v>GOOGL</x:v>
      </x:c>
      <x:c r="C778" s="39" t="str">
        <x:v>Other sectors</x:v>
      </x:c>
      <x:c r="D778" s="31" t="n">
        <x:v>2</x:v>
      </x:c>
      <x:c r="E778" s="39" t="str">
        <x:v>XLI</x:v>
      </x:c>
      <x:c r="F778" s="39" t="n">
        <x:v>-0.1016488103</x:v>
      </x:c>
      <x:c r="G778" s="39" t="n">
        <x:v>-0.3863483448</x:v>
      </x:c>
      <x:c r="H778" s="44" t="b">
        <x:v>0</x:v>
      </x:c>
      <x:c r="I778" s="39" t="n">
        <x:v>0.0019099993</x:v>
      </x:c>
    </x:row>
    <x:row r="779" ht="19" customHeight="1">
      <x:c r="A779" s="30" t="str">
        <x:v>stagger_1</x:v>
      </x:c>
      <x:c r="B779" s="39" t="str">
        <x:v>GOOGL</x:v>
      </x:c>
      <x:c r="C779" s="39" t="str">
        <x:v>Other sectors</x:v>
      </x:c>
      <x:c r="D779" s="31" t="n">
        <x:v>2</x:v>
      </x:c>
      <x:c r="E779" s="39" t="str">
        <x:v>XLK</x:v>
      </x:c>
      <x:c r="F779" s="39" t="n">
        <x:v>0.1874076082</x:v>
      </x:c>
      <x:c r="G779" s="39" t="n">
        <x:v>0.8024694013</x:v>
      </x:c>
      <x:c r="H779" s="44" t="b">
        <x:v>0</x:v>
      </x:c>
      <x:c r="I779" s="39" t="n">
        <x:v>0.0081882596</x:v>
      </x:c>
    </x:row>
    <x:row r="780" ht="19" customHeight="1">
      <x:c r="A780" s="30" t="str">
        <x:v>stagger_1</x:v>
      </x:c>
      <x:c r="B780" s="39" t="str">
        <x:v>GOOGL</x:v>
      </x:c>
      <x:c r="C780" s="39" t="str">
        <x:v>Other sectors</x:v>
      </x:c>
      <x:c r="D780" s="31" t="n">
        <x:v>2</x:v>
      </x:c>
      <x:c r="E780" s="39" t="str">
        <x:v>XLP</x:v>
      </x:c>
      <x:c r="F780" s="39" t="n">
        <x:v>-0.5601416601</x:v>
      </x:c>
      <x:c r="G780" s="39" t="n">
        <x:v>-2.4469094215</x:v>
      </x:c>
      <x:c r="H780" s="44" t="b">
        <x:v>0</x:v>
      </x:c>
      <x:c r="I780" s="39" t="n">
        <x:v>0.0712888857</x:v>
      </x:c>
    </x:row>
    <x:row r="781" ht="19" customHeight="1">
      <x:c r="A781" s="30" t="str">
        <x:v>stagger_1</x:v>
      </x:c>
      <x:c r="B781" s="39" t="str">
        <x:v>GOOGL</x:v>
      </x:c>
      <x:c r="C781" s="39" t="str">
        <x:v>Other sectors</x:v>
      </x:c>
      <x:c r="D781" s="31" t="n">
        <x:v>2</x:v>
      </x:c>
      <x:c r="E781" s="39" t="str">
        <x:v>XLRE</x:v>
      </x:c>
      <x:c r="F781" s="39" t="n">
        <x:v>-0.5916014975</x:v>
      </x:c>
      <x:c r="G781" s="39" t="n">
        <x:v>-2.9047149147</x:v>
      </x:c>
      <x:c r="H781" s="44" t="b">
        <x:v>1</x:v>
      </x:c>
      <x:c r="I781" s="39" t="n">
        <x:v>0.0976125125</x:v>
      </x:c>
    </x:row>
    <x:row r="782" ht="19" customHeight="1">
      <x:c r="A782" s="30" t="str">
        <x:v>stagger_1</x:v>
      </x:c>
      <x:c r="B782" s="39" t="str">
        <x:v>GOOGL</x:v>
      </x:c>
      <x:c r="C782" s="39" t="str">
        <x:v>Other sectors</x:v>
      </x:c>
      <x:c r="D782" s="31" t="n">
        <x:v>2</x:v>
      </x:c>
      <x:c r="E782" s="39" t="str">
        <x:v>XLU</x:v>
      </x:c>
      <x:c r="F782" s="39" t="n">
        <x:v>-0.3580355083</x:v>
      </x:c>
      <x:c r="G782" s="39" t="n">
        <x:v>-2.0122703677</x:v>
      </x:c>
      <x:c r="H782" s="44" t="b">
        <x:v>0</x:v>
      </x:c>
      <x:c r="I782" s="39" t="n">
        <x:v>0.0493512484</x:v>
      </x:c>
    </x:row>
    <x:row r="783" ht="19" customHeight="1">
      <x:c r="A783" s="30" t="str">
        <x:v>stagger_1</x:v>
      </x:c>
      <x:c r="B783" s="39" t="str">
        <x:v>GOOGL</x:v>
      </x:c>
      <x:c r="C783" s="39" t="str">
        <x:v>Other sectors</x:v>
      </x:c>
      <x:c r="D783" s="31" t="n">
        <x:v>2</x:v>
      </x:c>
      <x:c r="E783" s="39" t="str">
        <x:v>XLV</x:v>
      </x:c>
      <x:c r="F783" s="39" t="n">
        <x:v>-0.2517454796</x:v>
      </x:c>
      <x:c r="G783" s="39" t="n">
        <x:v>-1.1746605648</x:v>
      </x:c>
      <x:c r="H783" s="44" t="b">
        <x:v>0</x:v>
      </x:c>
      <x:c r="I783" s="39" t="n">
        <x:v>0.0173825956</x:v>
      </x:c>
    </x:row>
    <x:row r="784" ht="19" customHeight="1">
      <x:c r="A784" s="30" t="str">
        <x:v>stagger_1</x:v>
      </x:c>
      <x:c r="B784" s="39" t="str">
        <x:v>GOOGL</x:v>
      </x:c>
      <x:c r="C784" s="39" t="str">
        <x:v>Other sectors</x:v>
      </x:c>
      <x:c r="D784" s="31" t="n">
        <x:v>2</x:v>
      </x:c>
      <x:c r="E784" s="39" t="str">
        <x:v>XLY</x:v>
      </x:c>
      <x:c r="F784" s="39" t="n">
        <x:v>0.2870688215</x:v>
      </x:c>
      <x:c r="G784" s="39" t="n">
        <x:v>1.1254777008</x:v>
      </x:c>
      <x:c r="H784" s="44" t="b">
        <x:v>0</x:v>
      </x:c>
      <x:c r="I784" s="39" t="n">
        <x:v>0.0159802295</x:v>
      </x:c>
    </x:row>
    <x:row r="785" ht="19" customHeight="1">
      <x:c r="A785" s="30" t="str">
        <x:v>stagger_1</x:v>
      </x:c>
      <x:c r="B785" s="39" t="str">
        <x:v>GOOGL</x:v>
      </x:c>
      <x:c r="C785" s="39" t="str">
        <x:v>Other sectors</x:v>
      </x:c>
      <x:c r="D785" s="31" t="n">
        <x:v>3</x:v>
      </x:c>
      <x:c r="E785" s="39" t="str">
        <x:v>XLE</x:v>
      </x:c>
      <x:c r="F785" s="39" t="n">
        <x:v>-0.0336503491</x:v>
      </x:c>
      <x:c r="G785" s="39" t="n">
        <x:v>-0.3356574559</x:v>
      </x:c>
      <x:c r="H785" s="44" t="b">
        <x:v>0</x:v>
      </x:c>
      <x:c r="I785" s="39" t="n">
        <x:v>0.0014423516</x:v>
      </x:c>
    </x:row>
    <x:row r="786" ht="19" customHeight="1">
      <x:c r="A786" s="30" t="str">
        <x:v>stagger_1</x:v>
      </x:c>
      <x:c r="B786" s="39" t="str">
        <x:v>GOOGL</x:v>
      </x:c>
      <x:c r="C786" s="39" t="str">
        <x:v>Other sectors</x:v>
      </x:c>
      <x:c r="D786" s="31" t="n">
        <x:v>3</x:v>
      </x:c>
      <x:c r="E786" s="39" t="str">
        <x:v>XLF</x:v>
      </x:c>
      <x:c r="F786" s="39" t="n">
        <x:v>-0.2530473237</x:v>
      </x:c>
      <x:c r="G786" s="39" t="n">
        <x:v>-1.073037757</x:v>
      </x:c>
      <x:c r="H786" s="44" t="b">
        <x:v>0</x:v>
      </x:c>
      <x:c r="I786" s="39" t="n">
        <x:v>0.0145469301</x:v>
      </x:c>
    </x:row>
    <x:row r="787" ht="19" customHeight="1">
      <x:c r="A787" s="30" t="str">
        <x:v>stagger_1</x:v>
      </x:c>
      <x:c r="B787" s="39" t="str">
        <x:v>GOOGL</x:v>
      </x:c>
      <x:c r="C787" s="39" t="str">
        <x:v>Other sectors</x:v>
      </x:c>
      <x:c r="D787" s="31" t="n">
        <x:v>3</x:v>
      </x:c>
      <x:c r="E787" s="39" t="str">
        <x:v>XLI</x:v>
      </x:c>
      <x:c r="F787" s="39" t="n">
        <x:v>0.0934660091</x:v>
      </x:c>
      <x:c r="G787" s="39" t="n">
        <x:v>0.3739449891</x:v>
      </x:c>
      <x:c r="H787" s="44" t="b">
        <x:v>0</x:v>
      </x:c>
      <x:c r="I787" s="39" t="n">
        <x:v>0.0017895463</x:v>
      </x:c>
    </x:row>
    <x:row r="788" ht="19" customHeight="1">
      <x:c r="A788" s="30" t="str">
        <x:v>stagger_1</x:v>
      </x:c>
      <x:c r="B788" s="39" t="str">
        <x:v>GOOGL</x:v>
      </x:c>
      <x:c r="C788" s="39" t="str">
        <x:v>Other sectors</x:v>
      </x:c>
      <x:c r="D788" s="31" t="n">
        <x:v>3</x:v>
      </x:c>
      <x:c r="E788" s="39" t="str">
        <x:v>XLK</x:v>
      </x:c>
      <x:c r="F788" s="39" t="n">
        <x:v>-0.1307546366</x:v>
      </x:c>
      <x:c r="G788" s="39" t="n">
        <x:v>-0.5882714066</x:v>
      </x:c>
      <x:c r="H788" s="44" t="b">
        <x:v>0</x:v>
      </x:c>
      <x:c r="I788" s="39" t="n">
        <x:v>0.0044171109</x:v>
      </x:c>
    </x:row>
    <x:row r="789" ht="19" customHeight="1">
      <x:c r="A789" s="30" t="str">
        <x:v>stagger_1</x:v>
      </x:c>
      <x:c r="B789" s="39" t="str">
        <x:v>GOOGL</x:v>
      </x:c>
      <x:c r="C789" s="39" t="str">
        <x:v>Other sectors</x:v>
      </x:c>
      <x:c r="D789" s="31" t="n">
        <x:v>3</x:v>
      </x:c>
      <x:c r="E789" s="39" t="str">
        <x:v>XLP</x:v>
      </x:c>
      <x:c r="F789" s="39" t="n">
        <x:v>-0.1947759549</x:v>
      </x:c>
      <x:c r="G789" s="39" t="n">
        <x:v>-0.8673279779</x:v>
      </x:c>
      <x:c r="H789" s="44" t="b">
        <x:v>0</x:v>
      </x:c>
      <x:c r="I789" s="39" t="n">
        <x:v>0.0095522064</x:v>
      </x:c>
    </x:row>
    <x:row r="790" ht="19" customHeight="1">
      <x:c r="A790" s="30" t="str">
        <x:v>stagger_1</x:v>
      </x:c>
      <x:c r="B790" s="39" t="str">
        <x:v>GOOGL</x:v>
      </x:c>
      <x:c r="C790" s="39" t="str">
        <x:v>Other sectors</x:v>
      </x:c>
      <x:c r="D790" s="31" t="n">
        <x:v>3</x:v>
      </x:c>
      <x:c r="E790" s="39" t="str">
        <x:v>XLU</x:v>
      </x:c>
      <x:c r="F790" s="39" t="n">
        <x:v>-0.0976731397</x:v>
      </x:c>
      <x:c r="G790" s="39" t="n">
        <x:v>-0.5645917134</x:v>
      </x:c>
      <x:c r="H790" s="44" t="b">
        <x:v>0</x:v>
      </x:c>
      <x:c r="I790" s="39" t="n">
        <x:v>0.0040700822</x:v>
      </x:c>
    </x:row>
    <x:row r="791" ht="19" customHeight="1">
      <x:c r="A791" s="30" t="str">
        <x:v>stagger_1</x:v>
      </x:c>
      <x:c r="B791" s="39" t="str">
        <x:v>GOOGL</x:v>
      </x:c>
      <x:c r="C791" s="39" t="str">
        <x:v>Other sectors</x:v>
      </x:c>
      <x:c r="D791" s="31" t="n">
        <x:v>3</x:v>
      </x:c>
      <x:c r="E791" s="39" t="str">
        <x:v>XLV</x:v>
      </x:c>
      <x:c r="F791" s="39" t="n">
        <x:v>-0.0059315048</x:v>
      </x:c>
      <x:c r="G791" s="39" t="n">
        <x:v>-0.0288810921</x:v>
      </x:c>
      <x:c r="H791" s="44" t="b">
        <x:v>0</x:v>
      </x:c>
      <x:c r="I791" s="39" t="n">
        <x:v>0.0000106937</x:v>
      </x:c>
    </x:row>
    <x:row r="792" ht="19" customHeight="1">
      <x:c r="A792" s="30" t="str">
        <x:v>stagger_1</x:v>
      </x:c>
      <x:c r="B792" s="39" t="str">
        <x:v>GOOGL</x:v>
      </x:c>
      <x:c r="C792" s="39" t="str">
        <x:v>Other sectors</x:v>
      </x:c>
      <x:c r="D792" s="31" t="n">
        <x:v>3</x:v>
      </x:c>
      <x:c r="E792" s="39" t="str">
        <x:v>XLY</x:v>
      </x:c>
      <x:c r="F792" s="39" t="n">
        <x:v>0.3682798847</x:v>
      </x:c>
      <x:c r="G792" s="39" t="n">
        <x:v>1.5302317488</x:v>
      </x:c>
      <x:c r="H792" s="44" t="b">
        <x:v>0</x:v>
      </x:c>
      <x:c r="I792" s="39" t="n">
        <x:v>0.0291456597</x:v>
      </x:c>
    </x:row>
    <x:row r="793" ht="19" customHeight="1">
      <x:c r="A793" s="30" t="str">
        <x:v>stagger_1</x:v>
      </x:c>
      <x:c r="B793" s="39" t="str">
        <x:v>COST</x:v>
      </x:c>
      <x:c r="C793" s="39" t="str">
        <x:v>Other FX</x:v>
      </x:c>
      <x:c r="D793" s="31" t="n">
        <x:v>1</x:v>
      </x:c>
      <x:c r="E793" s="39" t="str">
        <x:v>AUD/USD</x:v>
      </x:c>
      <x:c r="F793" s="39" t="n">
        <x:v>0.822183447</x:v>
      </x:c>
      <x:c r="G793" s="39" t="n">
        <x:v>2.8741062166</x:v>
      </x:c>
      <x:c r="H793" s="44" t="b">
        <x:v>1</x:v>
      </x:c>
      <x:c r="I793" s="39" t="n">
        <x:v>0.095762114</x:v>
      </x:c>
    </x:row>
    <x:row r="794" ht="19" customHeight="1">
      <x:c r="A794" s="30" t="str">
        <x:v>stagger_1</x:v>
      </x:c>
      <x:c r="B794" s="39" t="str">
        <x:v>COST</x:v>
      </x:c>
      <x:c r="C794" s="39" t="str">
        <x:v>Other sectors</x:v>
      </x:c>
      <x:c r="D794" s="31" t="n">
        <x:v>1</x:v>
      </x:c>
      <x:c r="E794" s="39" t="str">
        <x:v>XLB</x:v>
      </x:c>
      <x:c r="F794" s="39" t="n">
        <x:v>-0.2680423019</x:v>
      </x:c>
      <x:c r="G794" s="39" t="n">
        <x:v>-1.9272765166</x:v>
      </x:c>
      <x:c r="H794" s="44" t="b">
        <x:v>0</x:v>
      </x:c>
      <x:c r="I794" s="39" t="n">
        <x:v>0.0454558194</x:v>
      </x:c>
    </x:row>
    <x:row r="795" ht="19" customHeight="1">
      <x:c r="A795" s="30" t="str">
        <x:v>stagger_1</x:v>
      </x:c>
      <x:c r="B795" s="39" t="str">
        <x:v>COST</x:v>
      </x:c>
      <x:c r="C795" s="39" t="str">
        <x:v>Other sectors</x:v>
      </x:c>
      <x:c r="D795" s="31" t="n">
        <x:v>1</x:v>
      </x:c>
      <x:c r="E795" s="39" t="str">
        <x:v>XLC</x:v>
      </x:c>
      <x:c r="F795" s="39" t="n">
        <x:v>0.320083181</x:v>
      </x:c>
      <x:c r="G795" s="39" t="n">
        <x:v>1.6748577597</x:v>
      </x:c>
      <x:c r="H795" s="44" t="b">
        <x:v>0</x:v>
      </x:c>
      <x:c r="I795" s="39" t="n">
        <x:v>0.0347149726</x:v>
      </x:c>
    </x:row>
    <x:row r="796" ht="19" customHeight="1">
      <x:c r="A796" s="30" t="str">
        <x:v>stagger_1</x:v>
      </x:c>
      <x:c r="B796" s="39" t="str">
        <x:v>COST</x:v>
      </x:c>
      <x:c r="C796" s="39" t="str">
        <x:v>Other sectors</x:v>
      </x:c>
      <x:c r="D796" s="31" t="n">
        <x:v>1</x:v>
      </x:c>
      <x:c r="E796" s="39" t="str">
        <x:v>XLE</x:v>
      </x:c>
      <x:c r="F796" s="39" t="n">
        <x:v>-0.0690883567</x:v>
      </x:c>
      <x:c r="G796" s="39" t="n">
        <x:v>-0.9032595425</x:v>
      </x:c>
      <x:c r="H796" s="44" t="b">
        <x:v>0</x:v>
      </x:c>
      <x:c r="I796" s="39" t="n">
        <x:v>0.0103516934</x:v>
      </x:c>
    </x:row>
    <x:row r="797" ht="19" customHeight="1">
      <x:c r="A797" s="30" t="str">
        <x:v>stagger_1</x:v>
      </x:c>
      <x:c r="B797" s="39" t="str">
        <x:v>COST</x:v>
      </x:c>
      <x:c r="C797" s="39" t="str">
        <x:v>Other sectors</x:v>
      </x:c>
      <x:c r="D797" s="31" t="n">
        <x:v>1</x:v>
      </x:c>
      <x:c r="E797" s="39" t="str">
        <x:v>XLF</x:v>
      </x:c>
      <x:c r="F797" s="39" t="n">
        <x:v>-0.368510222</x:v>
      </x:c>
      <x:c r="G797" s="39" t="n">
        <x:v>-2.0794669543</x:v>
      </x:c>
      <x:c r="H797" s="44" t="b">
        <x:v>0</x:v>
      </x:c>
      <x:c r="I797" s="39" t="n">
        <x:v>0.0525262768</x:v>
      </x:c>
    </x:row>
    <x:row r="798" ht="19" customHeight="1">
      <x:c r="A798" s="30" t="str">
        <x:v>stagger_1</x:v>
      </x:c>
      <x:c r="B798" s="39" t="str">
        <x:v>COST</x:v>
      </x:c>
      <x:c r="C798" s="39" t="str">
        <x:v>Other sectors</x:v>
      </x:c>
      <x:c r="D798" s="31" t="n">
        <x:v>1</x:v>
      </x:c>
      <x:c r="E798" s="39" t="str">
        <x:v>XLI</x:v>
      </x:c>
      <x:c r="F798" s="39" t="n">
        <x:v>-0.428435415</x:v>
      </x:c>
      <x:c r="G798" s="39" t="n">
        <x:v>-2.309787394</x:v>
      </x:c>
      <x:c r="H798" s="44" t="b">
        <x:v>0</x:v>
      </x:c>
      <x:c r="I798" s="39" t="n">
        <x:v>0.0640200428</x:v>
      </x:c>
    </x:row>
    <x:row r="799" ht="19" customHeight="1">
      <x:c r="A799" s="30" t="str">
        <x:v>stagger_1</x:v>
      </x:c>
      <x:c r="B799" s="39" t="str">
        <x:v>COST</x:v>
      </x:c>
      <x:c r="C799" s="39" t="str">
        <x:v>Other sectors</x:v>
      </x:c>
      <x:c r="D799" s="31" t="n">
        <x:v>1</x:v>
      </x:c>
      <x:c r="E799" s="39" t="str">
        <x:v>XLK</x:v>
      </x:c>
      <x:c r="F799" s="39" t="n">
        <x:v>0.1365571236</x:v>
      </x:c>
      <x:c r="G799" s="39" t="n">
        <x:v>0.8031878292</x:v>
      </x:c>
      <x:c r="H799" s="44" t="b">
        <x:v>0</x:v>
      </x:c>
      <x:c r="I799" s="39" t="n">
        <x:v>0.0082028073</x:v>
      </x:c>
    </x:row>
    <x:row r="800" ht="19" customHeight="1">
      <x:c r="A800" s="30" t="str">
        <x:v>stagger_1</x:v>
      </x:c>
      <x:c r="B800" s="39" t="str">
        <x:v>COST</x:v>
      </x:c>
      <x:c r="C800" s="39" t="str">
        <x:v>Other sectors</x:v>
      </x:c>
      <x:c r="D800" s="31" t="n">
        <x:v>1</x:v>
      </x:c>
      <x:c r="E800" s="39" t="str">
        <x:v>XLRE</x:v>
      </x:c>
      <x:c r="F800" s="39" t="n">
        <x:v>0.100005098</x:v>
      </x:c>
      <x:c r="G800" s="39" t="n">
        <x:v>0.6423874218</x:v>
      </x:c>
      <x:c r="H800" s="44" t="b">
        <x:v>0</x:v>
      </x:c>
      <x:c r="I800" s="39" t="n">
        <x:v>0.0052626909</x:v>
      </x:c>
    </x:row>
    <x:row r="801" ht="19" customHeight="1">
      <x:c r="A801" s="30" t="str">
        <x:v>stagger_1</x:v>
      </x:c>
      <x:c r="B801" s="39" t="str">
        <x:v>COST</x:v>
      </x:c>
      <x:c r="C801" s="39" t="str">
        <x:v>Other sectors</x:v>
      </x:c>
      <x:c r="D801" s="31" t="n">
        <x:v>1</x:v>
      </x:c>
      <x:c r="E801" s="39" t="str">
        <x:v>XLU</x:v>
      </x:c>
      <x:c r="F801" s="39" t="n">
        <x:v>-0.0284690163</x:v>
      </x:c>
      <x:c r="G801" s="39" t="n">
        <x:v>-0.2143526815</x:v>
      </x:c>
      <x:c r="H801" s="44" t="b">
        <x:v>0</x:v>
      </x:c>
      <x:c r="I801" s="39" t="n">
        <x:v>0.0005887182</x:v>
      </x:c>
    </x:row>
    <x:row r="802" ht="19" customHeight="1">
      <x:c r="A802" s="30" t="str">
        <x:v>stagger_1</x:v>
      </x:c>
      <x:c r="B802" s="39" t="str">
        <x:v>COST</x:v>
      </x:c>
      <x:c r="C802" s="39" t="str">
        <x:v>Other sectors</x:v>
      </x:c>
      <x:c r="D802" s="31" t="n">
        <x:v>1</x:v>
      </x:c>
      <x:c r="E802" s="39" t="str">
        <x:v>XLV</x:v>
      </x:c>
      <x:c r="F802" s="39" t="n">
        <x:v>-0.2142177285</x:v>
      </x:c>
      <x:c r="G802" s="39" t="n">
        <x:v>-1.3774491788</x:v>
      </x:c>
      <x:c r="H802" s="44" t="b">
        <x:v>0</x:v>
      </x:c>
      <x:c r="I802" s="39" t="n">
        <x:v>0.0237475442</x:v>
      </x:c>
    </x:row>
    <x:row r="803" ht="19" customHeight="1">
      <x:c r="A803" s="30" t="str">
        <x:v>stagger_1</x:v>
      </x:c>
      <x:c r="B803" s="39" t="str">
        <x:v>COST</x:v>
      </x:c>
      <x:c r="C803" s="39" t="str">
        <x:v>Other sectors</x:v>
      </x:c>
      <x:c r="D803" s="31" t="n">
        <x:v>1</x:v>
      </x:c>
      <x:c r="E803" s="39" t="str">
        <x:v>XLY</x:v>
      </x:c>
      <x:c r="F803" s="39" t="n">
        <x:v>0.4746443369</x:v>
      </x:c>
      <x:c r="G803" s="39" t="n">
        <x:v>2.6470298746</x:v>
      </x:c>
      <x:c r="H803" s="44" t="b">
        <x:v>1</x:v>
      </x:c>
      <x:c r="I803" s="39" t="n">
        <x:v>0.0824259926</x:v>
      </x:c>
    </x:row>
    <x:row r="804" ht="19" customHeight="1">
      <x:c r="A804" s="30" t="str">
        <x:v>stagger_1</x:v>
      </x:c>
      <x:c r="B804" s="39" t="str">
        <x:v>COST</x:v>
      </x:c>
      <x:c r="C804" s="39" t="str">
        <x:v>Other sectors</x:v>
      </x:c>
      <x:c r="D804" s="31" t="n">
        <x:v>2</x:v>
      </x:c>
      <x:c r="E804" s="39" t="str">
        <x:v>XLB</x:v>
      </x:c>
      <x:c r="F804" s="39" t="n">
        <x:v>-0.2421099106</x:v>
      </x:c>
      <x:c r="G804" s="39" t="n">
        <x:v>-1.8125479717</x:v>
      </x:c>
      <x:c r="H804" s="44" t="b">
        <x:v>0</x:v>
      </x:c>
      <x:c r="I804" s="39" t="n">
        <x:v>0.0404172579</x:v>
      </x:c>
    </x:row>
    <x:row r="805" ht="19" customHeight="1">
      <x:c r="A805" s="30" t="str">
        <x:v>stagger_1</x:v>
      </x:c>
      <x:c r="B805" s="39" t="str">
        <x:v>COST</x:v>
      </x:c>
      <x:c r="C805" s="39" t="str">
        <x:v>Other sectors</x:v>
      </x:c>
      <x:c r="D805" s="31" t="n">
        <x:v>2</x:v>
      </x:c>
      <x:c r="E805" s="39" t="str">
        <x:v>XLC</x:v>
      </x:c>
      <x:c r="F805" s="39" t="n">
        <x:v>0.1651427367</x:v>
      </x:c>
      <x:c r="G805" s="39" t="n">
        <x:v>0.890799048</x:v>
      </x:c>
      <x:c r="H805" s="44" t="b">
        <x:v>0</x:v>
      </x:c>
      <x:c r="I805" s="39" t="n">
        <x:v>0.0100709159</x:v>
      </x:c>
    </x:row>
    <x:row r="806" ht="19" customHeight="1">
      <x:c r="A806" s="30" t="str">
        <x:v>stagger_1</x:v>
      </x:c>
      <x:c r="B806" s="39" t="str">
        <x:v>COST</x:v>
      </x:c>
      <x:c r="C806" s="39" t="str">
        <x:v>Other sectors</x:v>
      </x:c>
      <x:c r="D806" s="31" t="n">
        <x:v>2</x:v>
      </x:c>
      <x:c r="E806" s="39" t="str">
        <x:v>XLE</x:v>
      </x:c>
      <x:c r="F806" s="39" t="n">
        <x:v>-0.0219646931</x:v>
      </x:c>
      <x:c r="G806" s="39" t="n">
        <x:v>-0.2984011389</x:v>
      </x:c>
      <x:c r="H806" s="44" t="b">
        <x:v>0</x:v>
      </x:c>
      <x:c r="I806" s="39" t="n">
        <x:v>0.0011402783</x:v>
      </x:c>
    </x:row>
    <x:row r="807" ht="19" customHeight="1">
      <x:c r="A807" s="30" t="str">
        <x:v>stagger_1</x:v>
      </x:c>
      <x:c r="B807" s="39" t="str">
        <x:v>COST</x:v>
      </x:c>
      <x:c r="C807" s="39" t="str">
        <x:v>Other sectors</x:v>
      </x:c>
      <x:c r="D807" s="31" t="n">
        <x:v>2</x:v>
      </x:c>
      <x:c r="E807" s="39" t="str">
        <x:v>XLF</x:v>
      </x:c>
      <x:c r="F807" s="39" t="n">
        <x:v>-0.3544011755</x:v>
      </x:c>
      <x:c r="G807" s="39" t="n">
        <x:v>-2.0882049602</x:v>
      </x:c>
      <x:c r="H807" s="44" t="b">
        <x:v>1</x:v>
      </x:c>
      <x:c r="I807" s="39" t="n">
        <x:v>0.0529452184</x:v>
      </x:c>
    </x:row>
    <x:row r="808" ht="19" customHeight="1">
      <x:c r="A808" s="30" t="str">
        <x:v>stagger_1</x:v>
      </x:c>
      <x:c r="B808" s="39" t="str">
        <x:v>COST</x:v>
      </x:c>
      <x:c r="C808" s="39" t="str">
        <x:v>Other sectors</x:v>
      </x:c>
      <x:c r="D808" s="31" t="n">
        <x:v>2</x:v>
      </x:c>
      <x:c r="E808" s="39" t="str">
        <x:v>XLI</x:v>
      </x:c>
      <x:c r="F808" s="39" t="n">
        <x:v>-0.3696217975</x:v>
      </x:c>
      <x:c r="G808" s="39" t="n">
        <x:v>-2.0669823389</x:v>
      </x:c>
      <x:c r="H808" s="44" t="b">
        <x:v>0</x:v>
      </x:c>
      <x:c r="I808" s="39" t="n">
        <x:v>0.0519301146</x:v>
      </x:c>
    </x:row>
    <x:row r="809" ht="19" customHeight="1">
      <x:c r="A809" s="30" t="str">
        <x:v>stagger_1</x:v>
      </x:c>
      <x:c r="B809" s="39" t="str">
        <x:v>COST</x:v>
      </x:c>
      <x:c r="C809" s="39" t="str">
        <x:v>Other sectors</x:v>
      </x:c>
      <x:c r="D809" s="31" t="n">
        <x:v>2</x:v>
      </x:c>
      <x:c r="E809" s="39" t="str">
        <x:v>XLK</x:v>
      </x:c>
      <x:c r="F809" s="39" t="n">
        <x:v>0.2160138862</x:v>
      </x:c>
      <x:c r="G809" s="39" t="n">
        <x:v>1.3359430374</x:v>
      </x:c>
      <x:c r="H809" s="44" t="b">
        <x:v>0</x:v>
      </x:c>
      <x:c r="I809" s="39" t="n">
        <x:v>0.0223694871</x:v>
      </x:c>
    </x:row>
    <x:row r="810" ht="19" customHeight="1">
      <x:c r="A810" s="30" t="str">
        <x:v>stagger_1</x:v>
      </x:c>
      <x:c r="B810" s="39" t="str">
        <x:v>COST</x:v>
      </x:c>
      <x:c r="C810" s="39" t="str">
        <x:v>Other sectors</x:v>
      </x:c>
      <x:c r="D810" s="31" t="n">
        <x:v>2</x:v>
      </x:c>
      <x:c r="E810" s="39" t="str">
        <x:v>XLRE</x:v>
      </x:c>
      <x:c r="F810" s="39" t="n">
        <x:v>0.0547030087</x:v>
      </x:c>
      <x:c r="G810" s="39" t="n">
        <x:v>0.3661784006</x:v>
      </x:c>
      <x:c r="H810" s="44" t="b">
        <x:v>0</x:v>
      </x:c>
      <x:c r="I810" s="39" t="n">
        <x:v>0.0017161092</x:v>
      </x:c>
    </x:row>
    <x:row r="811" ht="19" customHeight="1">
      <x:c r="A811" s="30" t="str">
        <x:v>stagger_1</x:v>
      </x:c>
      <x:c r="B811" s="39" t="str">
        <x:v>COST</x:v>
      </x:c>
      <x:c r="C811" s="39" t="str">
        <x:v>Other sectors</x:v>
      </x:c>
      <x:c r="D811" s="31" t="n">
        <x:v>2</x:v>
      </x:c>
      <x:c r="E811" s="39" t="str">
        <x:v>XLU</x:v>
      </x:c>
      <x:c r="F811" s="39" t="n">
        <x:v>-0.0115799015</x:v>
      </x:c>
      <x:c r="G811" s="39" t="n">
        <x:v>-0.0909988591</x:v>
      </x:c>
      <x:c r="H811" s="44" t="b">
        <x:v>0</x:v>
      </x:c>
      <x:c r="I811" s="39" t="n">
        <x:v>0.0001061527</x:v>
      </x:c>
    </x:row>
    <x:row r="812" ht="19" customHeight="1">
      <x:c r="A812" s="30" t="str">
        <x:v>stagger_1</x:v>
      </x:c>
      <x:c r="B812" s="39" t="str">
        <x:v>COST</x:v>
      </x:c>
      <x:c r="C812" s="39" t="str">
        <x:v>Other sectors</x:v>
      </x:c>
      <x:c r="D812" s="31" t="n">
        <x:v>2</x:v>
      </x:c>
      <x:c r="E812" s="39" t="str">
        <x:v>XLV</x:v>
      </x:c>
      <x:c r="F812" s="39" t="n">
        <x:v>-0.1027022165</x:v>
      </x:c>
      <x:c r="G812" s="39" t="n">
        <x:v>-0.6832130034</x:v>
      </x:c>
      <x:c r="H812" s="44" t="b">
        <x:v>0</x:v>
      </x:c>
      <x:c r="I812" s="39" t="n">
        <x:v>0.0059487596</x:v>
      </x:c>
    </x:row>
    <x:row r="813" ht="19" customHeight="1">
      <x:c r="A813" s="30" t="str">
        <x:v>stagger_1</x:v>
      </x:c>
      <x:c r="B813" s="39" t="str">
        <x:v>COST</x:v>
      </x:c>
      <x:c r="C813" s="39" t="str">
        <x:v>Other sectors</x:v>
      </x:c>
      <x:c r="D813" s="31" t="n">
        <x:v>3</x:v>
      </x:c>
      <x:c r="E813" s="39" t="str">
        <x:v>XLB</x:v>
      </x:c>
      <x:c r="F813" s="39" t="n">
        <x:v>-0.1419142076</x:v>
      </x:c>
      <x:c r="G813" s="39" t="n">
        <x:v>-1.0773679549</x:v>
      </x:c>
      <x:c r="H813" s="44" t="b">
        <x:v>0</x:v>
      </x:c>
      <x:c r="I813" s="39" t="n">
        <x:v>0.014662849</x:v>
      </x:c>
    </x:row>
    <x:row r="814" ht="19" customHeight="1">
      <x:c r="A814" s="30" t="str">
        <x:v>stagger_1</x:v>
      </x:c>
      <x:c r="B814" s="39" t="str">
        <x:v>COST</x:v>
      </x:c>
      <x:c r="C814" s="39" t="str">
        <x:v>Other sectors</x:v>
      </x:c>
      <x:c r="D814" s="31" t="n">
        <x:v>3</x:v>
      </x:c>
      <x:c r="E814" s="39" t="str">
        <x:v>XLC</x:v>
      </x:c>
      <x:c r="F814" s="39" t="n">
        <x:v>0.1844770959</x:v>
      </x:c>
      <x:c r="G814" s="39" t="n">
        <x:v>1.0241839616</x:v>
      </x:c>
      <x:c r="H814" s="44" t="b">
        <x:v>0</x:v>
      </x:c>
      <x:c r="I814" s="39" t="n">
        <x:v>0.0132696608</x:v>
      </x:c>
    </x:row>
    <x:row r="815" ht="19" customHeight="1">
      <x:c r="A815" s="30" t="str">
        <x:v>stagger_1</x:v>
      </x:c>
      <x:c r="B815" s="39" t="str">
        <x:v>COST</x:v>
      </x:c>
      <x:c r="C815" s="39" t="str">
        <x:v>Other sectors</x:v>
      </x:c>
      <x:c r="D815" s="31" t="n">
        <x:v>3</x:v>
      </x:c>
      <x:c r="E815" s="39" t="str">
        <x:v>XLE</x:v>
      </x:c>
      <x:c r="F815" s="39" t="n">
        <x:v>0.0185211677</x:v>
      </x:c>
      <x:c r="G815" s="39" t="n">
        <x:v>0.2585201376</x:v>
      </x:c>
      <x:c r="H815" s="44" t="b">
        <x:v>0</x:v>
      </x:c>
      <x:c r="I815" s="39" t="n">
        <x:v>0.0008560955</x:v>
      </x:c>
    </x:row>
    <x:row r="816" ht="19" customHeight="1">
      <x:c r="A816" s="30" t="str">
        <x:v>stagger_1</x:v>
      </x:c>
      <x:c r="B816" s="39" t="str">
        <x:v>COST</x:v>
      </x:c>
      <x:c r="C816" s="39" t="str">
        <x:v>Other sectors</x:v>
      </x:c>
      <x:c r="D816" s="31" t="n">
        <x:v>3</x:v>
      </x:c>
      <x:c r="E816" s="39" t="str">
        <x:v>XLI</x:v>
      </x:c>
      <x:c r="F816" s="39" t="n">
        <x:v>-0.2488500874</x:v>
      </x:c>
      <x:c r="G816" s="39" t="n">
        <x:v>-1.409986318</x:v>
      </x:c>
      <x:c r="H816" s="44" t="b">
        <x:v>0</x:v>
      </x:c>
      <x:c r="I816" s="39" t="n">
        <x:v>0.0248544768</x:v>
      </x:c>
    </x:row>
    <x:row r="817" ht="19" customHeight="1">
      <x:c r="A817" s="30" t="str">
        <x:v>stagger_1</x:v>
      </x:c>
      <x:c r="B817" s="39" t="str">
        <x:v>COST</x:v>
      </x:c>
      <x:c r="C817" s="39" t="str">
        <x:v>Other sectors</x:v>
      </x:c>
      <x:c r="D817" s="31" t="n">
        <x:v>3</x:v>
      </x:c>
      <x:c r="E817" s="39" t="str">
        <x:v>XLK</x:v>
      </x:c>
      <x:c r="F817" s="39" t="n">
        <x:v>0.0243301201</x:v>
      </x:c>
      <x:c r="G817" s="39" t="n">
        <x:v>0.1529027947</x:v>
      </x:c>
      <x:c r="H817" s="44" t="b">
        <x:v>0</x:v>
      </x:c>
      <x:c r="I817" s="39" t="n">
        <x:v>0.0002996443</x:v>
      </x:c>
    </x:row>
    <x:row r="818" ht="19" customHeight="1">
      <x:c r="A818" s="30" t="str">
        <x:v>stagger_1</x:v>
      </x:c>
      <x:c r="B818" s="39" t="str">
        <x:v>COST</x:v>
      </x:c>
      <x:c r="C818" s="39" t="str">
        <x:v>Other sectors</x:v>
      </x:c>
      <x:c r="D818" s="31" t="n">
        <x:v>3</x:v>
      </x:c>
      <x:c r="E818" s="39" t="str">
        <x:v>XLRE</x:v>
      </x:c>
      <x:c r="F818" s="39" t="n">
        <x:v>0.1234464469</x:v>
      </x:c>
      <x:c r="G818" s="39" t="n">
        <x:v>0.8523396833</x:v>
      </x:c>
      <x:c r="H818" s="44" t="b">
        <x:v>0</x:v>
      </x:c>
      <x:c r="I818" s="39" t="n">
        <x:v>0.0092279359</x:v>
      </x:c>
    </x:row>
    <x:row r="819" ht="19" customHeight="1">
      <x:c r="A819" s="30" t="str">
        <x:v>stagger_1</x:v>
      </x:c>
      <x:c r="B819" s="39" t="str">
        <x:v>COST</x:v>
      </x:c>
      <x:c r="C819" s="39" t="str">
        <x:v>Other sectors</x:v>
      </x:c>
      <x:c r="D819" s="31" t="n">
        <x:v>3</x:v>
      </x:c>
      <x:c r="E819" s="39" t="str">
        <x:v>XLU</x:v>
      </x:c>
      <x:c r="F819" s="39" t="n">
        <x:v>0.012484848</x:v>
      </x:c>
      <x:c r="G819" s="39" t="n">
        <x:v>0.1008165969</x:v>
      </x:c>
      <x:c r="H819" s="44" t="b">
        <x:v>0</x:v>
      </x:c>
      <x:c r="I819" s="39" t="n">
        <x:v>0.0001302905</x:v>
      </x:c>
    </x:row>
    <x:row r="820" ht="19" customHeight="1">
      <x:c r="A820" s="30" t="str">
        <x:v>stagger_1</x:v>
      </x:c>
      <x:c r="B820" s="39" t="str">
        <x:v>COST</x:v>
      </x:c>
      <x:c r="C820" s="39" t="str">
        <x:v>Other sectors</x:v>
      </x:c>
      <x:c r="D820" s="31" t="n">
        <x:v>3</x:v>
      </x:c>
      <x:c r="E820" s="39" t="str">
        <x:v>XLV</x:v>
      </x:c>
      <x:c r="F820" s="39" t="n">
        <x:v>-0.0340307365</x:v>
      </x:c>
      <x:c r="G820" s="39" t="n">
        <x:v>-0.2320140579</x:v>
      </x:c>
      <x:c r="H820" s="44" t="b">
        <x:v>0</x:v>
      </x:c>
      <x:c r="I820" s="39" t="n">
        <x:v>0.000689659</x:v>
      </x:c>
    </x:row>
    <x:row r="821" ht="19" customHeight="1">
      <x:c r="A821" s="30" t="str">
        <x:v>stagger_1</x:v>
      </x:c>
      <x:c r="B821" s="39" t="str">
        <x:v>HD</x:v>
      </x:c>
      <x:c r="C821" s="39" t="str">
        <x:v>Other FX</x:v>
      </x:c>
      <x:c r="D821" s="31" t="n">
        <x:v>1</x:v>
      </x:c>
      <x:c r="E821" s="39" t="str">
        <x:v>AUD/USD</x:v>
      </x:c>
      <x:c r="F821" s="39" t="n">
        <x:v>0.8889662542</x:v>
      </x:c>
      <x:c r="G821" s="39" t="n">
        <x:v>2.519470888</x:v>
      </x:c>
      <x:c r="H821" s="44" t="b">
        <x:v>1</x:v>
      </x:c>
      <x:c r="I821" s="39" t="n">
        <x:v>0.0752567175</x:v>
      </x:c>
    </x:row>
    <x:row r="822" ht="19" customHeight="1">
      <x:c r="A822" s="30" t="str">
        <x:v>stagger_1</x:v>
      </x:c>
      <x:c r="B822" s="39" t="str">
        <x:v>HD</x:v>
      </x:c>
      <x:c r="C822" s="39" t="str">
        <x:v>Other sectors</x:v>
      </x:c>
      <x:c r="D822" s="31" t="n">
        <x:v>1</x:v>
      </x:c>
      <x:c r="E822" s="39" t="str">
        <x:v>XLB</x:v>
      </x:c>
      <x:c r="F822" s="39" t="n">
        <x:v>0.4079810304</x:v>
      </x:c>
      <x:c r="G822" s="39" t="n">
        <x:v>2.4642775543</x:v>
      </x:c>
      <x:c r="H822" s="44" t="b">
        <x:v>0</x:v>
      </x:c>
      <x:c r="I822" s="39" t="n">
        <x:v>0.0722311342</x:v>
      </x:c>
    </x:row>
    <x:row r="823" ht="19" customHeight="1">
      <x:c r="A823" s="30" t="str">
        <x:v>stagger_1</x:v>
      </x:c>
      <x:c r="B823" s="39" t="str">
        <x:v>HD</x:v>
      </x:c>
      <x:c r="C823" s="39" t="str">
        <x:v>Other sectors</x:v>
      </x:c>
      <x:c r="D823" s="31" t="n">
        <x:v>1</x:v>
      </x:c>
      <x:c r="E823" s="39" t="str">
        <x:v>XLC</x:v>
      </x:c>
      <x:c r="F823" s="39" t="n">
        <x:v>0.0524002545</x:v>
      </x:c>
      <x:c r="G823" s="39" t="n">
        <x:v>0.2231750868</x:v>
      </x:c>
      <x:c r="H823" s="44" t="b">
        <x:v>0</x:v>
      </x:c>
      <x:c r="I823" s="39" t="n">
        <x:v>0.0006381453</x:v>
      </x:c>
    </x:row>
    <x:row r="824" ht="19" customHeight="1">
      <x:c r="A824" s="30" t="str">
        <x:v>stagger_1</x:v>
      </x:c>
      <x:c r="B824" s="39" t="str">
        <x:v>HD</x:v>
      </x:c>
      <x:c r="C824" s="39" t="str">
        <x:v>Other sectors</x:v>
      </x:c>
      <x:c r="D824" s="31" t="n">
        <x:v>1</x:v>
      </x:c>
      <x:c r="E824" s="39" t="str">
        <x:v>XLE</x:v>
      </x:c>
      <x:c r="F824" s="39" t="n">
        <x:v>-0.059643161</x:v>
      </x:c>
      <x:c r="G824" s="39" t="n">
        <x:v>-0.6441570023</x:v>
      </x:c>
      <x:c r="H824" s="44" t="b">
        <x:v>0</x:v>
      </x:c>
      <x:c r="I824" s="39" t="n">
        <x:v>0.0052915714</x:v>
      </x:c>
    </x:row>
    <x:row r="825" ht="19" customHeight="1">
      <x:c r="A825" s="30" t="str">
        <x:v>stagger_1</x:v>
      </x:c>
      <x:c r="B825" s="39" t="str">
        <x:v>HD</x:v>
      </x:c>
      <x:c r="C825" s="39" t="str">
        <x:v>Other sectors</x:v>
      </x:c>
      <x:c r="D825" s="31" t="n">
        <x:v>1</x:v>
      </x:c>
      <x:c r="E825" s="39" t="str">
        <x:v>XLF</x:v>
      </x:c>
      <x:c r="F825" s="39" t="n">
        <x:v>0.2920720512</x:v>
      </x:c>
      <x:c r="G825" s="39" t="n">
        <x:v>1.3439335973</x:v>
      </x:c>
      <x:c r="H825" s="44" t="b">
        <x:v>0</x:v>
      </x:c>
      <x:c r="I825" s="39" t="n">
        <x:v>0.0226318065</x:v>
      </x:c>
    </x:row>
    <x:row r="826" ht="19" customHeight="1">
      <x:c r="A826" s="30" t="str">
        <x:v>stagger_1</x:v>
      </x:c>
      <x:c r="B826" s="39" t="str">
        <x:v>HD</x:v>
      </x:c>
      <x:c r="C826" s="39" t="str">
        <x:v>Other sectors</x:v>
      </x:c>
      <x:c r="D826" s="31" t="n">
        <x:v>1</x:v>
      </x:c>
      <x:c r="E826" s="39" t="str">
        <x:v>XLI</x:v>
      </x:c>
      <x:c r="F826" s="39" t="n">
        <x:v>0.6224067564</x:v>
      </x:c>
      <x:c r="G826" s="39" t="n">
        <x:v>2.8225604796</x:v>
      </x:c>
      <x:c r="H826" s="44" t="b">
        <x:v>1</x:v>
      </x:c>
      <x:c r="I826" s="39" t="n">
        <x:v>0.0926734884</x:v>
      </x:c>
    </x:row>
    <x:row r="827" ht="19" customHeight="1">
      <x:c r="A827" s="30" t="str">
        <x:v>stagger_1</x:v>
      </x:c>
      <x:c r="B827" s="39" t="str">
        <x:v>HD</x:v>
      </x:c>
      <x:c r="C827" s="39" t="str">
        <x:v>Other sectors</x:v>
      </x:c>
      <x:c r="D827" s="31" t="n">
        <x:v>1</x:v>
      </x:c>
      <x:c r="E827" s="39" t="str">
        <x:v>XLK</x:v>
      </x:c>
      <x:c r="F827" s="39" t="n">
        <x:v>-0.4178265503</x:v>
      </x:c>
      <x:c r="G827" s="39" t="n">
        <x:v>-2.0825291888</x:v>
      </x:c>
      <x:c r="H827" s="44" t="b">
        <x:v>0</x:v>
      </x:c>
      <x:c r="I827" s="39" t="n">
        <x:v>0.0526729371</x:v>
      </x:c>
    </x:row>
    <x:row r="828" ht="19" customHeight="1">
      <x:c r="A828" s="30" t="str">
        <x:v>stagger_1</x:v>
      </x:c>
      <x:c r="B828" s="39" t="str">
        <x:v>HD</x:v>
      </x:c>
      <x:c r="C828" s="39" t="str">
        <x:v>Other sectors</x:v>
      </x:c>
      <x:c r="D828" s="31" t="n">
        <x:v>1</x:v>
      </x:c>
      <x:c r="E828" s="39" t="str">
        <x:v>XLP</x:v>
      </x:c>
      <x:c r="F828" s="39" t="n">
        <x:v>0.5413852465</x:v>
      </x:c>
      <x:c r="G828" s="39" t="n">
        <x:v>2.7122273015</x:v>
      </x:c>
      <x:c r="H828" s="44" t="b">
        <x:v>0</x:v>
      </x:c>
      <x:c r="I828" s="39" t="n">
        <x:v>0.0861821276</x:v>
      </x:c>
    </x:row>
    <x:row r="829" ht="19" customHeight="1">
      <x:c r="A829" s="30" t="str">
        <x:v>stagger_1</x:v>
      </x:c>
      <x:c r="B829" s="39" t="str">
        <x:v>HD</x:v>
      </x:c>
      <x:c r="C829" s="39" t="str">
        <x:v>Other sectors</x:v>
      </x:c>
      <x:c r="D829" s="31" t="n">
        <x:v>1</x:v>
      </x:c>
      <x:c r="E829" s="39" t="str">
        <x:v>XLRE</x:v>
      </x:c>
      <x:c r="F829" s="39" t="n">
        <x:v>0.2881872101</x:v>
      </x:c>
      <x:c r="G829" s="39" t="n">
        <x:v>1.5525421899</x:v>
      </x:c>
      <x:c r="H829" s="44" t="b">
        <x:v>0</x:v>
      </x:c>
      <x:c r="I829" s="39" t="n">
        <x:v>0.0299760682</x:v>
      </x:c>
    </x:row>
    <x:row r="830" ht="19" customHeight="1">
      <x:c r="A830" s="30" t="str">
        <x:v>stagger_1</x:v>
      </x:c>
      <x:c r="B830" s="39" t="str">
        <x:v>HD</x:v>
      </x:c>
      <x:c r="C830" s="39" t="str">
        <x:v>Other sectors</x:v>
      </x:c>
      <x:c r="D830" s="31" t="n">
        <x:v>1</x:v>
      </x:c>
      <x:c r="E830" s="39" t="str">
        <x:v>XLU</x:v>
      </x:c>
      <x:c r="F830" s="39" t="n">
        <x:v>0.045197091</x:v>
      </x:c>
      <x:c r="G830" s="39" t="n">
        <x:v>0.2818973691</x:v>
      </x:c>
      <x:c r="H830" s="44" t="b">
        <x:v>0</x:v>
      </x:c>
      <x:c r="I830" s="39" t="n">
        <x:v>0.0010177596</x:v>
      </x:c>
    </x:row>
    <x:row r="831" ht="19" customHeight="1">
      <x:c r="A831" s="30" t="str">
        <x:v>stagger_1</x:v>
      </x:c>
      <x:c r="B831" s="39" t="str">
        <x:v>HD</x:v>
      </x:c>
      <x:c r="C831" s="39" t="str">
        <x:v>Other sectors</x:v>
      </x:c>
      <x:c r="D831" s="31" t="n">
        <x:v>1</x:v>
      </x:c>
      <x:c r="E831" s="39" t="str">
        <x:v>XLV</x:v>
      </x:c>
      <x:c r="F831" s="39" t="n">
        <x:v>0.3895830527</x:v>
      </x:c>
      <x:c r="G831" s="39" t="n">
        <x:v>2.1074504896</x:v>
      </x:c>
      <x:c r="H831" s="44" t="b">
        <x:v>0</x:v>
      </x:c>
      <x:c r="I831" s="39" t="n">
        <x:v>0.0538728162</x:v>
      </x:c>
    </x:row>
    <x:row r="832" ht="19" customHeight="1">
      <x:c r="A832" s="30" t="str">
        <x:v>stagger_1</x:v>
      </x:c>
      <x:c r="B832" s="39" t="str">
        <x:v>HD</x:v>
      </x:c>
      <x:c r="C832" s="39" t="str">
        <x:v>Other sectors</x:v>
      </x:c>
      <x:c r="D832" s="31" t="n">
        <x:v>2</x:v>
      </x:c>
      <x:c r="E832" s="39" t="str">
        <x:v>XLB</x:v>
      </x:c>
      <x:c r="F832" s="39" t="n">
        <x:v>0.0429918935</x:v>
      </x:c>
      <x:c r="G832" s="39" t="n">
        <x:v>0.2627038057</x:v>
      </x:c>
      <x:c r="H832" s="44" t="b">
        <x:v>0</x:v>
      </x:c>
      <x:c r="I832" s="39" t="n">
        <x:v>0.0008840036</x:v>
      </x:c>
    </x:row>
    <x:row r="833" ht="19" customHeight="1">
      <x:c r="A833" s="30" t="str">
        <x:v>stagger_1</x:v>
      </x:c>
      <x:c r="B833" s="39" t="str">
        <x:v>HD</x:v>
      </x:c>
      <x:c r="C833" s="39" t="str">
        <x:v>Other sectors</x:v>
      </x:c>
      <x:c r="D833" s="31" t="n">
        <x:v>2</x:v>
      </x:c>
      <x:c r="E833" s="39" t="str">
        <x:v>XLC</x:v>
      </x:c>
      <x:c r="F833" s="39" t="n">
        <x:v>0.1415159336</x:v>
      </x:c>
      <x:c r="G833" s="39" t="n">
        <x:v>0.6341821709</x:v>
      </x:c>
      <x:c r="H833" s="44" t="b">
        <x:v>0</x:v>
      </x:c>
      <x:c r="I833" s="39" t="n">
        <x:v>0.0051297935</x:v>
      </x:c>
    </x:row>
    <x:row r="834" ht="19" customHeight="1">
      <x:c r="A834" s="30" t="str">
        <x:v>stagger_1</x:v>
      </x:c>
      <x:c r="B834" s="39" t="str">
        <x:v>HD</x:v>
      </x:c>
      <x:c r="C834" s="39" t="str">
        <x:v>Other sectors</x:v>
      </x:c>
      <x:c r="D834" s="31" t="n">
        <x:v>2</x:v>
      </x:c>
      <x:c r="E834" s="39" t="str">
        <x:v>XLE</x:v>
      </x:c>
      <x:c r="F834" s="39" t="n">
        <x:v>-0.1037285035</x:v>
      </x:c>
      <x:c r="G834" s="39" t="n">
        <x:v>-1.183477299</x:v>
      </x:c>
      <x:c r="H834" s="44" t="b">
        <x:v>0</x:v>
      </x:c>
      <x:c r="I834" s="39" t="n">
        <x:v>0.0176398943</x:v>
      </x:c>
    </x:row>
    <x:row r="835" ht="19" customHeight="1">
      <x:c r="A835" s="30" t="str">
        <x:v>stagger_1</x:v>
      </x:c>
      <x:c r="B835" s="39" t="str">
        <x:v>HD</x:v>
      </x:c>
      <x:c r="C835" s="39" t="str">
        <x:v>Other sectors</x:v>
      </x:c>
      <x:c r="D835" s="31" t="n">
        <x:v>2</x:v>
      </x:c>
      <x:c r="E835" s="39" t="str">
        <x:v>XLF</x:v>
      </x:c>
      <x:c r="F835" s="39" t="n">
        <x:v>0.1008173783</x:v>
      </x:c>
      <x:c r="G835" s="39" t="n">
        <x:v>0.4821884789</x:v>
      </x:c>
      <x:c r="H835" s="44" t="b">
        <x:v>0</x:v>
      </x:c>
      <x:c r="I835" s="39" t="n">
        <x:v>0.0029719837</x:v>
      </x:c>
    </x:row>
    <x:row r="836" ht="19" customHeight="1">
      <x:c r="A836" s="30" t="str">
        <x:v>stagger_1</x:v>
      </x:c>
      <x:c r="B836" s="39" t="str">
        <x:v>HD</x:v>
      </x:c>
      <x:c r="C836" s="39" t="str">
        <x:v>Other sectors</x:v>
      </x:c>
      <x:c r="D836" s="31" t="n">
        <x:v>2</x:v>
      </x:c>
      <x:c r="E836" s="39" t="str">
        <x:v>XLK</x:v>
      </x:c>
      <x:c r="F836" s="39" t="n">
        <x:v>-0.2182204203</x:v>
      </x:c>
      <x:c r="G836" s="39" t="n">
        <x:v>-1.1202751493</x:v>
      </x:c>
      <x:c r="H836" s="44" t="b">
        <x:v>0</x:v>
      </x:c>
      <x:c r="I836" s="39" t="n">
        <x:v>0.0158351669</x:v>
      </x:c>
    </x:row>
    <x:row r="837" ht="19" customHeight="1">
      <x:c r="A837" s="30" t="str">
        <x:v>stagger_1</x:v>
      </x:c>
      <x:c r="B837" s="39" t="str">
        <x:v>HD</x:v>
      </x:c>
      <x:c r="C837" s="39" t="str">
        <x:v>Other sectors</x:v>
      </x:c>
      <x:c r="D837" s="31" t="n">
        <x:v>2</x:v>
      </x:c>
      <x:c r="E837" s="39" t="str">
        <x:v>XLP</x:v>
      </x:c>
      <x:c r="F837" s="39" t="n">
        <x:v>0.3014524026</x:v>
      </x:c>
      <x:c r="G837" s="39" t="n">
        <x:v>1.5384287109</x:v>
      </x:c>
      <x:c r="H837" s="44" t="b">
        <x:v>0</x:v>
      </x:c>
      <x:c r="I837" s="39" t="n">
        <x:v>0.0294495238</x:v>
      </x:c>
    </x:row>
    <x:row r="838" ht="19" customHeight="1">
      <x:c r="A838" s="30" t="str">
        <x:v>stagger_1</x:v>
      </x:c>
      <x:c r="B838" s="39" t="str">
        <x:v>HD</x:v>
      </x:c>
      <x:c r="C838" s="39" t="str">
        <x:v>Other sectors</x:v>
      </x:c>
      <x:c r="D838" s="31" t="n">
        <x:v>2</x:v>
      </x:c>
      <x:c r="E838" s="39" t="str">
        <x:v>XLRE</x:v>
      </x:c>
      <x:c r="F838" s="39" t="n">
        <x:v>0.1521314473</x:v>
      </x:c>
      <x:c r="G838" s="39" t="n">
        <x:v>0.8513449778</x:v>
      </x:c>
      <x:c r="H838" s="44" t="b">
        <x:v>0</x:v>
      </x:c>
      <x:c r="I838" s="39" t="n">
        <x:v>0.0092066081</x:v>
      </x:c>
    </x:row>
    <x:row r="839" ht="19" customHeight="1">
      <x:c r="A839" s="30" t="str">
        <x:v>stagger_1</x:v>
      </x:c>
      <x:c r="B839" s="39" t="str">
        <x:v>HD</x:v>
      </x:c>
      <x:c r="C839" s="39" t="str">
        <x:v>Other sectors</x:v>
      </x:c>
      <x:c r="D839" s="31" t="n">
        <x:v>2</x:v>
      </x:c>
      <x:c r="E839" s="39" t="str">
        <x:v>XLU</x:v>
      </x:c>
      <x:c r="F839" s="39" t="n">
        <x:v>-0.1181981829</x:v>
      </x:c>
      <x:c r="G839" s="39" t="n">
        <x:v>-0.7765343972</x:v>
      </x:c>
      <x:c r="H839" s="44" t="b">
        <x:v>0</x:v>
      </x:c>
      <x:c r="I839" s="39" t="n">
        <x:v>0.0076715345</x:v>
      </x:c>
    </x:row>
    <x:row r="840" ht="19" customHeight="1">
      <x:c r="A840" s="30" t="str">
        <x:v>stagger_1</x:v>
      </x:c>
      <x:c r="B840" s="39" t="str">
        <x:v>HD</x:v>
      </x:c>
      <x:c r="C840" s="39" t="str">
        <x:v>Other sectors</x:v>
      </x:c>
      <x:c r="D840" s="31" t="n">
        <x:v>2</x:v>
      </x:c>
      <x:c r="E840" s="39" t="str">
        <x:v>XLV</x:v>
      </x:c>
      <x:c r="F840" s="39" t="n">
        <x:v>0.308937352</x:v>
      </x:c>
      <x:c r="G840" s="39" t="n">
        <x:v>1.7393368855</x:v>
      </x:c>
      <x:c r="H840" s="44" t="b">
        <x:v>0</x:v>
      </x:c>
      <x:c r="I840" s="39" t="n">
        <x:v>0.0373376349</x:v>
      </x:c>
    </x:row>
    <x:row r="841" ht="19" customHeight="1">
      <x:c r="A841" s="30" t="str">
        <x:v>stagger_1</x:v>
      </x:c>
      <x:c r="B841" s="39" t="str">
        <x:v>KO</x:v>
      </x:c>
      <x:c r="C841" s="39" t="str">
        <x:v>Other FX</x:v>
      </x:c>
      <x:c r="D841" s="31" t="n">
        <x:v>1</x:v>
      </x:c>
      <x:c r="E841" s="39" t="str">
        <x:v>AUD/USD</x:v>
      </x:c>
      <x:c r="F841" s="39" t="n">
        <x:v>0.9641718478</x:v>
      </x:c>
      <x:c r="G841" s="39" t="n">
        <x:v>4.3975231718</x:v>
      </x:c>
      <x:c r="H841" s="44" t="b">
        <x:v>1</x:v>
      </x:c>
      <x:c r="I841" s="39" t="n">
        <x:v>0.1986702862</x:v>
      </x:c>
    </x:row>
    <x:row r="842" ht="19" customHeight="1">
      <x:c r="A842" s="30" t="str">
        <x:v>stagger_1</x:v>
      </x:c>
      <x:c r="B842" s="39" t="str">
        <x:v>KO</x:v>
      </x:c>
      <x:c r="C842" s="39" t="str">
        <x:v>Other sectors</x:v>
      </x:c>
      <x:c r="D842" s="31" t="n">
        <x:v>1</x:v>
      </x:c>
      <x:c r="E842" s="39" t="str">
        <x:v>XLB</x:v>
      </x:c>
      <x:c r="F842" s="39" t="n">
        <x:v>-0.2002186523</x:v>
      </x:c>
      <x:c r="G842" s="39" t="n">
        <x:v>-2.2366676606</x:v>
      </x:c>
      <x:c r="H842" s="44" t="b">
        <x:v>0</x:v>
      </x:c>
      <x:c r="I842" s="39" t="n">
        <x:v>0.0602713321</x:v>
      </x:c>
    </x:row>
    <x:row r="843" ht="19" customHeight="1">
      <x:c r="A843" s="30" t="str">
        <x:v>stagger_1</x:v>
      </x:c>
      <x:c r="B843" s="39" t="str">
        <x:v>KO</x:v>
      </x:c>
      <x:c r="C843" s="39" t="str">
        <x:v>Other sectors</x:v>
      </x:c>
      <x:c r="D843" s="31" t="n">
        <x:v>1</x:v>
      </x:c>
      <x:c r="E843" s="39" t="str">
        <x:v>XLC</x:v>
      </x:c>
      <x:c r="F843" s="39" t="n">
        <x:v>-0.393276837</x:v>
      </x:c>
      <x:c r="G843" s="39" t="n">
        <x:v>-3.3310594226</x:v>
      </x:c>
      <x:c r="H843" s="44" t="b">
        <x:v>0</x:v>
      </x:c>
      <x:c r="I843" s="39" t="n">
        <x:v>0.1245393985</x:v>
      </x:c>
    </x:row>
    <x:row r="844" ht="19" customHeight="1">
      <x:c r="A844" s="30" t="str">
        <x:v>stagger_1</x:v>
      </x:c>
      <x:c r="B844" s="39" t="str">
        <x:v>KO</x:v>
      </x:c>
      <x:c r="C844" s="39" t="str">
        <x:v>Other sectors</x:v>
      </x:c>
      <x:c r="D844" s="31" t="n">
        <x:v>1</x:v>
      </x:c>
      <x:c r="E844" s="39" t="str">
        <x:v>XLE</x:v>
      </x:c>
      <x:c r="F844" s="39" t="n">
        <x:v>0.0169847728</x:v>
      </x:c>
      <x:c r="G844" s="39" t="n">
        <x:v>0.3407928071</x:v>
      </x:c>
      <x:c r="H844" s="44" t="b">
        <x:v>0</x:v>
      </x:c>
      <x:c r="I844" s="39" t="n">
        <x:v>0.0014867573</x:v>
      </x:c>
    </x:row>
    <x:row r="845" ht="19" customHeight="1">
      <x:c r="A845" s="30" t="str">
        <x:v>stagger_1</x:v>
      </x:c>
      <x:c r="B845" s="39" t="str">
        <x:v>KO</x:v>
      </x:c>
      <x:c r="C845" s="39" t="str">
        <x:v>Other sectors</x:v>
      </x:c>
      <x:c r="D845" s="31" t="n">
        <x:v>1</x:v>
      </x:c>
      <x:c r="E845" s="39" t="str">
        <x:v>XLF</x:v>
      </x:c>
      <x:c r="F845" s="39" t="n">
        <x:v>-0.0886386157</x:v>
      </x:c>
      <x:c r="G845" s="39" t="n">
        <x:v>-0.7532555902</x:v>
      </x:c>
      <x:c r="H845" s="44" t="b">
        <x:v>0</x:v>
      </x:c>
      <x:c r="I845" s="39" t="n">
        <x:v>0.0072217488</x:v>
      </x:c>
    </x:row>
    <x:row r="846" ht="19" customHeight="1">
      <x:c r="A846" s="30" t="str">
        <x:v>stagger_1</x:v>
      </x:c>
      <x:c r="B846" s="39" t="str">
        <x:v>KO</x:v>
      </x:c>
      <x:c r="C846" s="39" t="str">
        <x:v>Other sectors</x:v>
      </x:c>
      <x:c r="D846" s="31" t="n">
        <x:v>1</x:v>
      </x:c>
      <x:c r="E846" s="39" t="str">
        <x:v>XLI</x:v>
      </x:c>
      <x:c r="F846" s="39" t="n">
        <x:v>-0.1355384143</x:v>
      </x:c>
      <x:c r="G846" s="39" t="n">
        <x:v>-1.098179951</x:v>
      </x:c>
      <x:c r="H846" s="44" t="b">
        <x:v>0</x:v>
      </x:c>
      <x:c r="I846" s="39" t="n">
        <x:v>0.0152261093</x:v>
      </x:c>
    </x:row>
    <x:row r="847" ht="19" customHeight="1">
      <x:c r="A847" s="30" t="str">
        <x:v>stagger_1</x:v>
      </x:c>
      <x:c r="B847" s="39" t="str">
        <x:v>KO</x:v>
      </x:c>
      <x:c r="C847" s="39" t="str">
        <x:v>Other sectors</x:v>
      </x:c>
      <x:c r="D847" s="31" t="n">
        <x:v>1</x:v>
      </x:c>
      <x:c r="E847" s="39" t="str">
        <x:v>XLK</x:v>
      </x:c>
      <x:c r="F847" s="39" t="n">
        <x:v>0.2105697218</x:v>
      </x:c>
      <x:c r="G847" s="39" t="n">
        <x:v>1.947040302</x:v>
      </x:c>
      <x:c r="H847" s="44" t="b">
        <x:v>0</x:v>
      </x:c>
      <x:c r="I847" s="39" t="n">
        <x:v>0.0463494457</x:v>
      </x:c>
    </x:row>
    <x:row r="848" ht="19" customHeight="1">
      <x:c r="A848" s="30" t="str">
        <x:v>stagger_1</x:v>
      </x:c>
      <x:c r="B848" s="39" t="str">
        <x:v>KO</x:v>
      </x:c>
      <x:c r="C848" s="39" t="str">
        <x:v>Other sectors</x:v>
      </x:c>
      <x:c r="D848" s="31" t="n">
        <x:v>1</x:v>
      </x:c>
      <x:c r="E848" s="39" t="str">
        <x:v>XLRE</x:v>
      </x:c>
      <x:c r="F848" s="39" t="n">
        <x:v>-0.0843845119</x:v>
      </x:c>
      <x:c r="G848" s="39" t="n">
        <x:v>-0.8371312048</x:v>
      </x:c>
      <x:c r="H848" s="44" t="b">
        <x:v>0</x:v>
      </x:c>
      <x:c r="I848" s="39" t="n">
        <x:v>0.008904468</x:v>
      </x:c>
    </x:row>
    <x:row r="849" ht="19" customHeight="1">
      <x:c r="A849" s="30" t="str">
        <x:v>stagger_1</x:v>
      </x:c>
      <x:c r="B849" s="39" t="str">
        <x:v>KO</x:v>
      </x:c>
      <x:c r="C849" s="39" t="str">
        <x:v>Other sectors</x:v>
      </x:c>
      <x:c r="D849" s="31" t="n">
        <x:v>1</x:v>
      </x:c>
      <x:c r="E849" s="39" t="str">
        <x:v>XLU</x:v>
      </x:c>
      <x:c r="F849" s="39" t="n">
        <x:v>-0.0102490463</x:v>
      </x:c>
      <x:c r="G849" s="39" t="n">
        <x:v>-0.1189353264</x:v>
      </x:c>
      <x:c r="H849" s="44" t="b">
        <x:v>0</x:v>
      </x:c>
      <x:c r="I849" s="39" t="n">
        <x:v>0.0001813211</x:v>
      </x:c>
    </x:row>
    <x:row r="850" ht="19" customHeight="1">
      <x:c r="A850" s="30" t="str">
        <x:v>stagger_1</x:v>
      </x:c>
      <x:c r="B850" s="39" t="str">
        <x:v>KO</x:v>
      </x:c>
      <x:c r="C850" s="39" t="str">
        <x:v>Other sectors</x:v>
      </x:c>
      <x:c r="D850" s="31" t="n">
        <x:v>1</x:v>
      </x:c>
      <x:c r="E850" s="39" t="str">
        <x:v>XLV</x:v>
      </x:c>
      <x:c r="F850" s="39" t="n">
        <x:v>0.1002744346</x:v>
      </x:c>
      <x:c r="G850" s="39" t="n">
        <x:v>0.9882180156</x:v>
      </x:c>
      <x:c r="H850" s="44" t="b">
        <x:v>0</x:v>
      </x:c>
      <x:c r="I850" s="39" t="n">
        <x:v>0.0123653735</x:v>
      </x:c>
    </x:row>
    <x:row r="851" ht="19" customHeight="1">
      <x:c r="A851" s="30" t="str">
        <x:v>stagger_1</x:v>
      </x:c>
      <x:c r="B851" s="39" t="str">
        <x:v>KO</x:v>
      </x:c>
      <x:c r="C851" s="39" t="str">
        <x:v>Other sectors</x:v>
      </x:c>
      <x:c r="D851" s="31" t="n">
        <x:v>1</x:v>
      </x:c>
      <x:c r="E851" s="39" t="str">
        <x:v>XLY</x:v>
      </x:c>
      <x:c r="F851" s="39" t="n">
        <x:v>-0.3946391309</x:v>
      </x:c>
      <x:c r="G851" s="39" t="n">
        <x:v>-3.4951456409</x:v>
      </x:c>
      <x:c r="H851" s="44" t="b">
        <x:v>1</x:v>
      </x:c>
      <x:c r="I851" s="39" t="n">
        <x:v>0.1354087659</x:v>
      </x:c>
    </x:row>
    <x:row r="852" ht="19" customHeight="1">
      <x:c r="A852" s="30" t="str">
        <x:v>stagger_1</x:v>
      </x:c>
      <x:c r="B852" s="39" t="str">
        <x:v>KO</x:v>
      </x:c>
      <x:c r="C852" s="39" t="str">
        <x:v>Other sectors</x:v>
      </x:c>
      <x:c r="D852" s="31" t="n">
        <x:v>2</x:v>
      </x:c>
      <x:c r="E852" s="39" t="str">
        <x:v>XLB</x:v>
      </x:c>
      <x:c r="F852" s="39" t="n">
        <x:v>-0.2217799258</x:v>
      </x:c>
      <x:c r="G852" s="39" t="n">
        <x:v>-2.7010401572</x:v>
      </x:c>
      <x:c r="H852" s="44" t="b">
        <x:v>1</x:v>
      </x:c>
      <x:c r="I852" s="39" t="n">
        <x:v>0.0855333264</x:v>
      </x:c>
    </x:row>
    <x:row r="853" ht="19" customHeight="1">
      <x:c r="A853" s="30" t="str">
        <x:v>stagger_1</x:v>
      </x:c>
      <x:c r="B853" s="39" t="str">
        <x:v>KO</x:v>
      </x:c>
      <x:c r="C853" s="39" t="str">
        <x:v>Other sectors</x:v>
      </x:c>
      <x:c r="D853" s="31" t="n">
        <x:v>2</x:v>
      </x:c>
      <x:c r="E853" s="39" t="str">
        <x:v>XLC</x:v>
      </x:c>
      <x:c r="F853" s="39" t="n">
        <x:v>-0.2644528786</x:v>
      </x:c>
      <x:c r="G853" s="39" t="n">
        <x:v>-2.3311493622</x:v>
      </x:c>
      <x:c r="H853" s="44" t="b">
        <x:v>0</x:v>
      </x:c>
      <x:c r="I853" s="39" t="n">
        <x:v>0.0651322073</x:v>
      </x:c>
    </x:row>
    <x:row r="854" ht="19" customHeight="1">
      <x:c r="A854" s="30" t="str">
        <x:v>stagger_1</x:v>
      </x:c>
      <x:c r="B854" s="39" t="str">
        <x:v>KO</x:v>
      </x:c>
      <x:c r="C854" s="39" t="str">
        <x:v>Other sectors</x:v>
      </x:c>
      <x:c r="D854" s="31" t="n">
        <x:v>2</x:v>
      </x:c>
      <x:c r="E854" s="39" t="str">
        <x:v>XLE</x:v>
      </x:c>
      <x:c r="F854" s="39" t="n">
        <x:v>-0.0221958098</x:v>
      </x:c>
      <x:c r="G854" s="39" t="n">
        <x:v>-0.4793048206</x:v>
      </x:c>
      <x:c r="H854" s="44" t="b">
        <x:v>0</x:v>
      </x:c>
      <x:c r="I854" s="39" t="n">
        <x:v>0.002936647</x:v>
      </x:c>
    </x:row>
    <x:row r="855" ht="19" customHeight="1">
      <x:c r="A855" s="30" t="str">
        <x:v>stagger_1</x:v>
      </x:c>
      <x:c r="B855" s="39" t="str">
        <x:v>KO</x:v>
      </x:c>
      <x:c r="C855" s="39" t="str">
        <x:v>Other sectors</x:v>
      </x:c>
      <x:c r="D855" s="31" t="n">
        <x:v>2</x:v>
      </x:c>
      <x:c r="E855" s="39" t="str">
        <x:v>XLF</x:v>
      </x:c>
      <x:c r="F855" s="39" t="n">
        <x:v>-0.1003694664</x:v>
      </x:c>
      <x:c r="G855" s="39" t="n">
        <x:v>-0.9189246767</x:v>
      </x:c>
      <x:c r="H855" s="44" t="b">
        <x:v>0</x:v>
      </x:c>
      <x:c r="I855" s="39" t="n">
        <x:v>0.0107099847</x:v>
      </x:c>
    </x:row>
    <x:row r="856" ht="19" customHeight="1">
      <x:c r="A856" s="30" t="str">
        <x:v>stagger_1</x:v>
      </x:c>
      <x:c r="B856" s="39" t="str">
        <x:v>KO</x:v>
      </x:c>
      <x:c r="C856" s="39" t="str">
        <x:v>Other sectors</x:v>
      </x:c>
      <x:c r="D856" s="31" t="n">
        <x:v>2</x:v>
      </x:c>
      <x:c r="E856" s="39" t="str">
        <x:v>XLI</x:v>
      </x:c>
      <x:c r="F856" s="39" t="n">
        <x:v>-0.184438513</x:v>
      </x:c>
      <x:c r="G856" s="39" t="n">
        <x:v>-1.6215295631</x:v>
      </x:c>
      <x:c r="H856" s="44" t="b">
        <x:v>0</x:v>
      </x:c>
      <x:c r="I856" s="39" t="n">
        <x:v>0.0326104311</x:v>
      </x:c>
    </x:row>
    <x:row r="857" ht="19" customHeight="1">
      <x:c r="A857" s="30" t="str">
        <x:v>stagger_1</x:v>
      </x:c>
      <x:c r="B857" s="39" t="str">
        <x:v>KO</x:v>
      </x:c>
      <x:c r="C857" s="39" t="str">
        <x:v>Other sectors</x:v>
      </x:c>
      <x:c r="D857" s="31" t="n">
        <x:v>2</x:v>
      </x:c>
      <x:c r="E857" s="39" t="str">
        <x:v>XLK</x:v>
      </x:c>
      <x:c r="F857" s="39" t="n">
        <x:v>0.1445060499</x:v>
      </x:c>
      <x:c r="G857" s="39" t="n">
        <x:v>1.4213696231</x:v>
      </x:c>
      <x:c r="H857" s="44" t="b">
        <x:v>0</x:v>
      </x:c>
      <x:c r="I857" s="39" t="n">
        <x:v>0.0252472412</x:v>
      </x:c>
    </x:row>
    <x:row r="858" ht="19" customHeight="1">
      <x:c r="A858" s="30" t="str">
        <x:v>stagger_1</x:v>
      </x:c>
      <x:c r="B858" s="39" t="str">
        <x:v>KO</x:v>
      </x:c>
      <x:c r="C858" s="39" t="str">
        <x:v>Other sectors</x:v>
      </x:c>
      <x:c r="D858" s="31" t="n">
        <x:v>2</x:v>
      </x:c>
      <x:c r="E858" s="39" t="str">
        <x:v>XLRE</x:v>
      </x:c>
      <x:c r="F858" s="39" t="n">
        <x:v>-0.0467184623</x:v>
      </x:c>
      <x:c r="G858" s="39" t="n">
        <x:v>-0.4970021309</x:v>
      </x:c>
      <x:c r="H858" s="44" t="b">
        <x:v>0</x:v>
      </x:c>
      <x:c r="I858" s="39" t="n">
        <x:v>0.0031568122</x:v>
      </x:c>
    </x:row>
    <x:row r="859" ht="19" customHeight="1">
      <x:c r="A859" s="30" t="str">
        <x:v>stagger_1</x:v>
      </x:c>
      <x:c r="B859" s="39" t="str">
        <x:v>KO</x:v>
      </x:c>
      <x:c r="C859" s="39" t="str">
        <x:v>Other sectors</x:v>
      </x:c>
      <x:c r="D859" s="31" t="n">
        <x:v>2</x:v>
      </x:c>
      <x:c r="E859" s="39" t="str">
        <x:v>XLU</x:v>
      </x:c>
      <x:c r="F859" s="39" t="n">
        <x:v>-0.024291362</x:v>
      </x:c>
      <x:c r="G859" s="39" t="n">
        <x:v>-0.3033126034</x:v>
      </x:c>
      <x:c r="H859" s="44" t="b">
        <x:v>0</x:v>
      </x:c>
      <x:c r="I859" s="39" t="n">
        <x:v>0.0011780789</x:v>
      </x:c>
    </x:row>
    <x:row r="860" ht="19" customHeight="1">
      <x:c r="A860" s="30" t="str">
        <x:v>stagger_1</x:v>
      </x:c>
      <x:c r="B860" s="39" t="str">
        <x:v>KO</x:v>
      </x:c>
      <x:c r="C860" s="39" t="str">
        <x:v>Other sectors</x:v>
      </x:c>
      <x:c r="D860" s="31" t="n">
        <x:v>2</x:v>
      </x:c>
      <x:c r="E860" s="39" t="str">
        <x:v>XLV</x:v>
      </x:c>
      <x:c r="F860" s="39" t="n">
        <x:v>0.0075557791</x:v>
      </x:c>
      <x:c r="G860" s="39" t="n">
        <x:v>0.0795888397</x:v>
      </x:c>
      <x:c r="H860" s="44" t="b">
        <x:v>0</x:v>
      </x:c>
      <x:c r="I860" s="39" t="n">
        <x:v>0.0000812034</x:v>
      </x:c>
    </x:row>
    <x:row r="861" ht="19" customHeight="1">
      <x:c r="A861" s="30" t="str">
        <x:v>stagger_1</x:v>
      </x:c>
      <x:c r="B861" s="39" t="str">
        <x:v>KO</x:v>
      </x:c>
      <x:c r="C861" s="39" t="str">
        <x:v>Other sectors</x:v>
      </x:c>
      <x:c r="D861" s="31" t="n">
        <x:v>3</x:v>
      </x:c>
      <x:c r="E861" s="39" t="str">
        <x:v>XLC</x:v>
      </x:c>
      <x:c r="F861" s="39" t="n">
        <x:v>-0.2829501986</x:v>
      </x:c>
      <x:c r="G861" s="39" t="n">
        <x:v>-2.6314309513</x:v>
      </x:c>
      <x:c r="H861" s="44" t="b">
        <x:v>1</x:v>
      </x:c>
      <x:c r="I861" s="39" t="n">
        <x:v>0.0815363606</x:v>
      </x:c>
    </x:row>
    <x:row r="862" ht="19" customHeight="1">
      <x:c r="A862" s="30" t="str">
        <x:v>stagger_1</x:v>
      </x:c>
      <x:c r="B862" s="39" t="str">
        <x:v>KO</x:v>
      </x:c>
      <x:c r="C862" s="39" t="str">
        <x:v>Other sectors</x:v>
      </x:c>
      <x:c r="D862" s="31" t="n">
        <x:v>3</x:v>
      </x:c>
      <x:c r="E862" s="39" t="str">
        <x:v>XLE</x:v>
      </x:c>
      <x:c r="F862" s="39" t="n">
        <x:v>0.0159044095</x:v>
      </x:c>
      <x:c r="G862" s="39" t="n">
        <x:v>0.3589170773</x:v>
      </x:c>
      <x:c r="H862" s="44" t="b">
        <x:v>0</x:v>
      </x:c>
      <x:c r="I862" s="39" t="n">
        <x:v>0.0016488341</x:v>
      </x:c>
    </x:row>
    <x:row r="863" ht="19" customHeight="1">
      <x:c r="A863" s="30" t="str">
        <x:v>stagger_1</x:v>
      </x:c>
      <x:c r="B863" s="39" t="str">
        <x:v>KO</x:v>
      </x:c>
      <x:c r="C863" s="39" t="str">
        <x:v>Other sectors</x:v>
      </x:c>
      <x:c r="D863" s="31" t="n">
        <x:v>3</x:v>
      </x:c>
      <x:c r="E863" s="39" t="str">
        <x:v>XLF</x:v>
      </x:c>
      <x:c r="F863" s="39" t="n">
        <x:v>0.0021913456</x:v>
      </x:c>
      <x:c r="G863" s="39" t="n">
        <x:v>0.0208673957</x:v>
      </x:c>
      <x:c r="H863" s="44" t="b">
        <x:v>0</x:v>
      </x:c>
      <x:c r="I863" s="39" t="n">
        <x:v>0.0000055826</x:v>
      </x:c>
    </x:row>
    <x:row r="864" ht="19" customHeight="1">
      <x:c r="A864" s="30" t="str">
        <x:v>stagger_1</x:v>
      </x:c>
      <x:c r="B864" s="39" t="str">
        <x:v>KO</x:v>
      </x:c>
      <x:c r="C864" s="39" t="str">
        <x:v>Other sectors</x:v>
      </x:c>
      <x:c r="D864" s="31" t="n">
        <x:v>3</x:v>
      </x:c>
      <x:c r="E864" s="39" t="str">
        <x:v>XLI</x:v>
      </x:c>
      <x:c r="F864" s="39" t="n">
        <x:v>0.051481864</x:v>
      </x:c>
      <x:c r="G864" s="39" t="n">
        <x:v>0.4661744218</x:v>
      </x:c>
      <x:c r="H864" s="44" t="b">
        <x:v>0</x:v>
      </x:c>
      <x:c r="I864" s="39" t="n">
        <x:v>0.0027783948</x:v>
      </x:c>
    </x:row>
    <x:row r="865" ht="19" customHeight="1">
      <x:c r="A865" s="30" t="str">
        <x:v>stagger_1</x:v>
      </x:c>
      <x:c r="B865" s="39" t="str">
        <x:v>KO</x:v>
      </x:c>
      <x:c r="C865" s="39" t="str">
        <x:v>Other sectors</x:v>
      </x:c>
      <x:c r="D865" s="31" t="n">
        <x:v>3</x:v>
      </x:c>
      <x:c r="E865" s="39" t="str">
        <x:v>XLK</x:v>
      </x:c>
      <x:c r="F865" s="39" t="n">
        <x:v>0.0161867224</x:v>
      </x:c>
      <x:c r="G865" s="39" t="n">
        <x:v>0.1644062973</x:v>
      </x:c>
      <x:c r="H865" s="44" t="b">
        <x:v>0</x:v>
      </x:c>
      <x:c r="I865" s="39" t="n">
        <x:v>0.0003464111</x:v>
      </x:c>
    </x:row>
    <x:row r="866" ht="19" customHeight="1">
      <x:c r="A866" s="30" t="str">
        <x:v>stagger_1</x:v>
      </x:c>
      <x:c r="B866" s="39" t="str">
        <x:v>KO</x:v>
      </x:c>
      <x:c r="C866" s="39" t="str">
        <x:v>Other sectors</x:v>
      </x:c>
      <x:c r="D866" s="31" t="n">
        <x:v>3</x:v>
      </x:c>
      <x:c r="E866" s="39" t="str">
        <x:v>XLRE</x:v>
      </x:c>
      <x:c r="F866" s="39" t="n">
        <x:v>0.0500432083</x:v>
      </x:c>
      <x:c r="G866" s="39" t="n">
        <x:v>0.5569370932</x:v>
      </x:c>
      <x:c r="H866" s="44" t="b">
        <x:v>0</x:v>
      </x:c>
      <x:c r="I866" s="39" t="n">
        <x:v>0.0039609018</x:v>
      </x:c>
    </x:row>
    <x:row r="867" ht="19" customHeight="1">
      <x:c r="A867" s="30" t="str">
        <x:v>stagger_1</x:v>
      </x:c>
      <x:c r="B867" s="39" t="str">
        <x:v>KO</x:v>
      </x:c>
      <x:c r="C867" s="39" t="str">
        <x:v>Other sectors</x:v>
      </x:c>
      <x:c r="D867" s="31" t="n">
        <x:v>3</x:v>
      </x:c>
      <x:c r="E867" s="39" t="str">
        <x:v>XLU</x:v>
      </x:c>
      <x:c r="F867" s="39" t="n">
        <x:v>0.0579749569</x:v>
      </x:c>
      <x:c r="G867" s="39" t="n">
        <x:v>0.7593437802</x:v>
      </x:c>
      <x:c r="H867" s="44" t="b">
        <x:v>0</x:v>
      </x:c>
      <x:c r="I867" s="39" t="n">
        <x:v>0.0073381001</x:v>
      </x:c>
    </x:row>
    <x:row r="868" ht="19" customHeight="1">
      <x:c r="A868" s="30" t="str">
        <x:v>stagger_1</x:v>
      </x:c>
      <x:c r="B868" s="39" t="str">
        <x:v>KO</x:v>
      </x:c>
      <x:c r="C868" s="39" t="str">
        <x:v>Other sectors</x:v>
      </x:c>
      <x:c r="D868" s="31" t="n">
        <x:v>3</x:v>
      </x:c>
      <x:c r="E868" s="39" t="str">
        <x:v>XLV</x:v>
      </x:c>
      <x:c r="F868" s="39" t="n">
        <x:v>0.0756182727</x:v>
      </x:c>
      <x:c r="G868" s="39" t="n">
        <x:v>0.8366389193</x:v>
      </x:c>
      <x:c r="H868" s="44" t="b">
        <x:v>0</x:v>
      </x:c>
      <x:c r="I868" s="39" t="n">
        <x:v>0.0088940914</x:v>
      </x:c>
    </x:row>
    <x:row r="869" ht="19" customHeight="1">
      <x:c r="A869" s="30" t="str">
        <x:v>stagger_1</x:v>
      </x:c>
      <x:c r="B869" s="39" t="str">
        <x:v>KO</x:v>
      </x:c>
      <x:c r="C869" s="39" t="str">
        <x:v>Other sectors</x:v>
      </x:c>
      <x:c r="D869" s="31" t="n">
        <x:v>4</x:v>
      </x:c>
      <x:c r="E869" s="39" t="str">
        <x:v>XLE</x:v>
      </x:c>
      <x:c r="F869" s="39" t="n">
        <x:v>0.0234030863</x:v>
      </x:c>
      <x:c r="G869" s="39" t="n">
        <x:v>0.5517039677</x:v>
      </x:c>
      <x:c r="H869" s="44" t="b">
        <x:v>0</x:v>
      </x:c>
      <x:c r="I869" s="39" t="n">
        <x:v>0.0038871041</x:v>
      </x:c>
    </x:row>
    <x:row r="870" ht="19" customHeight="1">
      <x:c r="A870" s="30" t="str">
        <x:v>stagger_1</x:v>
      </x:c>
      <x:c r="B870" s="39" t="str">
        <x:v>KO</x:v>
      </x:c>
      <x:c r="C870" s="39" t="str">
        <x:v>Other sectors</x:v>
      </x:c>
      <x:c r="D870" s="31" t="n">
        <x:v>4</x:v>
      </x:c>
      <x:c r="E870" s="39" t="str">
        <x:v>XLF</x:v>
      </x:c>
      <x:c r="F870" s="39" t="n">
        <x:v>0.0157138835</x:v>
      </x:c>
      <x:c r="G870" s="39" t="n">
        <x:v>0.156162444</x:v>
      </x:c>
      <x:c r="H870" s="44" t="b">
        <x:v>0</x:v>
      </x:c>
      <x:c r="I870" s="39" t="n">
        <x:v>0.0003125524</x:v>
      </x:c>
    </x:row>
    <x:row r="871" ht="19" customHeight="1">
      <x:c r="A871" s="30" t="str">
        <x:v>stagger_1</x:v>
      </x:c>
      <x:c r="B871" s="39" t="str">
        <x:v>KO</x:v>
      </x:c>
      <x:c r="C871" s="39" t="str">
        <x:v>Other sectors</x:v>
      </x:c>
      <x:c r="D871" s="31" t="n">
        <x:v>4</x:v>
      </x:c>
      <x:c r="E871" s="39" t="str">
        <x:v>XLI</x:v>
      </x:c>
      <x:c r="F871" s="39" t="n">
        <x:v>0.0121236203</x:v>
      </x:c>
      <x:c r="G871" s="39" t="n">
        <x:v>0.1144004658</x:v>
      </x:c>
      <x:c r="H871" s="44" t="b">
        <x:v>0</x:v>
      </x:c>
      <x:c r="I871" s="39" t="n">
        <x:v>0.0001677599</x:v>
      </x:c>
    </x:row>
    <x:row r="872" ht="19" customHeight="1">
      <x:c r="A872" s="30" t="str">
        <x:v>stagger_1</x:v>
      </x:c>
      <x:c r="B872" s="39" t="str">
        <x:v>KO</x:v>
      </x:c>
      <x:c r="C872" s="39" t="str">
        <x:v>Other sectors</x:v>
      </x:c>
      <x:c r="D872" s="31" t="n">
        <x:v>4</x:v>
      </x:c>
      <x:c r="E872" s="39" t="str">
        <x:v>XLK</x:v>
      </x:c>
      <x:c r="F872" s="39" t="n">
        <x:v>-0.0764505927</x:v>
      </x:c>
      <x:c r="G872" s="39" t="n">
        <x:v>-0.8135211583</x:v>
      </x:c>
      <x:c r="H872" s="44" t="b">
        <x:v>0</x:v>
      </x:c>
      <x:c r="I872" s="39" t="n">
        <x:v>0.0084134425</x:v>
      </x:c>
    </x:row>
    <x:row r="873" ht="19" customHeight="1">
      <x:c r="A873" s="30" t="str">
        <x:v>stagger_1</x:v>
      </x:c>
      <x:c r="B873" s="39" t="str">
        <x:v>KO</x:v>
      </x:c>
      <x:c r="C873" s="39" t="str">
        <x:v>Other sectors</x:v>
      </x:c>
      <x:c r="D873" s="31" t="n">
        <x:v>4</x:v>
      </x:c>
      <x:c r="E873" s="39" t="str">
        <x:v>XLRE</x:v>
      </x:c>
      <x:c r="F873" s="39" t="n">
        <x:v>0.0459893046</x:v>
      </x:c>
      <x:c r="G873" s="39" t="n">
        <x:v>0.5339706335</x:v>
      </x:c>
      <x:c r="H873" s="44" t="b">
        <x:v>0</x:v>
      </x:c>
      <x:c r="I873" s="39" t="n">
        <x:v>0.0036421305</x:v>
      </x:c>
    </x:row>
    <x:row r="874" ht="19" customHeight="1">
      <x:c r="A874" s="30" t="str">
        <x:v>stagger_1</x:v>
      </x:c>
      <x:c r="B874" s="39" t="str">
        <x:v>KO</x:v>
      </x:c>
      <x:c r="C874" s="39" t="str">
        <x:v>Other sectors</x:v>
      </x:c>
      <x:c r="D874" s="31" t="n">
        <x:v>4</x:v>
      </x:c>
      <x:c r="E874" s="39" t="str">
        <x:v>XLU</x:v>
      </x:c>
      <x:c r="F874" s="39" t="n">
        <x:v>0.0349620381</x:v>
      </x:c>
      <x:c r="G874" s="39" t="n">
        <x:v>0.4767561442</x:v>
      </x:c>
      <x:c r="H874" s="44" t="b">
        <x:v>0</x:v>
      </x:c>
      <x:c r="I874" s="39" t="n">
        <x:v>0.0029055896</x:v>
      </x:c>
    </x:row>
    <x:row r="875" ht="19" customHeight="1">
      <x:c r="A875" s="30" t="str">
        <x:v>stagger_1</x:v>
      </x:c>
      <x:c r="B875" s="39" t="str">
        <x:v>KO</x:v>
      </x:c>
      <x:c r="C875" s="39" t="str">
        <x:v>Other sectors</x:v>
      </x:c>
      <x:c r="D875" s="31" t="n">
        <x:v>4</x:v>
      </x:c>
      <x:c r="E875" s="39" t="str">
        <x:v>XLV</x:v>
      </x:c>
      <x:c r="F875" s="39" t="n">
        <x:v>0.075279276</x:v>
      </x:c>
      <x:c r="G875" s="39" t="n">
        <x:v>0.8693803638</x:v>
      </x:c>
      <x:c r="H875" s="44" t="b">
        <x:v>0</x:v>
      </x:c>
      <x:c r="I875" s="39" t="n">
        <x:v>0.0095970329</x:v>
      </x:c>
    </x:row>
    <x:row r="876" ht="19" customHeight="1">
      <x:c r="A876" s="30" t="str">
        <x:v>stagger_1</x:v>
      </x:c>
      <x:c r="B876" s="39" t="str">
        <x:v>JNJ</x:v>
      </x:c>
      <x:c r="C876" s="39" t="str">
        <x:v>Other FX</x:v>
      </x:c>
      <x:c r="D876" s="31" t="n">
        <x:v>1</x:v>
      </x:c>
      <x:c r="E876" s="39" t="str">
        <x:v>AUD/USD</x:v>
      </x:c>
      <x:c r="F876" s="39" t="n">
        <x:v>0.5952548324</x:v>
      </x:c>
      <x:c r="G876" s="39" t="n">
        <x:v>2.2506340806</x:v>
      </x:c>
      <x:c r="H876" s="44" t="b">
        <x:v>1</x:v>
      </x:c>
      <x:c r="I876" s="39" t="n">
        <x:v>0.060980343</x:v>
      </x:c>
    </x:row>
    <x:row r="877" ht="19" customHeight="1">
      <x:c r="A877" s="30" t="str">
        <x:v>stagger_1</x:v>
      </x:c>
      <x:c r="B877" s="39" t="str">
        <x:v>JNJ</x:v>
      </x:c>
      <x:c r="C877" s="39" t="str">
        <x:v>Other sectors</x:v>
      </x:c>
      <x:c r="D877" s="31" t="n">
        <x:v>1</x:v>
      </x:c>
      <x:c r="E877" s="39" t="str">
        <x:v>XLB</x:v>
      </x:c>
      <x:c r="F877" s="39" t="n">
        <x:v>0.106305733</x:v>
      </x:c>
      <x:c r="G877" s="39" t="n">
        <x:v>0.9790983116</x:v>
      </x:c>
      <x:c r="H877" s="44" t="b">
        <x:v>0</x:v>
      </x:c>
      <x:c r="I877" s="39" t="n">
        <x:v>0.0121409586</x:v>
      </x:c>
    </x:row>
    <x:row r="878" ht="19" customHeight="1">
      <x:c r="A878" s="30" t="str">
        <x:v>stagger_1</x:v>
      </x:c>
      <x:c r="B878" s="39" t="str">
        <x:v>JNJ</x:v>
      </x:c>
      <x:c r="C878" s="39" t="str">
        <x:v>Other sectors</x:v>
      </x:c>
      <x:c r="D878" s="31" t="n">
        <x:v>1</x:v>
      </x:c>
      <x:c r="E878" s="39" t="str">
        <x:v>XLC</x:v>
      </x:c>
      <x:c r="F878" s="39" t="n">
        <x:v>0.0831286685</x:v>
      </x:c>
      <x:c r="G878" s="39" t="n">
        <x:v>0.5580038381</x:v>
      </x:c>
      <x:c r="H878" s="44" t="b">
        <x:v>0</x:v>
      </x:c>
      <x:c r="I878" s="39" t="n">
        <x:v>0.0039760292</x:v>
      </x:c>
    </x:row>
    <x:row r="879" ht="19" customHeight="1">
      <x:c r="A879" s="30" t="str">
        <x:v>stagger_1</x:v>
      </x:c>
      <x:c r="B879" s="39" t="str">
        <x:v>JNJ</x:v>
      </x:c>
      <x:c r="C879" s="39" t="str">
        <x:v>Other sectors</x:v>
      </x:c>
      <x:c r="D879" s="31" t="n">
        <x:v>1</x:v>
      </x:c>
      <x:c r="E879" s="39" t="str">
        <x:v>XLE</x:v>
      </x:c>
      <x:c r="F879" s="39" t="n">
        <x:v>0.0635585311</x:v>
      </x:c>
      <x:c r="G879" s="39" t="n">
        <x:v>1.085313208</x:v>
      </x:c>
      <x:c r="H879" s="44" t="b">
        <x:v>0</x:v>
      </x:c>
      <x:c r="I879" s="39" t="n">
        <x:v>0.0148766851</x:v>
      </x:c>
    </x:row>
    <x:row r="880" ht="19" customHeight="1">
      <x:c r="A880" s="30" t="str">
        <x:v>stagger_1</x:v>
      </x:c>
      <x:c r="B880" s="39" t="str">
        <x:v>JNJ</x:v>
      </x:c>
      <x:c r="C880" s="39" t="str">
        <x:v>Other sectors</x:v>
      </x:c>
      <x:c r="D880" s="31" t="n">
        <x:v>1</x:v>
      </x:c>
      <x:c r="E880" s="39" t="str">
        <x:v>XLF</x:v>
      </x:c>
      <x:c r="F880" s="39" t="n">
        <x:v>-0.1048999743</x:v>
      </x:c>
      <x:c r="G880" s="39" t="n">
        <x:v>-0.7535550242</x:v>
      </x:c>
      <x:c r="H880" s="44" t="b">
        <x:v>0</x:v>
      </x:c>
      <x:c r="I880" s="39" t="n">
        <x:v>0.00722745</x:v>
      </x:c>
    </x:row>
    <x:row r="881" ht="19" customHeight="1">
      <x:c r="A881" s="30" t="str">
        <x:v>stagger_1</x:v>
      </x:c>
      <x:c r="B881" s="39" t="str">
        <x:v>JNJ</x:v>
      </x:c>
      <x:c r="C881" s="39" t="str">
        <x:v>Other sectors</x:v>
      </x:c>
      <x:c r="D881" s="31" t="n">
        <x:v>1</x:v>
      </x:c>
      <x:c r="E881" s="39" t="str">
        <x:v>XLI</x:v>
      </x:c>
      <x:c r="F881" s="39" t="n">
        <x:v>0.1531324318</x:v>
      </x:c>
      <x:c r="G881" s="39" t="n">
        <x:v>1.0480991033</x:v>
      </x:c>
      <x:c r="H881" s="44" t="b">
        <x:v>0</x:v>
      </x:c>
      <x:c r="I881" s="39" t="n">
        <x:v>0.0138878938</x:v>
      </x:c>
    </x:row>
    <x:row r="882" ht="19" customHeight="1">
      <x:c r="A882" s="30" t="str">
        <x:v>stagger_1</x:v>
      </x:c>
      <x:c r="B882" s="39" t="str">
        <x:v>JNJ</x:v>
      </x:c>
      <x:c r="C882" s="39" t="str">
        <x:v>Other sectors</x:v>
      </x:c>
      <x:c r="D882" s="31" t="n">
        <x:v>1</x:v>
      </x:c>
      <x:c r="E882" s="39" t="str">
        <x:v>XLK</x:v>
      </x:c>
      <x:c r="F882" s="39" t="n">
        <x:v>-0.1374890137</x:v>
      </x:c>
      <x:c r="G882" s="39" t="n">
        <x:v>-1.0569355437</x:v>
      </x:c>
      <x:c r="H882" s="44" t="b">
        <x:v>0</x:v>
      </x:c>
      <x:c r="I882" s="39" t="n">
        <x:v>0.014119736</x:v>
      </x:c>
    </x:row>
    <x:row r="883" ht="19" customHeight="1">
      <x:c r="A883" s="30" t="str">
        <x:v>stagger_1</x:v>
      </x:c>
      <x:c r="B883" s="39" t="str">
        <x:v>JNJ</x:v>
      </x:c>
      <x:c r="C883" s="39" t="str">
        <x:v>Other sectors</x:v>
      </x:c>
      <x:c r="D883" s="31" t="n">
        <x:v>1</x:v>
      </x:c>
      <x:c r="E883" s="39" t="str">
        <x:v>XLP</x:v>
      </x:c>
      <x:c r="F883" s="39" t="n">
        <x:v>0.3110106434</x:v>
      </x:c>
      <x:c r="G883" s="39" t="n">
        <x:v>2.4306765465</x:v>
      </x:c>
      <x:c r="H883" s="44" t="b">
        <x:v>1</x:v>
      </x:c>
      <x:c r="I883" s="39" t="n">
        <x:v>0.0704125376</x:v>
      </x:c>
    </x:row>
    <x:row r="884" ht="19" customHeight="1">
      <x:c r="A884" s="30" t="str">
        <x:v>stagger_1</x:v>
      </x:c>
      <x:c r="B884" s="39" t="str">
        <x:v>JNJ</x:v>
      </x:c>
      <x:c r="C884" s="39" t="str">
        <x:v>Other sectors</x:v>
      </x:c>
      <x:c r="D884" s="31" t="n">
        <x:v>1</x:v>
      </x:c>
      <x:c r="E884" s="39" t="str">
        <x:v>XLRE</x:v>
      </x:c>
      <x:c r="F884" s="39" t="n">
        <x:v>0.0639200122</x:v>
      </x:c>
      <x:c r="G884" s="39" t="n">
        <x:v>0.534611826</x:v>
      </x:c>
      <x:c r="H884" s="44" t="b">
        <x:v>0</x:v>
      </x:c>
      <x:c r="I884" s="39" t="n">
        <x:v>0.0036508507</x:v>
      </x:c>
    </x:row>
    <x:row r="885" ht="19" customHeight="1">
      <x:c r="A885" s="30" t="str">
        <x:v>stagger_1</x:v>
      </x:c>
      <x:c r="B885" s="39" t="str">
        <x:v>JNJ</x:v>
      </x:c>
      <x:c r="C885" s="39" t="str">
        <x:v>Other sectors</x:v>
      </x:c>
      <x:c r="D885" s="31" t="n">
        <x:v>1</x:v>
      </x:c>
      <x:c r="E885" s="39" t="str">
        <x:v>XLU</x:v>
      </x:c>
      <x:c r="F885" s="39" t="n">
        <x:v>0.1511933286</x:v>
      </x:c>
      <x:c r="G885" s="39" t="n">
        <x:v>1.5043546242</x:v>
      </x:c>
      <x:c r="H885" s="44" t="b">
        <x:v>0</x:v>
      </x:c>
      <x:c r="I885" s="39" t="n">
        <x:v>0.0281958125</x:v>
      </x:c>
    </x:row>
    <x:row r="886" ht="19" customHeight="1">
      <x:c r="A886" s="30" t="str">
        <x:v>stagger_1</x:v>
      </x:c>
      <x:c r="B886" s="39" t="str">
        <x:v>JNJ</x:v>
      </x:c>
      <x:c r="C886" s="39" t="str">
        <x:v>Other sectors</x:v>
      </x:c>
      <x:c r="D886" s="31" t="n">
        <x:v>1</x:v>
      </x:c>
      <x:c r="E886" s="39" t="str">
        <x:v>XLY</x:v>
      </x:c>
      <x:c r="F886" s="39" t="n">
        <x:v>-0.0143434778</x:v>
      </x:c>
      <x:c r="G886" s="39" t="n">
        <x:v>-0.0998554355</x:v>
      </x:c>
      <x:c r="H886" s="44" t="b">
        <x:v>0</x:v>
      </x:c>
      <x:c r="I886" s="39" t="n">
        <x:v>0.0001278184</x:v>
      </x:c>
    </x:row>
    <x:row r="887" ht="19" customHeight="1">
      <x:c r="A887" s="30" t="str">
        <x:v>stagger_1</x:v>
      </x:c>
      <x:c r="B887" s="39" t="str">
        <x:v>JNJ</x:v>
      </x:c>
      <x:c r="C887" s="39" t="str">
        <x:v>Other sectors</x:v>
      </x:c>
      <x:c r="D887" s="31" t="n">
        <x:v>2</x:v>
      </x:c>
      <x:c r="E887" s="39" t="str">
        <x:v>XLB</x:v>
      </x:c>
      <x:c r="F887" s="39" t="n">
        <x:v>-0.0163223553</x:v>
      </x:c>
      <x:c r="G887" s="39" t="n">
        <x:v>-0.1549964224</x:v>
      </x:c>
      <x:c r="H887" s="44" t="b">
        <x:v>0</x:v>
      </x:c>
      <x:c r="I887" s="39" t="n">
        <x:v>0.0003079038</x:v>
      </x:c>
    </x:row>
    <x:row r="888" ht="19" customHeight="1">
      <x:c r="A888" s="30" t="str">
        <x:v>stagger_1</x:v>
      </x:c>
      <x:c r="B888" s="39" t="str">
        <x:v>JNJ</x:v>
      </x:c>
      <x:c r="C888" s="39" t="str">
        <x:v>Other sectors</x:v>
      </x:c>
      <x:c r="D888" s="31" t="n">
        <x:v>2</x:v>
      </x:c>
      <x:c r="E888" s="39" t="str">
        <x:v>XLC</x:v>
      </x:c>
      <x:c r="F888" s="39" t="n">
        <x:v>0.0617470166</x:v>
      </x:c>
      <x:c r="G888" s="39" t="n">
        <x:v>0.4295415242</x:v>
      </x:c>
      <x:c r="H888" s="44" t="b">
        <x:v>0</x:v>
      </x:c>
      <x:c r="I888" s="39" t="n">
        <x:v>0.0023598783</x:v>
      </x:c>
    </x:row>
    <x:row r="889" ht="19" customHeight="1">
      <x:c r="A889" s="30" t="str">
        <x:v>stagger_1</x:v>
      </x:c>
      <x:c r="B889" s="39" t="str">
        <x:v>JNJ</x:v>
      </x:c>
      <x:c r="C889" s="39" t="str">
        <x:v>Other sectors</x:v>
      </x:c>
      <x:c r="D889" s="31" t="n">
        <x:v>2</x:v>
      </x:c>
      <x:c r="E889" s="39" t="str">
        <x:v>XLE</x:v>
      </x:c>
      <x:c r="F889" s="39" t="n">
        <x:v>0.0455442144</x:v>
      </x:c>
      <x:c r="G889" s="39" t="n">
        <x:v>0.8039080552</x:v>
      </x:c>
      <x:c r="H889" s="44" t="b">
        <x:v>0</x:v>
      </x:c>
      <x:c r="I889" s="39" t="n">
        <x:v>0.008217404</x:v>
      </x:c>
    </x:row>
    <x:row r="890" ht="19" customHeight="1">
      <x:c r="A890" s="30" t="str">
        <x:v>stagger_1</x:v>
      </x:c>
      <x:c r="B890" s="39" t="str">
        <x:v>JNJ</x:v>
      </x:c>
      <x:c r="C890" s="39" t="str">
        <x:v>Other sectors</x:v>
      </x:c>
      <x:c r="D890" s="31" t="n">
        <x:v>2</x:v>
      </x:c>
      <x:c r="E890" s="39" t="str">
        <x:v>XLF</x:v>
      </x:c>
      <x:c r="F890" s="39" t="n">
        <x:v>-0.1118328052</x:v>
      </x:c>
      <x:c r="G890" s="39" t="n">
        <x:v>-0.8339037327</x:v>
      </x:c>
      <x:c r="H890" s="44" t="b">
        <x:v>0</x:v>
      </x:c>
      <x:c r="I890" s="39" t="n">
        <x:v>0.0088365454</x:v>
      </x:c>
    </x:row>
    <x:row r="891" ht="19" customHeight="1">
      <x:c r="A891" s="30" t="str">
        <x:v>stagger_1</x:v>
      </x:c>
      <x:c r="B891" s="39" t="str">
        <x:v>JNJ</x:v>
      </x:c>
      <x:c r="C891" s="39" t="str">
        <x:v>Other sectors</x:v>
      </x:c>
      <x:c r="D891" s="31" t="n">
        <x:v>2</x:v>
      </x:c>
      <x:c r="E891" s="39" t="str">
        <x:v>XLI</x:v>
      </x:c>
      <x:c r="F891" s="39" t="n">
        <x:v>0.0057695454</x:v>
      </x:c>
      <x:c r="G891" s="39" t="n">
        <x:v>0.0406723613</x:v>
      </x:c>
      <x:c r="H891" s="44" t="b">
        <x:v>0</x:v>
      </x:c>
      <x:c r="I891" s="39" t="n">
        <x:v>0.0000212078</x:v>
      </x:c>
    </x:row>
    <x:row r="892" ht="19" customHeight="1">
      <x:c r="A892" s="30" t="str">
        <x:v>stagger_1</x:v>
      </x:c>
      <x:c r="B892" s="39" t="str">
        <x:v>JNJ</x:v>
      </x:c>
      <x:c r="C892" s="39" t="str">
        <x:v>Other sectors</x:v>
      </x:c>
      <x:c r="D892" s="31" t="n">
        <x:v>2</x:v>
      </x:c>
      <x:c r="E892" s="39" t="str">
        <x:v>XLK</x:v>
      </x:c>
      <x:c r="F892" s="39" t="n">
        <x:v>0.0155308832</x:v>
      </x:c>
      <x:c r="G892" s="39" t="n">
        <x:v>0.1229661874</x:v>
      </x:c>
      <x:c r="H892" s="44" t="b">
        <x:v>0</x:v>
      </x:c>
      <x:c r="I892" s="39" t="n">
        <x:v>0.0001938173</x:v>
      </x:c>
    </x:row>
    <x:row r="893" ht="19" customHeight="1">
      <x:c r="A893" s="30" t="str">
        <x:v>stagger_1</x:v>
      </x:c>
      <x:c r="B893" s="39" t="str">
        <x:v>JNJ</x:v>
      </x:c>
      <x:c r="C893" s="39" t="str">
        <x:v>Other sectors</x:v>
      </x:c>
      <x:c r="D893" s="31" t="n">
        <x:v>2</x:v>
      </x:c>
      <x:c r="E893" s="39" t="str">
        <x:v>XLRE</x:v>
      </x:c>
      <x:c r="F893" s="39" t="n">
        <x:v>-0.0925578425</x:v>
      </x:c>
      <x:c r="G893" s="39" t="n">
        <x:v>-0.8047688641</x:v>
      </x:c>
      <x:c r="H893" s="44" t="b">
        <x:v>0</x:v>
      </x:c>
      <x:c r="I893" s="39" t="n">
        <x:v>0.0082348665</x:v>
      </x:c>
    </x:row>
    <x:row r="894" ht="19" customHeight="1">
      <x:c r="A894" s="30" t="str">
        <x:v>stagger_1</x:v>
      </x:c>
      <x:c r="B894" s="39" t="str">
        <x:v>JNJ</x:v>
      </x:c>
      <x:c r="C894" s="39" t="str">
        <x:v>Other sectors</x:v>
      </x:c>
      <x:c r="D894" s="31" t="n">
        <x:v>2</x:v>
      </x:c>
      <x:c r="E894" s="39" t="str">
        <x:v>XLU</x:v>
      </x:c>
      <x:c r="F894" s="39" t="n">
        <x:v>0.029616301</x:v>
      </x:c>
      <x:c r="G894" s="39" t="n">
        <x:v>0.3014709963</x:v>
      </x:c>
      <x:c r="H894" s="44" t="b">
        <x:v>0</x:v>
      </x:c>
      <x:c r="I894" s="39" t="n">
        <x:v>0.0011638332</x:v>
      </x:c>
    </x:row>
    <x:row r="895" ht="19" customHeight="1">
      <x:c r="A895" s="30" t="str">
        <x:v>stagger_1</x:v>
      </x:c>
      <x:c r="B895" s="39" t="str">
        <x:v>JNJ</x:v>
      </x:c>
      <x:c r="C895" s="39" t="str">
        <x:v>Other sectors</x:v>
      </x:c>
      <x:c r="D895" s="31" t="n">
        <x:v>2</x:v>
      </x:c>
      <x:c r="E895" s="39" t="str">
        <x:v>XLY</x:v>
      </x:c>
      <x:c r="F895" s="39" t="n">
        <x:v>0.0241027032</x:v>
      </x:c>
      <x:c r="G895" s="39" t="n">
        <x:v>0.1740581798</x:v>
      </x:c>
      <x:c r="H895" s="44" t="b">
        <x:v>0</x:v>
      </x:c>
      <x:c r="I895" s="39" t="n">
        <x:v>0.0003882627</x:v>
      </x:c>
    </x:row>
    <x:row r="896" ht="19" customHeight="1">
      <x:c r="A896" s="30" t="str">
        <x:v>stagger_1</x:v>
      </x:c>
      <x:c r="B896" s="39" t="str">
        <x:v>BRK-B</x:v>
      </x:c>
      <x:c r="C896" s="39" t="str">
        <x:v>Other FX</x:v>
      </x:c>
      <x:c r="D896" s="31" t="n">
        <x:v>1</x:v>
      </x:c>
      <x:c r="E896" s="39" t="str">
        <x:v>AUD/USD</x:v>
      </x:c>
      <x:c r="F896" s="39" t="n">
        <x:v>0.5832712543</x:v>
      </x:c>
      <x:c r="G896" s="39" t="n">
        <x:v>2.8623375157</x:v>
      </x:c>
      <x:c r="H896" s="44" t="b">
        <x:v>1</x:v>
      </x:c>
      <x:c r="I896" s="39" t="n">
        <x:v>0.0950538713</x:v>
      </x:c>
    </x:row>
    <x:row r="897" ht="19" customHeight="1">
      <x:c r="A897" s="30" t="str">
        <x:v>stagger_1</x:v>
      </x:c>
      <x:c r="B897" s="39" t="str">
        <x:v>BRK-B</x:v>
      </x:c>
      <x:c r="C897" s="39" t="str">
        <x:v>Other sectors</x:v>
      </x:c>
      <x:c r="D897" s="31" t="n">
        <x:v>1</x:v>
      </x:c>
      <x:c r="E897" s="39" t="str">
        <x:v>XLB</x:v>
      </x:c>
      <x:c r="F897" s="39" t="n">
        <x:v>0.0758724288</x:v>
      </x:c>
      <x:c r="G897" s="39" t="n">
        <x:v>0.7264347345</x:v>
      </x:c>
      <x:c r="H897" s="44" t="b">
        <x:v>0</x:v>
      </x:c>
      <x:c r="I897" s="39" t="n">
        <x:v>0.0067200157</x:v>
      </x:c>
    </x:row>
    <x:row r="898" ht="19" customHeight="1">
      <x:c r="A898" s="30" t="str">
        <x:v>stagger_1</x:v>
      </x:c>
      <x:c r="B898" s="39" t="str">
        <x:v>BRK-B</x:v>
      </x:c>
      <x:c r="C898" s="39" t="str">
        <x:v>Other sectors</x:v>
      </x:c>
      <x:c r="D898" s="31" t="n">
        <x:v>1</x:v>
      </x:c>
      <x:c r="E898" s="39" t="str">
        <x:v>XLC</x:v>
      </x:c>
      <x:c r="F898" s="39" t="n">
        <x:v>-0.0023118</x:v>
      </x:c>
      <x:c r="G898" s="39" t="n">
        <x:v>-0.0161437193</x:v>
      </x:c>
      <x:c r="H898" s="44" t="b">
        <x:v>0</x:v>
      </x:c>
      <x:c r="I898" s="39" t="n">
        <x:v>0.0000033413</x:v>
      </x:c>
    </x:row>
    <x:row r="899" ht="19" customHeight="1">
      <x:c r="A899" s="30" t="str">
        <x:v>stagger_1</x:v>
      </x:c>
      <x:c r="B899" s="39" t="str">
        <x:v>BRK-B</x:v>
      </x:c>
      <x:c r="C899" s="39" t="str">
        <x:v>Other sectors</x:v>
      </x:c>
      <x:c r="D899" s="31" t="n">
        <x:v>1</x:v>
      </x:c>
      <x:c r="E899" s="39" t="str">
        <x:v>XLE</x:v>
      </x:c>
      <x:c r="F899" s="39" t="n">
        <x:v>0.0495668145</x:v>
      </x:c>
      <x:c r="G899" s="39" t="n">
        <x:v>0.8800234833</x:v>
      </x:c>
      <x:c r="H899" s="44" t="b">
        <x:v>0</x:v>
      </x:c>
      <x:c r="I899" s="39" t="n">
        <x:v>0.0098311244</x:v>
      </x:c>
    </x:row>
    <x:row r="900" ht="19" customHeight="1">
      <x:c r="A900" s="30" t="str">
        <x:v>stagger_1</x:v>
      </x:c>
      <x:c r="B900" s="39" t="str">
        <x:v>BRK-B</x:v>
      </x:c>
      <x:c r="C900" s="39" t="str">
        <x:v>Other sectors</x:v>
      </x:c>
      <x:c r="D900" s="31" t="n">
        <x:v>1</x:v>
      </x:c>
      <x:c r="E900" s="39" t="str">
        <x:v>XLI</x:v>
      </x:c>
      <x:c r="F900" s="39" t="n">
        <x:v>0.0638940781</x:v>
      </x:c>
      <x:c r="G900" s="39" t="n">
        <x:v>0.4532747287</x:v>
      </x:c>
      <x:c r="H900" s="44" t="b">
        <x:v>0</x:v>
      </x:c>
      <x:c r="I900" s="39" t="n">
        <x:v>0.0026271565</x:v>
      </x:c>
    </x:row>
    <x:row r="901" ht="19" customHeight="1">
      <x:c r="A901" s="30" t="str">
        <x:v>stagger_1</x:v>
      </x:c>
      <x:c r="B901" s="39" t="str">
        <x:v>BRK-B</x:v>
      </x:c>
      <x:c r="C901" s="39" t="str">
        <x:v>Other sectors</x:v>
      </x:c>
      <x:c r="D901" s="31" t="n">
        <x:v>1</x:v>
      </x:c>
      <x:c r="E901" s="39" t="str">
        <x:v>XLK</x:v>
      </x:c>
      <x:c r="F901" s="39" t="n">
        <x:v>-0.1184655985</x:v>
      </x:c>
      <x:c r="G901" s="39" t="n">
        <x:v>-0.9479900516</x:v>
      </x:c>
      <x:c r="H901" s="44" t="b">
        <x:v>0</x:v>
      </x:c>
      <x:c r="I901" s="39" t="n">
        <x:v>0.011390369</x:v>
      </x:c>
    </x:row>
    <x:row r="902" ht="19" customHeight="1">
      <x:c r="A902" s="30" t="str">
        <x:v>stagger_1</x:v>
      </x:c>
      <x:c r="B902" s="39" t="str">
        <x:v>BRK-B</x:v>
      </x:c>
      <x:c r="C902" s="39" t="str">
        <x:v>Other sectors</x:v>
      </x:c>
      <x:c r="D902" s="31" t="n">
        <x:v>1</x:v>
      </x:c>
      <x:c r="E902" s="39" t="str">
        <x:v>XLP</x:v>
      </x:c>
      <x:c r="F902" s="39" t="n">
        <x:v>0.3921952036</x:v>
      </x:c>
      <x:c r="G902" s="39" t="n">
        <x:v>3.2870072303</x:v>
      </x:c>
      <x:c r="H902" s="44" t="b">
        <x:v>0</x:v>
      </x:c>
      <x:c r="I902" s="39" t="n">
        <x:v>0.1216653062</x:v>
      </x:c>
    </x:row>
    <x:row r="903" ht="19" customHeight="1">
      <x:c r="A903" s="30" t="str">
        <x:v>stagger_1</x:v>
      </x:c>
      <x:c r="B903" s="39" t="str">
        <x:v>BRK-B</x:v>
      </x:c>
      <x:c r="C903" s="39" t="str">
        <x:v>Other sectors</x:v>
      </x:c>
      <x:c r="D903" s="31" t="n">
        <x:v>1</x:v>
      </x:c>
      <x:c r="E903" s="39" t="str">
        <x:v>XLRE</x:v>
      </x:c>
      <x:c r="F903" s="39" t="n">
        <x:v>0.1740120418</x:v>
      </x:c>
      <x:c r="G903" s="39" t="n">
        <x:v>1.5370851119</x:v>
      </x:c>
      <x:c r="H903" s="44" t="b">
        <x:v>0</x:v>
      </x:c>
      <x:c r="I903" s="39" t="n">
        <x:v>0.029399618</x:v>
      </x:c>
    </x:row>
    <x:row r="904" ht="19" customHeight="1">
      <x:c r="A904" s="30" t="str">
        <x:v>stagger_1</x:v>
      </x:c>
      <x:c r="B904" s="39" t="str">
        <x:v>BRK-B</x:v>
      </x:c>
      <x:c r="C904" s="39" t="str">
        <x:v>Other sectors</x:v>
      </x:c>
      <x:c r="D904" s="31" t="n">
        <x:v>1</x:v>
      </x:c>
      <x:c r="E904" s="39" t="str">
        <x:v>XLU</x:v>
      </x:c>
      <x:c r="F904" s="39" t="n">
        <x:v>0.1342948665</x:v>
      </x:c>
      <x:c r="G904" s="39" t="n">
        <x:v>1.3899877144</x:v>
      </x:c>
      <x:c r="H904" s="44" t="b">
        <x:v>0</x:v>
      </x:c>
      <x:c r="I904" s="39" t="n">
        <x:v>0.0241713488</x:v>
      </x:c>
    </x:row>
    <x:row r="905" ht="19" customHeight="1">
      <x:c r="A905" s="30" t="str">
        <x:v>stagger_1</x:v>
      </x:c>
      <x:c r="B905" s="39" t="str">
        <x:v>BRK-B</x:v>
      </x:c>
      <x:c r="C905" s="39" t="str">
        <x:v>Other sectors</x:v>
      </x:c>
      <x:c r="D905" s="31" t="n">
        <x:v>1</x:v>
      </x:c>
      <x:c r="E905" s="39" t="str">
        <x:v>XLV</x:v>
      </x:c>
      <x:c r="F905" s="39" t="n">
        <x:v>0.3602894991</x:v>
      </x:c>
      <x:c r="G905" s="39" t="n">
        <x:v>3.3219800792</x:v>
      </x:c>
      <x:c r="H905" s="44" t="b">
        <x:v>1</x:v>
      </x:c>
      <x:c r="I905" s="39" t="n">
        <x:v>0.1239454515</x:v>
      </x:c>
    </x:row>
    <x:row r="906" ht="19" customHeight="1">
      <x:c r="A906" s="30" t="str">
        <x:v>stagger_1</x:v>
      </x:c>
      <x:c r="B906" s="39" t="str">
        <x:v>BRK-B</x:v>
      </x:c>
      <x:c r="C906" s="39" t="str">
        <x:v>Other sectors</x:v>
      </x:c>
      <x:c r="D906" s="31" t="n">
        <x:v>1</x:v>
      </x:c>
      <x:c r="E906" s="39" t="str">
        <x:v>XLY</x:v>
      </x:c>
      <x:c r="F906" s="39" t="n">
        <x:v>-0.2635736574</x:v>
      </x:c>
      <x:c r="G906" s="39" t="n">
        <x:v>-1.9590840685</x:v>
      </x:c>
      <x:c r="H906" s="44" t="b">
        <x:v>0</x:v>
      </x:c>
      <x:c r="I906" s="39" t="n">
        <x:v>0.0468976502</x:v>
      </x:c>
    </x:row>
    <x:row r="907" ht="19" customHeight="1">
      <x:c r="A907" s="30" t="str">
        <x:v>stagger_1</x:v>
      </x:c>
      <x:c r="B907" s="39" t="str">
        <x:v>BRK-B</x:v>
      </x:c>
      <x:c r="C907" s="39" t="str">
        <x:v>Other sectors</x:v>
      </x:c>
      <x:c r="D907" s="31" t="n">
        <x:v>2</x:v>
      </x:c>
      <x:c r="E907" s="39" t="str">
        <x:v>XLB</x:v>
      </x:c>
      <x:c r="F907" s="39" t="n">
        <x:v>-0.0145679347</x:v>
      </x:c>
      <x:c r="G907" s="39" t="n">
        <x:v>-0.1485396124</x:v>
      </x:c>
      <x:c r="H907" s="44" t="b">
        <x:v>0</x:v>
      </x:c>
      <x:c r="I907" s="39" t="n">
        <x:v>0.000282792</x:v>
      </x:c>
    </x:row>
    <x:row r="908" ht="19" customHeight="1">
      <x:c r="A908" s="30" t="str">
        <x:v>stagger_1</x:v>
      </x:c>
      <x:c r="B908" s="39" t="str">
        <x:v>BRK-B</x:v>
      </x:c>
      <x:c r="C908" s="39" t="str">
        <x:v>Other sectors</x:v>
      </x:c>
      <x:c r="D908" s="31" t="n">
        <x:v>2</x:v>
      </x:c>
      <x:c r="E908" s="39" t="str">
        <x:v>XLC</x:v>
      </x:c>
      <x:c r="F908" s="39" t="n">
        <x:v>-0.0016525445</x:v>
      </x:c>
      <x:c r="G908" s="39" t="n">
        <x:v>-0.0123293623</x:v>
      </x:c>
      <x:c r="H908" s="44" t="b">
        <x:v>0</x:v>
      </x:c>
      <x:c r="I908" s="39" t="n">
        <x:v>0.0000019489</x:v>
      </x:c>
    </x:row>
    <x:row r="909" ht="19" customHeight="1">
      <x:c r="A909" s="30" t="str">
        <x:v>stagger_1</x:v>
      </x:c>
      <x:c r="B909" s="39" t="str">
        <x:v>BRK-B</x:v>
      </x:c>
      <x:c r="C909" s="39" t="str">
        <x:v>Other sectors</x:v>
      </x:c>
      <x:c r="D909" s="31" t="n">
        <x:v>2</x:v>
      </x:c>
      <x:c r="E909" s="39" t="str">
        <x:v>XLE</x:v>
      </x:c>
      <x:c r="F909" s="39" t="n">
        <x:v>0.0199260629</x:v>
      </x:c>
      <x:c r="G909" s="39" t="n">
        <x:v>0.3764505868</x:v>
      </x:c>
      <x:c r="H909" s="44" t="b">
        <x:v>0</x:v>
      </x:c>
      <x:c r="I909" s="39" t="n">
        <x:v>0.0018135646</x:v>
      </x:c>
    </x:row>
    <x:row r="910" ht="19" customHeight="1">
      <x:c r="A910" s="30" t="str">
        <x:v>stagger_1</x:v>
      </x:c>
      <x:c r="B910" s="39" t="str">
        <x:v>BRK-B</x:v>
      </x:c>
      <x:c r="C910" s="39" t="str">
        <x:v>Other sectors</x:v>
      </x:c>
      <x:c r="D910" s="31" t="n">
        <x:v>2</x:v>
      </x:c>
      <x:c r="E910" s="39" t="str">
        <x:v>XLI</x:v>
      </x:c>
      <x:c r="F910" s="39" t="n">
        <x:v>-0.0053720925</x:v>
      </x:c>
      <x:c r="G910" s="39" t="n">
        <x:v>-0.0406641946</x:v>
      </x:c>
      <x:c r="H910" s="44" t="b">
        <x:v>0</x:v>
      </x:c>
      <x:c r="I910" s="39" t="n">
        <x:v>0.0000211993</x:v>
      </x:c>
    </x:row>
    <x:row r="911" ht="19" customHeight="1">
      <x:c r="A911" s="30" t="str">
        <x:v>stagger_1</x:v>
      </x:c>
      <x:c r="B911" s="39" t="str">
        <x:v>BRK-B</x:v>
      </x:c>
      <x:c r="C911" s="39" t="str">
        <x:v>Other sectors</x:v>
      </x:c>
      <x:c r="D911" s="31" t="n">
        <x:v>2</x:v>
      </x:c>
      <x:c r="E911" s="39" t="str">
        <x:v>XLK</x:v>
      </x:c>
      <x:c r="F911" s="39" t="n">
        <x:v>0.0880244657</x:v>
      </x:c>
      <x:c r="G911" s="39" t="n">
        <x:v>0.7509761842</x:v>
      </x:c>
      <x:c r="H911" s="44" t="b">
        <x:v>0</x:v>
      </x:c>
      <x:c r="I911" s="39" t="n">
        <x:v>0.0071784211</x:v>
      </x:c>
    </x:row>
    <x:row r="912" ht="19" customHeight="1">
      <x:c r="A912" s="30" t="str">
        <x:v>stagger_1</x:v>
      </x:c>
      <x:c r="B912" s="39" t="str">
        <x:v>BRK-B</x:v>
      </x:c>
      <x:c r="C912" s="39" t="str">
        <x:v>Other sectors</x:v>
      </x:c>
      <x:c r="D912" s="31" t="n">
        <x:v>2</x:v>
      </x:c>
      <x:c r="E912" s="39" t="str">
        <x:v>XLP</x:v>
      </x:c>
      <x:c r="F912" s="39" t="n">
        <x:v>0.2076278297</x:v>
      </x:c>
      <x:c r="G912" s="39" t="n">
        <x:v>1.7773346763</x:v>
      </x:c>
      <x:c r="H912" s="44" t="b">
        <x:v>0</x:v>
      </x:c>
      <x:c r="I912" s="39" t="n">
        <x:v>0.0389226299</x:v>
      </x:c>
    </x:row>
    <x:row r="913" ht="19" customHeight="1">
      <x:c r="A913" s="30" t="str">
        <x:v>stagger_1</x:v>
      </x:c>
      <x:c r="B913" s="39" t="str">
        <x:v>BRK-B</x:v>
      </x:c>
      <x:c r="C913" s="39" t="str">
        <x:v>Other sectors</x:v>
      </x:c>
      <x:c r="D913" s="31" t="n">
        <x:v>2</x:v>
      </x:c>
      <x:c r="E913" s="39" t="str">
        <x:v>XLRE</x:v>
      </x:c>
      <x:c r="F913" s="39" t="n">
        <x:v>0.0267898726</x:v>
      </x:c>
      <x:c r="G913" s="39" t="n">
        <x:v>0.2491820221</x:v>
      </x:c>
      <x:c r="H913" s="44" t="b">
        <x:v>0</x:v>
      </x:c>
      <x:c r="I913" s="39" t="n">
        <x:v>0.000795414</x:v>
      </x:c>
    </x:row>
    <x:row r="914" ht="19" customHeight="1">
      <x:c r="A914" s="30" t="str">
        <x:v>stagger_1</x:v>
      </x:c>
      <x:c r="B914" s="39" t="str">
        <x:v>BRK-B</x:v>
      </x:c>
      <x:c r="C914" s="39" t="str">
        <x:v>Other sectors</x:v>
      </x:c>
      <x:c r="D914" s="31" t="n">
        <x:v>2</x:v>
      </x:c>
      <x:c r="E914" s="39" t="str">
        <x:v>XLU</x:v>
      </x:c>
      <x:c r="F914" s="39" t="n">
        <x:v>0.0499492086</x:v>
      </x:c>
      <x:c r="G914" s="39" t="n">
        <x:v>0.5466782296</x:v>
      </x:c>
      <x:c r="H914" s="44" t="b">
        <x:v>0</x:v>
      </x:c>
      <x:c r="I914" s="39" t="n">
        <x:v>0.0038168767</x:v>
      </x:c>
    </x:row>
    <x:row r="915" ht="19" customHeight="1">
      <x:c r="A915" s="30" t="str">
        <x:v>stagger_1</x:v>
      </x:c>
      <x:c r="B915" s="39" t="str">
        <x:v>BRK-B</x:v>
      </x:c>
      <x:c r="C915" s="39" t="str">
        <x:v>Other sectors</x:v>
      </x:c>
      <x:c r="D915" s="31" t="n">
        <x:v>2</x:v>
      </x:c>
      <x:c r="E915" s="39" t="str">
        <x:v>XLY</x:v>
      </x:c>
      <x:c r="F915" s="39" t="n">
        <x:v>-0.1438447854</x:v>
      </x:c>
      <x:c r="G915" s="39" t="n">
        <x:v>-1.1241895321</x:v>
      </x:c>
      <x:c r="H915" s="44" t="b">
        <x:v>0</x:v>
      </x:c>
      <x:c r="I915" s="39" t="n">
        <x:v>0.0159442529</x:v>
      </x:c>
    </x:row>
  </x:sheetData>
  <x:pageMargins left="0.7" right="0.7" top="0.75" bottom="0.75" header="0.3" footer="0.3"/>
</x:worksheet>
</file>

<file path=xl/worksheets/sheet12.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21"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15"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15" hidden="0" customWidth="1"/>
    <x:col min="31" max="31" width="15" hidden="0" customWidth="1"/>
    <x:col min="32" max="32" width="15" hidden="0" customWidth="1"/>
    <x:col min="33" max="33" width="15" hidden="0" customWidth="1"/>
    <x:col min="34" max="34" width="15" hidden="0" customWidth="1"/>
    <x:col min="35" max="35" width="15" hidden="0" customWidth="1"/>
    <x:col min="36" max="36" width="15" hidden="0" customWidth="1"/>
    <x:col min="37" max="37" width="15" hidden="0" customWidth="1"/>
    <x:col min="38" max="38" width="15" hidden="0" customWidth="1"/>
    <x:col min="39" max="39" width="15" hidden="0" customWidth="1"/>
    <x:col min="40" max="40" width="15" hidden="0" customWidth="1"/>
    <x:col min="41" max="41" width="15" hidden="0" customWidth="1"/>
    <x:col min="42" max="42" width="15" hidden="0" customWidth="1"/>
    <x:col min="43" max="43" width="15" hidden="0" customWidth="1"/>
    <x:col min="44" max="44" width="15" hidden="0" customWidth="1"/>
    <x:col min="45" max="45"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c r="W1" s="24"/>
      <x:c r="X1" s="24"/>
      <x:c r="Y1" s="24"/>
      <x:c r="Z1" s="24"/>
      <x:c r="AA1" s="24"/>
      <x:c r="AB1" s="24"/>
      <x:c r="AC1" s="24"/>
      <x:c r="AD1" s="24"/>
      <x:c r="AE1" s="24"/>
      <x:c r="AF1" s="24"/>
      <x:c r="AG1" s="24"/>
      <x:c r="AH1" s="24"/>
      <x:c r="AI1" s="24"/>
      <x:c r="AJ1" s="24"/>
      <x:c r="AK1" s="24"/>
      <x:c r="AL1" s="24"/>
      <x:c r="AM1" s="24"/>
      <x:c r="AN1" s="24"/>
      <x:c r="AO1" s="24"/>
      <x:c r="AP1" s="24"/>
      <x:c r="AQ1" s="24"/>
      <x:c r="AR1" s="24"/>
      <x:c r="AS1" s="24"/>
    </x:row>
    <x:row r="2" ht="19" customHeight="1">
      <x:c r="A2" s="35" t="str">
        <x:v>Residual history at every stage</x:v>
      </x:c>
      <x:c r="B2" s="24"/>
      <x:c r="C2" s="24"/>
      <x:c r="D2" s="24"/>
      <x:c r="E2" s="24"/>
      <x:c r="F2" s="24"/>
      <x:c r="G2" s="24"/>
      <x:c r="H2" s="24"/>
      <x:c r="I2" s="24"/>
      <x:c r="J2" s="24"/>
      <x:c r="K2" s="24"/>
      <x:c r="L2" s="24"/>
      <x:c r="M2" s="24"/>
      <x:c r="N2" s="24"/>
      <x:c r="O2" s="24"/>
      <x:c r="P2" s="24"/>
      <x:c r="Q2" s="24"/>
      <x:c r="R2" s="24"/>
      <x:c r="S2" s="24"/>
      <x:c r="T2" s="24"/>
      <x:c r="U2" s="24"/>
      <x:c r="V2" s="24"/>
      <x:c r="W2" s="24"/>
      <x:c r="X2" s="24"/>
      <x:c r="Y2" s="24"/>
      <x:c r="Z2" s="24"/>
      <x:c r="AA2" s="24"/>
      <x:c r="AB2" s="24"/>
      <x:c r="AC2" s="24"/>
      <x:c r="AD2" s="24"/>
      <x:c r="AE2" s="24"/>
      <x:c r="AF2" s="24"/>
      <x:c r="AG2" s="24"/>
      <x:c r="AH2" s="24"/>
      <x:c r="AI2" s="24"/>
      <x:c r="AJ2" s="24"/>
      <x:c r="AK2" s="24"/>
      <x:c r="AL2" s="24"/>
      <x:c r="AM2" s="24"/>
      <x:c r="AN2" s="24"/>
      <x:c r="AO2" s="24"/>
      <x:c r="AP2" s="24"/>
      <x:c r="AQ2" s="24"/>
      <x:c r="AR2" s="24"/>
      <x:c r="AS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c r="W3" s="24"/>
      <x:c r="X3" s="24"/>
      <x:c r="Y3" s="24"/>
      <x:c r="Z3" s="24"/>
      <x:c r="AA3" s="24"/>
      <x:c r="AB3" s="24"/>
      <x:c r="AC3" s="24"/>
      <x:c r="AD3" s="24"/>
      <x:c r="AE3" s="24"/>
      <x:c r="AF3" s="24"/>
      <x:c r="AG3" s="24"/>
      <x:c r="AH3" s="24"/>
      <x:c r="AI3" s="24"/>
      <x:c r="AJ3" s="24"/>
      <x:c r="AK3" s="24"/>
      <x:c r="AL3" s="24"/>
      <x:c r="AM3" s="24"/>
      <x:c r="AN3" s="24"/>
      <x:c r="AO3" s="24"/>
      <x:c r="AP3" s="24"/>
      <x:c r="AQ3" s="24"/>
      <x:c r="AR3" s="24"/>
      <x:c r="AS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c r="W4" s="24"/>
      <x:c r="X4" s="24"/>
      <x:c r="Y4" s="24"/>
      <x:c r="Z4" s="24"/>
      <x:c r="AA4" s="24"/>
      <x:c r="AB4" s="24"/>
      <x:c r="AC4" s="24"/>
      <x:c r="AD4" s="24"/>
      <x:c r="AE4" s="24"/>
      <x:c r="AF4" s="24"/>
      <x:c r="AG4" s="24"/>
      <x:c r="AH4" s="24"/>
      <x:c r="AI4" s="24"/>
      <x:c r="AJ4" s="24"/>
      <x:c r="AK4" s="24"/>
      <x:c r="AL4" s="24"/>
      <x:c r="AM4" s="24"/>
      <x:c r="AN4" s="24"/>
      <x:c r="AO4" s="24"/>
      <x:c r="AP4" s="24"/>
      <x:c r="AQ4" s="24"/>
      <x:c r="AR4" s="24"/>
      <x:c r="AS4" s="24"/>
    </x:row>
    <x:row r="5" ht="42" customHeight="1">
      <x:c r="A5" s="36" t="str">
        <x:v>Stage</x:v>
      </x:c>
      <x:c r="B5" s="36" t="str">
        <x:v>Date</x:v>
      </x:c>
      <x:c r="C5" s="36" t="str">
        <x:v>VST</x:v>
      </x:c>
      <x:c r="D5" s="36" t="str">
        <x:v>VIST</x:v>
      </x:c>
      <x:c r="E5" s="36" t="str">
        <x:v>AEP</x:v>
      </x:c>
      <x:c r="F5" s="36" t="str">
        <x:v>ETR</x:v>
      </x:c>
      <x:c r="G5" s="36" t="str">
        <x:v>DIS</x:v>
      </x:c>
      <x:c r="H5" s="36" t="str">
        <x:v>CMG</x:v>
      </x:c>
      <x:c r="I5" s="36" t="str">
        <x:v>AMZN</x:v>
      </x:c>
      <x:c r="J5" s="36" t="str">
        <x:v>FIX</x:v>
      </x:c>
      <x:c r="K5" s="36" t="str">
        <x:v>STX</x:v>
      </x:c>
      <x:c r="L5" s="36" t="str">
        <x:v>VLO</x:v>
      </x:c>
      <x:c r="M5" s="36" t="str">
        <x:v>CF</x:v>
      </x:c>
      <x:c r="N5" s="36" t="str">
        <x:v>NTR</x:v>
      </x:c>
      <x:c r="O5" s="36" t="str">
        <x:v>LNN</x:v>
      </x:c>
      <x:c r="P5" s="36" t="str">
        <x:v>WDC</x:v>
      </x:c>
      <x:c r="Q5" s="36" t="str">
        <x:v>ASND</x:v>
      </x:c>
      <x:c r="R5" s="36" t="str">
        <x:v>DOCN</x:v>
      </x:c>
      <x:c r="S5" s="36" t="str">
        <x:v>CME</x:v>
      </x:c>
      <x:c r="T5" s="36" t="str">
        <x:v>NET</x:v>
      </x:c>
      <x:c r="U5" s="36" t="str">
        <x:v>MRNA</x:v>
      </x:c>
      <x:c r="V5" s="36" t="str">
        <x:v>AXON</x:v>
      </x:c>
      <x:c r="W5" s="36" t="str">
        <x:v>NFLX</x:v>
      </x:c>
      <x:c r="X5" s="36" t="str">
        <x:v>CMCSA</x:v>
      </x:c>
      <x:c r="Y5" s="36" t="str">
        <x:v>MU</x:v>
      </x:c>
      <x:c r="Z5" s="36" t="str">
        <x:v>NEM</x:v>
      </x:c>
      <x:c r="AA5" s="36" t="str">
        <x:v>PGR</x:v>
      </x:c>
      <x:c r="AB5" s="36" t="str">
        <x:v>ORKA</x:v>
      </x:c>
      <x:c r="AC5" s="36" t="str">
        <x:v>UPST</x:v>
      </x:c>
      <x:c r="AD5" s="36" t="str">
        <x:v>PG</x:v>
      </x:c>
      <x:c r="AE5" s="36" t="str">
        <x:v>F</x:v>
      </x:c>
      <x:c r="AF5" s="36" t="str">
        <x:v>HPE</x:v>
      </x:c>
      <x:c r="AG5" s="36" t="str">
        <x:v>BA</x:v>
      </x:c>
      <x:c r="AH5" s="36" t="str">
        <x:v>HII</x:v>
      </x:c>
      <x:c r="AI5" s="36" t="str">
        <x:v>AMD</x:v>
      </x:c>
      <x:c r="AJ5" s="36" t="str">
        <x:v>LLY</x:v>
      </x:c>
      <x:c r="AK5" s="36" t="str">
        <x:v>WELL</x:v>
      </x:c>
      <x:c r="AL5" s="36" t="str">
        <x:v>NOK</x:v>
      </x:c>
      <x:c r="AM5" s="36" t="str">
        <x:v>MSFT</x:v>
      </x:c>
      <x:c r="AN5" s="36" t="str">
        <x:v>GOOGL</x:v>
      </x:c>
      <x:c r="AO5" s="36" t="str">
        <x:v>COST</x:v>
      </x:c>
      <x:c r="AP5" s="36" t="str">
        <x:v>HD</x:v>
      </x:c>
      <x:c r="AQ5" s="36" t="str">
        <x:v>KO</x:v>
      </x:c>
      <x:c r="AR5" s="36" t="str">
        <x:v>JNJ</x:v>
      </x:c>
      <x:c r="AS5" s="36" t="str">
        <x:v>BRK-B</x:v>
      </x:c>
    </x:row>
    <x:row r="6" ht="19" customHeight="1">
      <x:c r="A6" s="30" t="str">
        <x:v>Original</x:v>
      </x:c>
      <x:c r="B6" s="40" t="d">
        <x:v>2020-07-20T00:00:00.000Z</x:v>
      </x:c>
      <x:c r="C6" s="39" t="n">
        <x:v>0.0220390063</x:v>
      </x:c>
      <x:c r="D6" s="39" t="n">
        <x:v>0.0913738586</x:v>
      </x:c>
      <x:c r="E6" s="39" t="n">
        <x:v>0.065894395</x:v>
      </x:c>
      <x:c r="F6" s="39" t="n">
        <x:v>0.0616212415</x:v>
      </x:c>
      <x:c r="G6" s="39" t="n">
        <x:v>0.0408369218</x:v>
      </x:c>
      <x:c r="H6" s="39" t="n">
        <x:v>0.0488435173</x:v>
      </x:c>
      <x:c r="I6" s="39" t="n">
        <x:v>0.060334672</x:v>
      </x:c>
      <x:c r="J6" s="39" t="n">
        <x:v>0.0400888818</x:v>
      </x:c>
      <x:c r="K6" s="39" t="n">
        <x:v>0.012246831</x:v>
      </x:c>
      <x:c r="L6" s="39" t="n">
        <x:v>0.0157935009</x:v>
      </x:c>
      <x:c r="M6" s="39" t="n">
        <x:v>0.0587088521</x:v>
      </x:c>
      <x:c r="N6" s="39" t="n">
        <x:v>0.0003337584</x:v>
      </x:c>
      <x:c r="O6" s="39" t="n">
        <x:v>0.0942125819</x:v>
      </x:c>
      <x:c r="P6" s="39" t="n">
        <x:v>0.0257220611</x:v>
      </x:c>
      <x:c r="Q6" s="39" t="n">
        <x:v>-0.0383983713</x:v>
      </x:c>
      <x:c r="R6" s="39"/>
      <x:c r="S6" s="39" t="n">
        <x:v>0.0206868203</x:v>
      </x:c>
      <x:c r="T6" s="39" t="n">
        <x:v>0.0028997815</x:v>
      </x:c>
      <x:c r="U6" s="39" t="n">
        <x:v>0.0967126786</x:v>
      </x:c>
      <x:c r="V6" s="39" t="n">
        <x:v>-0.0625549678</x:v>
      </x:c>
      <x:c r="W6" s="39" t="n">
        <x:v>0.043632435</x:v>
      </x:c>
      <x:c r="X6" s="39" t="n">
        <x:v>0.0656159276</x:v>
      </x:c>
      <x:c r="Y6" s="39" t="n">
        <x:v>0.0168902307</x:v>
      </x:c>
      <x:c r="Z6" s="39" t="n">
        <x:v>0.0639776961</x:v>
      </x:c>
      <x:c r="AA6" s="39" t="n">
        <x:v>0.0661737627</x:v>
      </x:c>
      <x:c r="AB6" s="39" t="n">
        <x:v>0.0047416266</x:v>
      </x:c>
      <x:c r="AC6" s="39"/>
      <x:c r="AD6" s="39" t="n">
        <x:v>0.0518281507</x:v>
      </x:c>
      <x:c r="AE6" s="39" t="n">
        <x:v>0.0826279046</x:v>
      </x:c>
      <x:c r="AF6" s="39" t="n">
        <x:v>0.0068247691</x:v>
      </x:c>
      <x:c r="AG6" s="39" t="n">
        <x:v>0.0118623428</x:v>
      </x:c>
      <x:c r="AH6" s="39" t="n">
        <x:v>0.0190614606</x:v>
      </x:c>
      <x:c r="AI6" s="39" t="n">
        <x:v>0.1771735437</x:v>
      </x:c>
      <x:c r="AJ6" s="39" t="n">
        <x:v>-0.0110980307</x:v>
      </x:c>
      <x:c r="AK6" s="39" t="n">
        <x:v>0.018060508</x:v>
      </x:c>
      <x:c r="AL6" s="39" t="n">
        <x:v>-0.0050342082</x:v>
      </x:c>
      <x:c r="AM6" s="39" t="n">
        <x:v>0.0135922784</x:v>
      </x:c>
      <x:c r="AN6" s="39" t="n">
        <x:v>0.0552254293</x:v>
      </x:c>
      <x:c r="AO6" s="39" t="n">
        <x:v>0.0510931372</x:v>
      </x:c>
      <x:c r="AP6" s="39" t="n">
        <x:v>0.0522281853</x:v>
      </x:c>
      <x:c r="AQ6" s="39" t="n">
        <x:v>0.058169789</x:v>
      </x:c>
      <x:c r="AR6" s="39" t="n">
        <x:v>0.0392262159</x:v>
      </x:c>
      <x:c r="AS6" s="39" t="n">
        <x:v>0.0563475197</x:v>
      </x:c>
    </x:row>
    <x:row r="7" ht="19" customHeight="1">
      <x:c r="A7" s="30" t="str">
        <x:v>Original</x:v>
      </x:c>
      <x:c r="B7" s="40" t="d">
        <x:v>2020-08-17T00:00:00.000Z</x:v>
      </x:c>
      <x:c r="C7" s="39" t="n">
        <x:v>0.0063881766</x:v>
      </x:c>
      <x:c r="D7" s="39" t="n">
        <x:v>-0.1035908235</x:v>
      </x:c>
      <x:c r="E7" s="39" t="n">
        <x:v>-0.054707001</x:v>
      </x:c>
      <x:c r="F7" s="39" t="n">
        <x:v>-0.0198401839</x:v>
      </x:c>
      <x:c r="G7" s="39" t="n">
        <x:v>0.0442634235</x:v>
      </x:c>
      <x:c r="H7" s="39" t="n">
        <x:v>0.056953218</x:v>
      </x:c>
      <x:c r="I7" s="39" t="n">
        <x:v>0.0483615256</x:v>
      </x:c>
      <x:c r="J7" s="39" t="n">
        <x:v>0.1346319383</x:v>
      </x:c>
      <x:c r="K7" s="39" t="n">
        <x:v>-0.0380111286</x:v>
      </x:c>
      <x:c r="L7" s="39" t="n">
        <x:v>-0.0437937152</x:v>
      </x:c>
      <x:c r="M7" s="39" t="n">
        <x:v>0.0361204319</x:v>
      </x:c>
      <x:c r="N7" s="39" t="n">
        <x:v>0.0750045252</x:v>
      </x:c>
      <x:c r="O7" s="39" t="n">
        <x:v>0.0148283943</x:v>
      </x:c>
      <x:c r="P7" s="39" t="n">
        <x:v>-0.1322918813</x:v>
      </x:c>
      <x:c r="Q7" s="39" t="n">
        <x:v>0.0104085381</x:v>
      </x:c>
      <x:c r="R7" s="39"/>
      <x:c r="S7" s="39" t="n">
        <x:v>0.0164500421</x:v>
      </x:c>
      <x:c r="T7" s="39" t="n">
        <x:v>0.047310469</x:v>
      </x:c>
      <x:c r="U7" s="39" t="n">
        <x:v>-0.0534228852</x:v>
      </x:c>
      <x:c r="V7" s="39" t="n">
        <x:v>-0.0197343452</x:v>
      </x:c>
      <x:c r="W7" s="39" t="n">
        <x:v>0.0134466419</x:v>
      </x:c>
      <x:c r="X7" s="39" t="n">
        <x:v>-0.0035730158</x:v>
      </x:c>
      <x:c r="Y7" s="39" t="n">
        <x:v>-0.0877648255</x:v>
      </x:c>
      <x:c r="Z7" s="39" t="n">
        <x:v>-0.009834991</x:v>
      </x:c>
      <x:c r="AA7" s="39" t="n">
        <x:v>0.0243095959</x:v>
      </x:c>
      <x:c r="AB7" s="39" t="n">
        <x:v>-0.1178831828</x:v>
      </x:c>
      <x:c r="AC7" s="39"/>
      <x:c r="AD7" s="39" t="n">
        <x:v>0.0480966262</x:v>
      </x:c>
      <x:c r="AE7" s="39" t="n">
        <x:v>-0.0179207832</x:v>
      </x:c>
      <x:c r="AF7" s="39" t="n">
        <x:v>-0.0168786529</x:v>
      </x:c>
      <x:c r="AG7" s="39" t="n">
        <x:v>-0.0202325356</x:v>
      </x:c>
      <x:c r="AH7" s="39" t="n">
        <x:v>-0.0606088716</x:v>
      </x:c>
      <x:c r="AI7" s="39" t="n">
        <x:v>0.1040340046</x:v>
      </x:c>
      <x:c r="AJ7" s="39" t="n">
        <x:v>-0.0340459869</x:v>
      </x:c>
      <x:c r="AK7" s="39" t="n">
        <x:v>0.0542875197</x:v>
      </x:c>
      <x:c r="AL7" s="39" t="n">
        <x:v>0.0798483407</x:v>
      </x:c>
      <x:c r="AM7" s="39" t="n">
        <x:v>0.0325361308</x:v>
      </x:c>
      <x:c r="AN7" s="39" t="n">
        <x:v>0.0240934181</x:v>
      </x:c>
      <x:c r="AO7" s="39" t="n">
        <x:v>0.0321694834</x:v>
      </x:c>
      <x:c r="AP7" s="39" t="n">
        <x:v>0.0360409485</x:v>
      </x:c>
      <x:c r="AQ7" s="39" t="n">
        <x:v>-0.0139345064</x:v>
      </x:c>
      <x:c r="AR7" s="39" t="n">
        <x:v>0.0170088631</x:v>
      </x:c>
      <x:c r="AS7" s="39" t="n">
        <x:v>0.0354336791</x:v>
      </x:c>
    </x:row>
    <x:row r="8" ht="19" customHeight="1">
      <x:c r="A8" s="30" t="str">
        <x:v>Original</x:v>
      </x:c>
      <x:c r="B8" s="40" t="d">
        <x:v>2020-09-14T00:00:00.000Z</x:v>
      </x:c>
      <x:c r="C8" s="39" t="n">
        <x:v>-0.0257498283</x:v>
      </x:c>
      <x:c r="D8" s="39" t="n">
        <x:v>-0.1365672096</x:v>
      </x:c>
      <x:c r="E8" s="39" t="n">
        <x:v>-0.0021259424</x:v>
      </x:c>
      <x:c r="F8" s="39" t="n">
        <x:v>-0.015603049</x:v>
      </x:c>
      <x:c r="G8" s="39" t="n">
        <x:v>0.0051979195</x:v>
      </x:c>
      <x:c r="H8" s="39" t="n">
        <x:v>-0.0171092034</x:v>
      </x:c>
      <x:c r="I8" s="39" t="n">
        <x:v>-0.0591760379</x:v>
      </x:c>
      <x:c r="J8" s="39" t="n">
        <x:v>0.0034086916</x:v>
      </x:c>
      <x:c r="K8" s="39" t="n">
        <x:v>0.0475581957</x:v>
      </x:c>
      <x:c r="L8" s="39" t="n">
        <x:v>-0.0431806512</x:v>
      </x:c>
      <x:c r="M8" s="39" t="n">
        <x:v>0.0276395004</x:v>
      </x:c>
      <x:c r="N8" s="39" t="n">
        <x:v>0.0601344162</x:v>
      </x:c>
      <x:c r="O8" s="39" t="n">
        <x:v>-0.0199823524</x:v>
      </x:c>
      <x:c r="P8" s="39" t="n">
        <x:v>0.0552443752</x:v>
      </x:c>
      <x:c r="Q8" s="39" t="n">
        <x:v>0.0246954214</x:v>
      </x:c>
      <x:c r="R8" s="39"/>
      <x:c r="S8" s="39" t="n">
        <x:v>-0.0128365967</x:v>
      </x:c>
      <x:c r="T8" s="39" t="n">
        <x:v>-0.0267832065</x:v>
      </x:c>
      <x:c r="U8" s="39" t="n">
        <x:v>0.0280669042</x:v>
      </x:c>
      <x:c r="V8" s="39" t="n">
        <x:v>-0.0004063168</x:v>
      </x:c>
      <x:c r="W8" s="39" t="n">
        <x:v>-0.0259833372</x:v>
      </x:c>
      <x:c r="X8" s="39" t="n">
        <x:v>0.0277369343</x:v>
      </x:c>
      <x:c r="Y8" s="39" t="n">
        <x:v>0.0970034891</x:v>
      </x:c>
      <x:c r="Z8" s="39" t="n">
        <x:v>-0.0052538016</x:v>
      </x:c>
      <x:c r="AA8" s="39" t="n">
        <x:v>0.029884206</x:v>
      </x:c>
      <x:c r="AB8" s="39" t="n">
        <x:v>-0.0415990982</x:v>
      </x:c>
      <x:c r="AC8" s="39"/>
      <x:c r="AD8" s="39" t="n">
        <x:v>-0.0002848656</x:v>
      </x:c>
      <x:c r="AE8" s="39" t="n">
        <x:v>0.0459253507</x:v>
      </x:c>
      <x:c r="AF8" s="39" t="n">
        <x:v>0.0171404607</x:v>
      </x:c>
      <x:c r="AG8" s="39" t="n">
        <x:v>-0.021648463</x:v>
      </x:c>
      <x:c r="AH8" s="39" t="n">
        <x:v>-0.0305939002</x:v>
      </x:c>
      <x:c r="AI8" s="39" t="n">
        <x:v>-0.0626348729</x:v>
      </x:c>
      <x:c r="AJ8" s="39" t="n">
        <x:v>0.0181008022</x:v>
      </x:c>
      <x:c r="AK8" s="39" t="n">
        <x:v>0.0031793305</x:v>
      </x:c>
      <x:c r="AL8" s="39" t="n">
        <x:v>-0.1089838345</x:v>
      </x:c>
      <x:c r="AM8" s="39" t="n">
        <x:v>-0.0341817785</x:v>
      </x:c>
      <x:c r="AN8" s="39" t="n">
        <x:v>-0.0460273269</x:v>
      </x:c>
      <x:c r="AO8" s="39" t="n">
        <x:v>-0.014216778</x:v>
      </x:c>
      <x:c r="AP8" s="39" t="n">
        <x:v>-0.0131632859</x:v>
      </x:c>
      <x:c r="AQ8" s="39" t="n">
        <x:v>0.0408015462</x:v>
      </x:c>
      <x:c r="AR8" s="39" t="n">
        <x:v>-0.0095525896</x:v>
      </x:c>
      <x:c r="AS8" s="39" t="n">
        <x:v>0.028333869</x:v>
      </x:c>
    </x:row>
    <x:row r="9" ht="19" customHeight="1">
      <x:c r="A9" s="30" t="str">
        <x:v>Original</x:v>
      </x:c>
      <x:c r="B9" s="40" t="d">
        <x:v>2020-10-12T00:00:00.000Z</x:v>
      </x:c>
      <x:c r="C9" s="39" t="n">
        <x:v>0.0278073665</x:v>
      </x:c>
      <x:c r="D9" s="39" t="n">
        <x:v>-0.0246643334</x:v>
      </x:c>
      <x:c r="E9" s="39" t="n">
        <x:v>0.0850209842</x:v>
      </x:c>
      <x:c r="F9" s="39" t="n">
        <x:v>0.0631550189</x:v>
      </x:c>
      <x:c r="G9" s="39" t="n">
        <x:v>-0.0080826207</x:v>
      </x:c>
      <x:c r="H9" s="39" t="n">
        <x:v>0.0551829524</x:v>
      </x:c>
      <x:c r="I9" s="39" t="n">
        <x:v>0.0579386511</x:v>
      </x:c>
      <x:c r="J9" s="39" t="n">
        <x:v>0.0355883897</x:v>
      </x:c>
      <x:c r="K9" s="39" t="n">
        <x:v>0.0373466</x:v>
      </x:c>
      <x:c r="L9" s="39" t="n">
        <x:v>-0.1086282583</x:v>
      </x:c>
      <x:c r="M9" s="39" t="n">
        <x:v>-0.0849366935</x:v>
      </x:c>
      <x:c r="N9" s="39" t="n">
        <x:v>-0.0125634058</x:v>
      </x:c>
      <x:c r="O9" s="39" t="n">
        <x:v>0.0476446093</x:v>
      </x:c>
      <x:c r="P9" s="39" t="n">
        <x:v>0.0110196293</x:v>
      </x:c>
      <x:c r="Q9" s="39" t="n">
        <x:v>0.0426145903</x:v>
      </x:c>
      <x:c r="R9" s="39"/>
      <x:c r="S9" s="39" t="n">
        <x:v>-0.0035673623</x:v>
      </x:c>
      <x:c r="T9" s="39" t="n">
        <x:v>0.2562645494</x:v>
      </x:c>
      <x:c r="U9" s="39" t="n">
        <x:v>0.0321129687</x:v>
      </x:c>
      <x:c r="V9" s="39" t="n">
        <x:v>0.1584790836</x:v>
      </x:c>
      <x:c r="W9" s="39" t="n">
        <x:v>0.0690378347</x:v>
      </x:c>
      <x:c r="X9" s="39" t="n">
        <x:v>0.0066019239</x:v>
      </x:c>
      <x:c r="Y9" s="39" t="n">
        <x:v>0.0096428433</x:v>
      </x:c>
      <x:c r="Z9" s="39" t="n">
        <x:v>-0.0181689103</x:v>
      </x:c>
      <x:c r="AA9" s="39" t="n">
        <x:v>-0.0014031314</x:v>
      </x:c>
      <x:c r="AB9" s="39" t="n">
        <x:v>-0.1230174388</x:v>
      </x:c>
      <x:c r="AC9" s="39"/>
      <x:c r="AD9" s="39" t="n">
        <x:v>0.0282687269</x:v>
      </x:c>
      <x:c r="AE9" s="39" t="n">
        <x:v>0.0335082491</x:v>
      </x:c>
      <x:c r="AF9" s="39" t="n">
        <x:v>-0.0011954391</x:v>
      </x:c>
      <x:c r="AG9" s="39" t="n">
        <x:v>0.0214477058</x:v>
      </x:c>
      <x:c r="AH9" s="39" t="n">
        <x:v>-0.0045041903</x:v>
      </x:c>
      <x:c r="AI9" s="39" t="n">
        <x:v>0.0591763431</x:v>
      </x:c>
      <x:c r="AJ9" s="39" t="n">
        <x:v>-0.0304172079</x:v>
      </x:c>
      <x:c r="AK9" s="39" t="n">
        <x:v>-0.022233673</x:v>
      </x:c>
      <x:c r="AL9" s="39" t="n">
        <x:v>-0.0083822374</x:v>
      </x:c>
      <x:c r="AM9" s="39" t="n">
        <x:v>0.0520769622</x:v>
      </x:c>
      <x:c r="AN9" s="39" t="n">
        <x:v>0.0438406683</x:v>
      </x:c>
      <x:c r="AO9" s="39" t="n">
        <x:v>0.0721600945</x:v>
      </x:c>
      <x:c r="AP9" s="39" t="n">
        <x:v>0.0251362389</x:v>
      </x:c>
      <x:c r="AQ9" s="39" t="n">
        <x:v>-0.0047417235</x:v>
      </x:c>
      <x:c r="AR9" s="39" t="n">
        <x:v>-0.0041209611</x:v>
      </x:c>
      <x:c r="AS9" s="39" t="n">
        <x:v>-0.0166165693</x:v>
      </x:c>
    </x:row>
    <x:row r="10" ht="19" customHeight="1">
      <x:c r="A10" s="30" t="str">
        <x:v>Original</x:v>
      </x:c>
      <x:c r="B10" s="40" t="d">
        <x:v>2020-11-09T00:00:00.000Z</x:v>
      </x:c>
      <x:c r="C10" s="39" t="n">
        <x:v>0.0210824094</x:v>
      </x:c>
      <x:c r="D10" s="39" t="n">
        <x:v>0.0371254355</x:v>
      </x:c>
      <x:c r="E10" s="39" t="n">
        <x:v>-0.0057644431</x:v>
      </x:c>
      <x:c r="F10" s="39" t="n">
        <x:v>0.0184075058</x:v>
      </x:c>
      <x:c r="G10" s="39" t="n">
        <x:v>0.0501435182</x:v>
      </x:c>
      <x:c r="H10" s="39" t="n">
        <x:v>-0.0391993616</x:v>
      </x:c>
      <x:c r="I10" s="39" t="n">
        <x:v>-0.0258662008</x:v>
      </x:c>
      <x:c r="J10" s="39" t="n">
        <x:v>-0.0606832918</x:v>
      </x:c>
      <x:c r="K10" s="39" t="n">
        <x:v>0.0354524633</x:v>
      </x:c>
      <x:c r="L10" s="39" t="n">
        <x:v>0.135695071</x:v>
      </x:c>
      <x:c r="M10" s="39" t="n">
        <x:v>0.0365458702</x:v>
      </x:c>
      <x:c r="N10" s="39" t="n">
        <x:v>0.0246371245</x:v>
      </x:c>
      <x:c r="O10" s="39" t="n">
        <x:v>0.0489972297</x:v>
      </x:c>
      <x:c r="P10" s="39" t="n">
        <x:v>0.0511762211</x:v>
      </x:c>
      <x:c r="Q10" s="39" t="n">
        <x:v>0.0255942639</x:v>
      </x:c>
      <x:c r="R10" s="39"/>
      <x:c r="S10" s="39" t="n">
        <x:v>-0.0069939245</x:v>
      </x:c>
      <x:c r="T10" s="39" t="n">
        <x:v>0.051687018</x:v>
      </x:c>
      <x:c r="U10" s="39" t="n">
        <x:v>0.1091553707</x:v>
      </x:c>
      <x:c r="V10" s="39" t="n">
        <x:v>0.0591411717</x:v>
      </x:c>
      <x:c r="W10" s="39" t="n">
        <x:v>-0.0544647528</x:v>
      </x:c>
      <x:c r="X10" s="39" t="n">
        <x:v>0.0418721938</x:v>
      </x:c>
      <x:c r="Y10" s="39" t="n">
        <x:v>0.0664521115</x:v>
      </x:c>
      <x:c r="Z10" s="39" t="n">
        <x:v>0.0272484212</x:v>
      </x:c>
      <x:c r="AA10" s="39" t="n">
        <x:v>-0.0051482121</x:v>
      </x:c>
      <x:c r="AB10" s="39" t="n">
        <x:v>-0.0196443944</x:v>
      </x:c>
      <x:c r="AC10" s="39"/>
      <x:c r="AD10" s="39" t="n">
        <x:v>0.0027468259</x:v>
      </x:c>
      <x:c r="AE10" s="39" t="n">
        <x:v>0.0618067552</x:v>
      </x:c>
      <x:c r="AF10" s="39" t="n">
        <x:v>0.0387161341</x:v>
      </x:c>
      <x:c r="AG10" s="39" t="n">
        <x:v>0.0642025601</x:v>
      </x:c>
      <x:c r="AH10" s="39" t="n">
        <x:v>0.059086119</x:v>
      </x:c>
      <x:c r="AI10" s="39" t="n">
        <x:v>-0.0121623456</x:v>
      </x:c>
      <x:c r="AJ10" s="39" t="n">
        <x:v>-0.0119670796</x:v>
      </x:c>
      <x:c r="AK10" s="39" t="n">
        <x:v>0.1150571973</x:v>
      </x:c>
      <x:c r="AL10" s="39" t="n">
        <x:v>-0.0322926523</x:v>
      </x:c>
      <x:c r="AM10" s="39" t="n">
        <x:v>-0.0083090001</x:v>
      </x:c>
      <x:c r="AN10" s="39" t="n">
        <x:v>0.0705514079</x:v>
      </x:c>
      <x:c r="AO10" s="39" t="n">
        <x:v>-0.0029809652</x:v>
      </x:c>
      <x:c r="AP10" s="39" t="n">
        <x:v>-0.0213691294</x:v>
      </x:c>
      <x:c r="AQ10" s="39" t="n">
        <x:v>0.0380373059</x:v>
      </x:c>
      <x:c r="AR10" s="39" t="n">
        <x:v>0.0069492213</x:v>
      </x:c>
      <x:c r="AS10" s="39" t="n">
        <x:v>0.0406334392</x:v>
      </x:c>
    </x:row>
    <x:row r="11" ht="19" customHeight="1">
      <x:c r="A11" s="30" t="str">
        <x:v>Original</x:v>
      </x:c>
      <x:c r="B11" s="40" t="d">
        <x:v>2020-12-07T00:00:00.000Z</x:v>
      </x:c>
      <x:c r="C11" s="39" t="n">
        <x:v>-0.0445335861</x:v>
      </x:c>
      <x:c r="D11" s="39" t="n">
        <x:v>0.0961509125</x:v>
      </x:c>
      <x:c r="E11" s="39" t="n">
        <x:v>-0.0480843261</x:v>
      </x:c>
      <x:c r="F11" s="39" t="n">
        <x:v>-0.0352422787</x:v>
      </x:c>
      <x:c r="G11" s="39" t="n">
        <x:v>0.1394546461</x:v>
      </x:c>
      <x:c r="H11" s="39" t="n">
        <x:v>0.0222147771</x:v>
      </x:c>
      <x:c r="I11" s="39" t="n">
        <x:v>-0.0023149072</x:v>
      </x:c>
      <x:c r="J11" s="39" t="n">
        <x:v>0.0086280771</x:v>
      </x:c>
      <x:c r="K11" s="39" t="n">
        <x:v>0.0983875649</x:v>
      </x:c>
      <x:c r="L11" s="39" t="n">
        <x:v>0.096584071</x:v>
      </x:c>
      <x:c r="M11" s="39" t="n">
        <x:v>0.141519196</x:v>
      </x:c>
      <x:c r="N11" s="39" t="n">
        <x:v>0.0909251776</x:v>
      </x:c>
      <x:c r="O11" s="39" t="n">
        <x:v>0.020085439</x:v>
      </x:c>
      <x:c r="P11" s="39" t="n">
        <x:v>0.1217105158</x:v>
      </x:c>
      <x:c r="Q11" s="39" t="n">
        <x:v>0.0454722829</x:v>
      </x:c>
      <x:c r="R11" s="39"/>
      <x:c r="S11" s="39" t="n">
        <x:v>0.0509640165</x:v>
      </x:c>
      <x:c r="T11" s="39" t="n">
        <x:v>0.1496008211</x:v>
      </x:c>
      <x:c r="U11" s="39" t="n">
        <x:v>0.3283390206</x:v>
      </x:c>
      <x:c r="V11" s="39" t="n">
        <x:v>0.010229687</x:v>
      </x:c>
      <x:c r="W11" s="39" t="n">
        <x:v>0.024119465</x:v>
      </x:c>
      <x:c r="X11" s="39" t="n">
        <x:v>0.0225383585</x:v>
      </x:c>
      <x:c r="Y11" s="39" t="n">
        <x:v>0.1148170354</x:v>
      </x:c>
      <x:c r="Z11" s="39" t="n">
        <x:v>-0.0602245654</x:v>
      </x:c>
      <x:c r="AA11" s="39" t="n">
        <x:v>-0.0077974489</x:v>
      </x:c>
      <x:c r="AB11" s="39" t="n">
        <x:v>0.0552101368</x:v>
      </x:c>
      <x:c r="AC11" s="39"/>
      <x:c r="AD11" s="39" t="n">
        <x:v>-0.0322965378</x:v>
      </x:c>
      <x:c r="AE11" s="39" t="n">
        <x:v>0.0319029989</x:v>
      </x:c>
      <x:c r="AF11" s="39" t="n">
        <x:v>0.1035954294</x:v>
      </x:c>
      <x:c r="AG11" s="39" t="n">
        <x:v>0.1212425769</x:v>
      </x:c>
      <x:c r="AH11" s="39" t="n">
        <x:v>0.0506772761</x:v>
      </x:c>
      <x:c r="AI11" s="39" t="n">
        <x:v>0.0689786873</x:v>
      </x:c>
      <x:c r="AJ11" s="39" t="n">
        <x:v>0.0682150642</x:v>
      </x:c>
      <x:c r="AK11" s="39" t="n">
        <x:v>-0.0118647244</x:v>
      </x:c>
      <x:c r="AL11" s="39" t="n">
        <x:v>0.0370780772</x:v>
      </x:c>
      <x:c r="AM11" s="39" t="n">
        <x:v>-0.0072983665</x:v>
      </x:c>
      <x:c r="AN11" s="39" t="n">
        <x:v>0.0008355345</x:v>
      </x:c>
      <x:c r="AO11" s="39" t="n">
        <x:v>0.009297042</x:v>
      </x:c>
      <x:c r="AP11" s="39" t="n">
        <x:v>-0.0240150808</x:v>
      </x:c>
      <x:c r="AQ11" s="39" t="n">
        <x:v>0.0034641139</x:v>
      </x:c>
      <x:c r="AR11" s="39" t="n">
        <x:v>0.0157915052</x:v>
      </x:c>
      <x:c r="AS11" s="39" t="n">
        <x:v>-0.0026483096</x:v>
      </x:c>
    </x:row>
    <x:row r="12" ht="19" customHeight="1">
      <x:c r="A12" s="30" t="str">
        <x:v>Original</x:v>
      </x:c>
      <x:c r="B12" s="40" t="d">
        <x:v>2021-01-04T00:00:00.000Z</x:v>
      </x:c>
      <x:c r="C12" s="39" t="n">
        <x:v>0.0862152649</x:v>
      </x:c>
      <x:c r="D12" s="39" t="n">
        <x:v>-0.0238929068</x:v>
      </x:c>
      <x:c r="E12" s="39" t="n">
        <x:v>-0.0261655364</x:v>
      </x:c>
      <x:c r="F12" s="39" t="n">
        <x:v>-0.0435305468</x:v>
      </x:c>
      <x:c r="G12" s="39" t="n">
        <x:v>0.0099172193</x:v>
      </x:c>
      <x:c r="H12" s="39" t="n">
        <x:v>0.0448797055</x:v>
      </x:c>
      <x:c r="I12" s="39" t="n">
        <x:v>0.0124522116</x:v>
      </x:c>
      <x:c r="J12" s="39" t="n">
        <x:v>0.0647683905</x:v>
      </x:c>
      <x:c r="K12" s="39" t="n">
        <x:v>-0.0489908664</x:v>
      </x:c>
      <x:c r="L12" s="39" t="n">
        <x:v>-0.0133812744</x:v>
      </x:c>
      <x:c r="M12" s="39" t="n">
        <x:v>0.0543828605</x:v>
      </x:c>
      <x:c r="N12" s="39" t="n">
        <x:v>0.0332426509</x:v>
      </x:c>
      <x:c r="O12" s="39" t="n">
        <x:v>0.1080269129</x:v>
      </x:c>
      <x:c r="P12" s="39" t="n">
        <x:v>0.0083947114</x:v>
      </x:c>
      <x:c r="Q12" s="39" t="n">
        <x:v>-0.0341683459</x:v>
      </x:c>
      <x:c r="R12" s="39"/>
      <x:c r="S12" s="39" t="n">
        <x:v>0.0687668355</x:v>
      </x:c>
      <x:c r="T12" s="39" t="n">
        <x:v>-0.0238820402</x:v>
      </x:c>
      <x:c r="U12" s="39" t="n">
        <x:v>-0.1956304848</x:v>
      </x:c>
      <x:c r="V12" s="39" t="n">
        <x:v>0.0106683283</x:v>
      </x:c>
      <x:c r="W12" s="39" t="n">
        <x:v>0.0083827476</x:v>
      </x:c>
      <x:c r="X12" s="39" t="n">
        <x:v>0.0097452985</x:v>
      </x:c>
      <x:c r="Y12" s="39" t="n">
        <x:v>0.0551502028</x:v>
      </x:c>
      <x:c r="Z12" s="39" t="n">
        <x:v>0.0381431434</x:v>
      </x:c>
      <x:c r="AA12" s="39" t="n">
        <x:v>0.0289026235</x:v>
      </x:c>
      <x:c r="AB12" s="39" t="n">
        <x:v>-0.0287353817</x:v>
      </x:c>
      <x:c r="AC12" s="39"/>
      <x:c r="AD12" s="39" t="n">
        <x:v>0.0098008554</x:v>
      </x:c>
      <x:c r="AE12" s="39" t="n">
        <x:v>-0.0013134919</x:v>
      </x:c>
      <x:c r="AF12" s="39" t="n">
        <x:v>-0.0054533708</x:v>
      </x:c>
      <x:c r="AG12" s="39" t="n">
        <x:v>-0.0549578097</x:v>
      </x:c>
      <x:c r="AH12" s="39" t="n">
        <x:v>-0.0293870297</x:v>
      </x:c>
      <x:c r="AI12" s="39" t="n">
        <x:v>0.0186201124</x:v>
      </x:c>
      <x:c r="AJ12" s="39" t="n">
        <x:v>0.0230943163</x:v>
      </x:c>
      <x:c r="AK12" s="39" t="n">
        <x:v>-0.0146381219</x:v>
      </x:c>
      <x:c r="AL12" s="39" t="n">
        <x:v>-0.0192558526</x:v>
      </x:c>
      <x:c r="AM12" s="39" t="n">
        <x:v>0.0173879203</x:v>
      </x:c>
      <x:c r="AN12" s="39" t="n">
        <x:v>0.0076284329</x:v>
      </x:c>
      <x:c r="AO12" s="39" t="n">
        <x:v>-0.0081961667</x:v>
      </x:c>
      <x:c r="AP12" s="39" t="n">
        <x:v>0.0100679488</x:v>
      </x:c>
      <x:c r="AQ12" s="39" t="n">
        <x:v>-0.0257273981</x:v>
      </x:c>
      <x:c r="AR12" s="39" t="n">
        <x:v>0.0268113415</x:v>
      </x:c>
      <x:c r="AS12" s="39" t="n">
        <x:v>0.0196384612</x:v>
      </x:c>
    </x:row>
    <x:row r="13" ht="19" customHeight="1">
      <x:c r="A13" s="30" t="str">
        <x:v>Original</x:v>
      </x:c>
      <x:c r="B13" s="40" t="d">
        <x:v>2021-02-01T00:00:00.000Z</x:v>
      </x:c>
      <x:c r="C13" s="39" t="n">
        <x:v>0.0017127728</x:v>
      </x:c>
      <x:c r="D13" s="39" t="n">
        <x:v>-0.0084490507</x:v>
      </x:c>
      <x:c r="E13" s="39" t="n">
        <x:v>0.0223896294</x:v>
      </x:c>
      <x:c r="F13" s="39" t="n">
        <x:v>0.0071218492</x:v>
      </x:c>
      <x:c r="G13" s="39" t="n">
        <x:v>0.0082382279</x:v>
      </x:c>
      <x:c r="H13" s="39" t="n">
        <x:v>0.0431036112</x:v>
      </x:c>
      <x:c r="I13" s="39" t="n">
        <x:v>0.0311282741</x:v>
      </x:c>
      <x:c r="J13" s="39" t="n">
        <x:v>0.0114704093</x:v>
      </x:c>
      <x:c r="K13" s="39" t="n">
        <x:v>0.0977712305</x:v>
      </x:c>
      <x:c r="L13" s="39" t="n">
        <x:v>0.0403130244</x:v>
      </x:c>
      <x:c r="M13" s="39" t="n">
        <x:v>-0.0002781164</x:v>
      </x:c>
      <x:c r="N13" s="39" t="n">
        <x:v>0.0247026565</x:v>
      </x:c>
      <x:c r="O13" s="39" t="n">
        <x:v>0.0280870312</x:v>
      </x:c>
      <x:c r="P13" s="39" t="n">
        <x:v>0.0853490787</x:v>
      </x:c>
      <x:c r="Q13" s="39" t="n">
        <x:v>-0.0609983587</x:v>
      </x:c>
      <x:c r="R13" s="39"/>
      <x:c r="S13" s="39" t="n">
        <x:v>-0.0254458401</x:v>
      </x:c>
      <x:c r="T13" s="39" t="n">
        <x:v>0.0467313922</x:v>
      </x:c>
      <x:c r="U13" s="39" t="n">
        <x:v>0.2680476294</x:v>
      </x:c>
      <x:c r="V13" s="39" t="n">
        <x:v>0.20761951</x:v>
      </x:c>
      <x:c r="W13" s="39" t="n">
        <x:v>0.0457026969</x:v>
      </x:c>
      <x:c r="X13" s="39" t="n">
        <x:v>-0.0050277405</x:v>
      </x:c>
      <x:c r="Y13" s="39" t="n">
        <x:v>0.0278671739</x:v>
      </x:c>
      <x:c r="Z13" s="39" t="n">
        <x:v>-0.0343174071</x:v>
      </x:c>
      <x:c r="AA13" s="39" t="n">
        <x:v>-0.04638991</x:v>
      </x:c>
      <x:c r="AB13" s="39" t="n">
        <x:v>0.0595177951</x:v>
      </x:c>
      <x:c r="AC13" s="39" t="n">
        <x:v>0.2133335809</x:v>
      </x:c>
      <x:c r="AD13" s="39" t="n">
        <x:v>-0.037642187</x:v>
      </x:c>
      <x:c r="AE13" s="39" t="n">
        <x:v>0.1476187982</x:v>
      </x:c>
      <x:c r="AF13" s="39" t="n">
        <x:v>0.0604925126</x:v>
      </x:c>
      <x:c r="AG13" s="39" t="n">
        <x:v>-0.0056587647</x:v>
      </x:c>
      <x:c r="AH13" s="39" t="n">
        <x:v>-0.0187077407</x:v>
      </x:c>
      <x:c r="AI13" s="39" t="n">
        <x:v>-0.0439548536</x:v>
      </x:c>
      <x:c r="AJ13" s="39" t="n">
        <x:v>0.1156230072</x:v>
      </x:c>
      <x:c r="AK13" s="39" t="n">
        <x:v>0.0126938597</x:v>
      </x:c>
      <x:c r="AL13" s="39" t="n">
        <x:v>0.042724185</x:v>
      </x:c>
      <x:c r="AM13" s="39" t="n">
        <x:v>0.0587283611</x:v>
      </x:c>
      <x:c r="AN13" s="39" t="n">
        <x:v>0.0900288903</x:v>
      </x:c>
      <x:c r="AO13" s="39" t="n">
        <x:v>-0.0232668238</x:v>
      </x:c>
      <x:c r="AP13" s="39" t="n">
        <x:v>0.021401875</x:v>
      </x:c>
      <x:c r="AQ13" s="39" t="n">
        <x:v>-0.017039537</x:v>
      </x:c>
      <x:c r="AR13" s="39" t="n">
        <x:v>0.0163123864</x:v>
      </x:c>
      <x:c r="AS13" s="39" t="n">
        <x:v>0.002890573</x:v>
      </x:c>
    </x:row>
    <x:row r="14" ht="19" customHeight="1">
      <x:c r="A14" s="30" t="str">
        <x:v>Original</x:v>
      </x:c>
      <x:c r="B14" s="40" t="d">
        <x:v>2021-03-01T00:00:00.000Z</x:v>
      </x:c>
      <x:c r="C14" s="39" t="n">
        <x:v>-0.1013829291</x:v>
      </x:c>
      <x:c r="D14" s="39" t="n">
        <x:v>0.0222961626</x:v>
      </x:c>
      <x:c r="E14" s="39" t="n">
        <x:v>-0.0192764009</x:v>
      </x:c>
      <x:c r="F14" s="39" t="n">
        <x:v>-0.0431202749</x:v>
      </x:c>
      <x:c r="G14" s="39" t="n">
        <x:v>0.0289646369</x:v>
      </x:c>
      <x:c r="H14" s="39" t="n">
        <x:v>-0.0749510029</x:v>
      </x:c>
      <x:c r="I14" s="39" t="n">
        <x:v>-0.0674569667</x:v>
      </x:c>
      <x:c r="J14" s="39" t="n">
        <x:v>0.1123592548</x:v>
      </x:c>
      <x:c r="K14" s="39" t="n">
        <x:v>0.0335883175</x:v>
      </x:c>
      <x:c r="L14" s="39" t="n">
        <x:v>0.1597671841</x:v>
      </x:c>
      <x:c r="M14" s="39" t="n">
        <x:v>0.0579537277</x:v>
      </x:c>
      <x:c r="N14" s="39" t="n">
        <x:v>0.0115929889</x:v>
      </x:c>
      <x:c r="O14" s="39" t="n">
        <x:v>0.0343558456</x:v>
      </x:c>
      <x:c r="P14" s="39" t="n">
        <x:v>0.0794458887</x:v>
      </x:c>
      <x:c r="Q14" s="39" t="n">
        <x:v>-0.0236058533</x:v>
      </x:c>
      <x:c r="R14" s="39"/>
      <x:c r="S14" s="39" t="n">
        <x:v>0.0677325188</x:v>
      </x:c>
      <x:c r="T14" s="39" t="n">
        <x:v>-0.1485499577</x:v>
      </x:c>
      <x:c r="U14" s="39" t="n">
        <x:v>-0.1750423828</x:v>
      </x:c>
      <x:c r="V14" s="39" t="n">
        <x:v>-0.1302696764</x:v>
      </x:c>
      <x:c r="W14" s="39" t="n">
        <x:v>-0.0392505458</x:v>
      </x:c>
      <x:c r="X14" s="39" t="n">
        <x:v>0.0456390739</x:v>
      </x:c>
      <x:c r="Y14" s="39" t="n">
        <x:v>0.0560942714</x:v>
      </x:c>
      <x:c r="Z14" s="39" t="n">
        <x:v>-0.0209362115</x:v>
      </x:c>
      <x:c r="AA14" s="39" t="n">
        <x:v>0.0143711413</x:v>
      </x:c>
      <x:c r="AB14" s="39" t="n">
        <x:v>-0.0749587433</x:v>
      </x:c>
      <x:c r="AC14" s="39" t="n">
        <x:v>-0.2347590861</x:v>
      </x:c>
      <x:c r="AD14" s="39" t="n">
        <x:v>-0.0171010882</x:v>
      </x:c>
      <x:c r="AE14" s="39" t="n">
        <x:v>0.0389157033</x:v>
      </x:c>
      <x:c r="AF14" s="39" t="n">
        <x:v>0.0557294816</x:v>
      </x:c>
      <x:c r="AG14" s="39" t="n">
        <x:v>0.043185318</x:v>
      </x:c>
      <x:c r="AH14" s="39" t="n">
        <x:v>0.079406597</x:v>
      </x:c>
      <x:c r="AI14" s="39" t="n">
        <x:v>-0.068680381</x:v>
      </x:c>
      <x:c r="AJ14" s="39" t="n">
        <x:v>0.0178758222</x:v>
      </x:c>
      <x:c r="AK14" s="39" t="n">
        <x:v>0.0620764445</x:v>
      </x:c>
      <x:c r="AL14" s="39" t="n">
        <x:v>-0.0511237226</x:v>
      </x:c>
      <x:c r="AM14" s="39" t="n">
        <x:v>-0.0258366356</x:v>
      </x:c>
      <x:c r="AN14" s="39" t="n">
        <x:v>0.0023961187</x:v>
      </x:c>
      <x:c r="AO14" s="39" t="n">
        <x:v>-0.0685825964</x:v>
      </x:c>
      <x:c r="AP14" s="39" t="n">
        <x:v>-0.0579811652</x:v>
      </x:c>
      <x:c r="AQ14" s="39" t="n">
        <x:v>0.0138162826</x:v>
      </x:c>
      <x:c r="AR14" s="39" t="n">
        <x:v>-0.0279316761</x:v>
      </x:c>
      <x:c r="AS14" s="39" t="n">
        <x:v>0.044864882</x:v>
      </x:c>
    </x:row>
    <x:row r="15" ht="19" customHeight="1">
      <x:c r="A15" s="30" t="str">
        <x:v>Original</x:v>
      </x:c>
      <x:c r="B15" s="40" t="d">
        <x:v>2021-03-29T00:00:00.000Z</x:v>
      </x:c>
      <x:c r="C15" s="39" t="n">
        <x:v>0.0015270548</x:v>
      </x:c>
      <x:c r="D15" s="39" t="n">
        <x:v>-0.0249202531</x:v>
      </x:c>
      <x:c r="E15" s="39" t="n">
        <x:v>0.0498763397</x:v>
      </x:c>
      <x:c r="F15" s="39" t="n">
        <x:v>0.0688046838</x:v>
      </x:c>
      <x:c r="G15" s="39" t="n">
        <x:v>-0.0033229068</x:v>
      </x:c>
      <x:c r="H15" s="39" t="n">
        <x:v>0.0473322763</x:v>
      </x:c>
      <x:c r="I15" s="39" t="n">
        <x:v>0.0321733344</x:v>
      </x:c>
      <x:c r="J15" s="39" t="n">
        <x:v>0.0531783028</x:v>
      </x:c>
      <x:c r="K15" s="39" t="n">
        <x:v>0.0470240261</x:v>
      </x:c>
      <x:c r="L15" s="39" t="n">
        <x:v>-0.0298426283</x:v>
      </x:c>
      <x:c r="M15" s="39" t="n">
        <x:v>-0.0160577967</x:v>
      </x:c>
      <x:c r="N15" s="39" t="n">
        <x:v>0.004039344</x:v>
      </x:c>
      <x:c r="O15" s="39" t="n">
        <x:v>0.030459277</x:v>
      </x:c>
      <x:c r="P15" s="39" t="n">
        <x:v>0.0292216443</x:v>
      </x:c>
      <x:c r="Q15" s="39" t="n">
        <x:v>-0.0735856995</x:v>
      </x:c>
      <x:c r="R15" s="39"/>
      <x:c r="S15" s="39" t="n">
        <x:v>-0.0204159933</x:v>
      </x:c>
      <x:c r="T15" s="39" t="n">
        <x:v>0.0423470441</x:v>
      </x:c>
      <x:c r="U15" s="39" t="n">
        <x:v>0.001678733</x:v>
      </x:c>
      <x:c r="V15" s="39" t="n">
        <x:v>0.0000863182</x:v>
      </x:c>
      <x:c r="W15" s="39" t="n">
        <x:v>0.0269323977</x:v>
      </x:c>
      <x:c r="X15" s="39" t="n">
        <x:v>-0.0038214493</x:v>
      </x:c>
      <x:c r="Y15" s="39" t="n">
        <x:v>0.0236941239</x:v>
      </x:c>
      <x:c r="Z15" s="39" t="n">
        <x:v>0.0528286683</x:v>
      </x:c>
      <x:c r="AA15" s="39" t="n">
        <x:v>0.0399621171</x:v>
      </x:c>
      <x:c r="AB15" s="39" t="n">
        <x:v>-0.0564386297</x:v>
      </x:c>
      <x:c r="AC15" s="39" t="n">
        <x:v>0.6399732226</x:v>
      </x:c>
      <x:c r="AD15" s="39" t="n">
        <x:v>0.0393837394</x:v>
      </x:c>
      <x:c r="AE15" s="39" t="n">
        <x:v>-0.0050511307</x:v>
      </x:c>
      <x:c r="AF15" s="39" t="n">
        <x:v>0.0583731573</x:v>
      </x:c>
      <x:c r="AG15" s="39" t="n">
        <x:v>0.0772028307</x:v>
      </x:c>
      <x:c r="AH15" s="39" t="n">
        <x:v>0.0590093384</x:v>
      </x:c>
      <x:c r="AI15" s="39" t="n">
        <x:v>0.019879627</x:v>
      </x:c>
      <x:c r="AJ15" s="39" t="n">
        <x:v>-0.0683181602</x:v>
      </x:c>
      <x:c r="AK15" s="39" t="n">
        <x:v>0.0257245738</x:v>
      </x:c>
      <x:c r="AL15" s="39" t="n">
        <x:v>0.0188012124</x:v>
      </x:c>
      <x:c r="AM15" s="39" t="n">
        <x:v>0.0280058589</x:v>
      </x:c>
      <x:c r="AN15" s="39" t="n">
        <x:v>0.0095538181</x:v>
      </x:c>
      <x:c r="AO15" s="39" t="n">
        <x:v>0.0691566269</x:v>
      </x:c>
      <x:c r="AP15" s="39" t="n">
        <x:v>0.1235085695</x:v>
      </x:c>
      <x:c r="AQ15" s="39" t="n">
        <x:v>0.025673747</x:v>
      </x:c>
      <x:c r="AR15" s="39" t="n">
        <x:v>0.0260544252</x:v>
      </x:c>
      <x:c r="AS15" s="39" t="n">
        <x:v>0.0121923244</x:v>
      </x:c>
    </x:row>
    <x:row r="16" ht="19" customHeight="1">
      <x:c r="A16" s="30" t="str">
        <x:v>Original</x:v>
      </x:c>
      <x:c r="B16" s="40" t="d">
        <x:v>2021-04-26T00:00:00.000Z</x:v>
      </x:c>
      <x:c r="C16" s="39" t="n">
        <x:v>-0.0307733723</x:v>
      </x:c>
      <x:c r="D16" s="39" t="n">
        <x:v>-0.0023490576</x:v>
      </x:c>
      <x:c r="E16" s="39" t="n">
        <x:v>0.0227800598</x:v>
      </x:c>
      <x:c r="F16" s="39" t="n">
        <x:v>0.0578703561</x:v>
      </x:c>
      <x:c r="G16" s="39" t="n">
        <x:v>-0.0098498106</x:v>
      </x:c>
      <x:c r="H16" s="39" t="n">
        <x:v>0.0228902458</x:v>
      </x:c>
      <x:c r="I16" s="39" t="n">
        <x:v>0.0579211932</x:v>
      </x:c>
      <x:c r="J16" s="39" t="n">
        <x:v>0.0498995375</x:v>
      </x:c>
      <x:c r="K16" s="39" t="n">
        <x:v>0.105113407</x:v>
      </x:c>
      <x:c r="L16" s="39" t="n">
        <x:v>-0.0112408364</x:v>
      </x:c>
      <x:c r="M16" s="39" t="n">
        <x:v>0.0360325378</x:v>
      </x:c>
      <x:c r="N16" s="39" t="n">
        <x:v>0.0079907375</x:v>
      </x:c>
      <x:c r="O16" s="39" t="n">
        <x:v>-0.0060878253</x:v>
      </x:c>
      <x:c r="P16" s="39" t="n">
        <x:v>-0.0065248496</x:v>
      </x:c>
      <x:c r="Q16" s="39" t="n">
        <x:v>0.0663085767</x:v>
      </x:c>
      <x:c r="R16" s="39" t="n">
        <x:v>-0.0032959941</x:v>
      </x:c>
      <x:c r="S16" s="39" t="n">
        <x:v>-0.0125800257</x:v>
      </x:c>
      <x:c r="T16" s="39" t="n">
        <x:v>0.1038213495</x:v>
      </x:c>
      <x:c r="U16" s="39" t="n">
        <x:v>0.1874438966</x:v>
      </x:c>
      <x:c r="V16" s="39" t="n">
        <x:v>0.0363390071</x:v>
      </x:c>
      <x:c r="W16" s="39" t="n">
        <x:v>-0.0308647885</x:v>
      </x:c>
      <x:c r="X16" s="39" t="n">
        <x:v>0.0186692794</x:v>
      </x:c>
      <x:c r="Y16" s="39" t="n">
        <x:v>-0.0444943686</x:v>
      </x:c>
      <x:c r="Z16" s="39" t="n">
        <x:v>0.0060475452</x:v>
      </x:c>
      <x:c r="AA16" s="39" t="n">
        <x:v>0.0337599304</x:v>
      </x:c>
      <x:c r="AB16" s="39" t="n">
        <x:v>-0.0556832145</x:v>
      </x:c>
      <x:c r="AC16" s="39" t="n">
        <x:v>-0.1754272011</x:v>
      </x:c>
      <x:c r="AD16" s="39" t="n">
        <x:v>-0.0000298188</x:v>
      </x:c>
      <x:c r="AE16" s="39" t="n">
        <x:v>-0.0332760866</x:v>
      </x:c>
      <x:c r="AF16" s="39" t="n">
        <x:v>0.0126314412</x:v>
      </x:c>
      <x:c r="AG16" s="39" t="n">
        <x:v>-0.0479448941</x:v>
      </x:c>
      <x:c r="AH16" s="39" t="n">
        <x:v>0.0243197476</x:v>
      </x:c>
      <x:c r="AI16" s="39" t="n">
        <x:v>0.0040783942</x:v>
      </x:c>
      <x:c r="AJ16" s="39" t="n">
        <x:v>-0.0084036516</x:v>
      </x:c>
      <x:c r="AK16" s="39" t="n">
        <x:v>0.0150306636</x:v>
      </x:c>
      <x:c r="AL16" s="39" t="n">
        <x:v>0.0982881443</x:v>
      </x:c>
      <x:c r="AM16" s="39" t="n">
        <x:v>0.0248907811</x:v>
      </x:c>
      <x:c r="AN16" s="39" t="n">
        <x:v>0.0625302513</x:v>
      </x:c>
      <x:c r="AO16" s="39" t="n">
        <x:v>0.0308796888</x:v>
      </x:c>
      <x:c r="AP16" s="39" t="n">
        <x:v>0.031574691</x:v>
      </x:c>
      <x:c r="AQ16" s="39" t="n">
        <x:v>0.0172845782</x:v>
      </x:c>
      <x:c r="AR16" s="39" t="n">
        <x:v>-0.0003844653</x:v>
      </x:c>
      <x:c r="AS16" s="39" t="n">
        <x:v>0.0393485843</x:v>
      </x:c>
    </x:row>
    <x:row r="17" ht="19" customHeight="1">
      <x:c r="A17" s="30" t="str">
        <x:v>Original</x:v>
      </x:c>
      <x:c r="B17" s="40" t="d">
        <x:v>2021-05-24T00:00:00.000Z</x:v>
      </x:c>
      <x:c r="C17" s="39" t="n">
        <x:v>-0.0269071767</x:v>
      </x:c>
      <x:c r="D17" s="39" t="n">
        <x:v>0.1885922645</x:v>
      </x:c>
      <x:c r="E17" s="39" t="n">
        <x:v>-0.0143441509</x:v>
      </x:c>
      <x:c r="F17" s="39" t="n">
        <x:v>-0.0183022922</x:v>
      </x:c>
      <x:c r="G17" s="39" t="n">
        <x:v>-0.0256668731</x:v>
      </x:c>
      <x:c r="H17" s="39" t="n">
        <x:v>-0.0532581273</x:v>
      </x:c>
      <x:c r="I17" s="39" t="n">
        <x:v>-0.046397165</x:v>
      </x:c>
      <x:c r="J17" s="39" t="n">
        <x:v>0.0050570956</x:v>
      </x:c>
      <x:c r="K17" s="39" t="n">
        <x:v>0.0243400295</x:v>
      </x:c>
      <x:c r="L17" s="39" t="n">
        <x:v>0.0609849292</x:v>
      </x:c>
      <x:c r="M17" s="39" t="n">
        <x:v>0.0602337863</x:v>
      </x:c>
      <x:c r="N17" s="39" t="n">
        <x:v>0.0754079941</x:v>
      </x:c>
      <x:c r="O17" s="39" t="n">
        <x:v>-0.0031180436</x:v>
      </x:c>
      <x:c r="P17" s="39" t="n">
        <x:v>0.04005985</x:v>
      </x:c>
      <x:c r="Q17" s="39" t="n">
        <x:v>-0.0481614075</x:v>
      </x:c>
      <x:c r="R17" s="39" t="n">
        <x:v>-0.0226963855</x:v>
      </x:c>
      <x:c r="S17" s="39" t="n">
        <x:v>0.0506386909</x:v>
      </x:c>
      <x:c r="T17" s="39" t="n">
        <x:v>-0.0204042227</x:v>
      </x:c>
      <x:c r="U17" s="39" t="n">
        <x:v>0.0216061318</x:v>
      </x:c>
      <x:c r="V17" s="39" t="n">
        <x:v>-0.0479127897</x:v>
      </x:c>
      <x:c r="W17" s="39" t="n">
        <x:v>-0.0133200055</x:v>
      </x:c>
      <x:c r="X17" s="39" t="n">
        <x:v>0.0133151451</x:v>
      </x:c>
      <x:c r="Y17" s="39" t="n">
        <x:v>-0.0143990539</x:v>
      </x:c>
      <x:c r="Z17" s="39" t="n">
        <x:v>0.1036734222</x:v>
      </x:c>
      <x:c r="AA17" s="39" t="n">
        <x:v>-0.0105493332</x:v>
      </x:c>
      <x:c r="AB17" s="39" t="n">
        <x:v>0.0091619938</x:v>
      </x:c>
      <x:c r="AC17" s="39" t="n">
        <x:v>0.1950237502</x:v>
      </x:c>
      <x:c r="AD17" s="39" t="n">
        <x:v>0.0067687011</x:v>
      </x:c>
      <x:c r="AE17" s="39" t="n">
        <x:v>0.1462813021</x:v>
      </x:c>
      <x:c r="AF17" s="39" t="n">
        <x:v>-0.0023825603</x:v>
      </x:c>
      <x:c r="AG17" s="39" t="n">
        <x:v>0.0335388131</x:v>
      </x:c>
      <x:c r="AH17" s="39" t="n">
        <x:v>0.0149377945</x:v>
      </x:c>
      <x:c r="AI17" s="39" t="n">
        <x:v>-0.0120939439</x:v>
      </x:c>
      <x:c r="AJ17" s="39" t="n">
        <x:v>0.0591720871</x:v>
      </x:c>
      <x:c r="AK17" s="39" t="n">
        <x:v>0.003002065</x:v>
      </x:c>
      <x:c r="AL17" s="39" t="n">
        <x:v>0.0619918828</x:v>
      </x:c>
      <x:c r="AM17" s="39" t="n">
        <x:v>-0.0048612119</x:v>
      </x:c>
      <x:c r="AN17" s="39" t="n">
        <x:v>0.0009029908</x:v>
      </x:c>
      <x:c r="AO17" s="39" t="n">
        <x:v>0.0104586528</x:v>
      </x:c>
      <x:c r="AP17" s="39" t="n">
        <x:v>-0.0094066612</x:v>
      </x:c>
      <x:c r="AQ17" s="39" t="n">
        <x:v>0.0152240704</x:v>
      </x:c>
      <x:c r="AR17" s="39" t="n">
        <x:v>0.0288910506</x:v>
      </x:c>
      <x:c r="AS17" s="39" t="n">
        <x:v>0.0326082949</x:v>
      </x:c>
    </x:row>
    <x:row r="18" ht="19" customHeight="1">
      <x:c r="A18" s="30" t="str">
        <x:v>Original</x:v>
      </x:c>
      <x:c r="B18" s="40" t="d">
        <x:v>2021-06-21T00:00:00.000Z</x:v>
      </x:c>
      <x:c r="C18" s="39" t="n">
        <x:v>0.0881147607</x:v>
      </x:c>
      <x:c r="D18" s="39" t="n">
        <x:v>0.0484905579</x:v>
      </x:c>
      <x:c r="E18" s="39" t="n">
        <x:v>-0.009276256</x:v>
      </x:c>
      <x:c r="F18" s="39" t="n">
        <x:v>-0.0229152384</x:v>
      </x:c>
      <x:c r="G18" s="39" t="n">
        <x:v>-0.0010820958</x:v>
      </x:c>
      <x:c r="H18" s="39" t="n">
        <x:v>0.0654440734</x:v>
      </x:c>
      <x:c r="I18" s="39" t="n">
        <x:v>0.0346886291</x:v>
      </x:c>
      <x:c r="J18" s="39" t="n">
        <x:v>-0.028182453</x:v>
      </x:c>
      <x:c r="K18" s="39" t="n">
        <x:v>-0.0654204117</x:v>
      </x:c>
      <x:c r="L18" s="39" t="n">
        <x:v>0.0133949392</x:v>
      </x:c>
      <x:c r="M18" s="39" t="n">
        <x:v>-0.02267832</x:v>
      </x:c>
      <x:c r="N18" s="39" t="n">
        <x:v>-0.0112879944</x:v>
      </x:c>
      <x:c r="O18" s="39" t="n">
        <x:v>-0.0147973983</x:v>
      </x:c>
      <x:c r="P18" s="39" t="n">
        <x:v>-0.0395355626</x:v>
      </x:c>
      <x:c r="Q18" s="39" t="n">
        <x:v>0.0279900482</x:v>
      </x:c>
      <x:c r="R18" s="39" t="n">
        <x:v>0.1271811746</x:v>
      </x:c>
      <x:c r="S18" s="39" t="n">
        <x:v>0.0007817705</x:v>
      </x:c>
      <x:c r="T18" s="39" t="n">
        <x:v>0.157752372</x:v>
      </x:c>
      <x:c r="U18" s="39" t="n">
        <x:v>0.1113640028</x:v>
      </x:c>
      <x:c r="V18" s="39" t="n">
        <x:v>0.1305193171</x:v>
      </x:c>
      <x:c r="W18" s="39" t="n">
        <x:v>0.0303425397</x:v>
      </x:c>
      <x:c r="X18" s="39" t="n">
        <x:v>-0.0104153478</x:v>
      </x:c>
      <x:c r="Y18" s="39" t="n">
        <x:v>-0.0163538049</x:v>
      </x:c>
      <x:c r="Z18" s="39" t="n">
        <x:v>-0.0975585787</x:v>
      </x:c>
      <x:c r="AA18" s="39" t="n">
        <x:v>-0.0146586789</x:v>
      </x:c>
      <x:c r="AB18" s="39" t="n">
        <x:v>0.0235498406</x:v>
      </x:c>
      <x:c r="AC18" s="39" t="n">
        <x:v>-0.1243028872</x:v>
      </x:c>
      <x:c r="AD18" s="39" t="n">
        <x:v>0.0003343148</x:v>
      </x:c>
      <x:c r="AE18" s="39" t="n">
        <x:v>0.0286045872</x:v>
      </x:c>
      <x:c r="AF18" s="39" t="n">
        <x:v>-0.0462711019</x:v>
      </x:c>
      <x:c r="AG18" s="39" t="n">
        <x:v>0.0035355024</x:v>
      </x:c>
      <x:c r="AH18" s="39" t="n">
        <x:v>-0.0087858258</x:v>
      </x:c>
      <x:c r="AI18" s="39" t="n">
        <x:v>0.0430740961</x:v>
      </x:c>
      <x:c r="AJ18" s="39" t="n">
        <x:v>0.0914498334</x:v>
      </x:c>
      <x:c r="AK18" s="39" t="n">
        <x:v>0.0751065666</x:v>
      </x:c>
      <x:c r="AL18" s="39" t="n">
        <x:v>0.0352092646</x:v>
      </x:c>
      <x:c r="AM18" s="39" t="n">
        <x:v>0.0383941563</x:v>
      </x:c>
      <x:c r="AN18" s="39" t="n">
        <x:v>0.0250047404</x:v>
      </x:c>
      <x:c r="AO18" s="39" t="n">
        <x:v>0.0270683213</x:v>
      </x:c>
      <x:c r="AP18" s="39" t="n">
        <x:v>-0.0073827471</x:v>
      </x:c>
      <x:c r="AQ18" s="39" t="n">
        <x:v>-0.0065635303</x:v>
      </x:c>
      <x:c r="AR18" s="39" t="n">
        <x:v>-0.0194663318</x:v>
      </x:c>
      <x:c r="AS18" s="39" t="n">
        <x:v>-0.0250880108</x:v>
      </x:c>
    </x:row>
    <x:row r="19" ht="19" customHeight="1">
      <x:c r="A19" s="30" t="str">
        <x:v>Original</x:v>
      </x:c>
      <x:c r="B19" s="40" t="d">
        <x:v>2021-07-19T00:00:00.000Z</x:v>
      </x:c>
      <x:c r="C19" s="39" t="n">
        <x:v>0.0247391046</x:v>
      </x:c>
      <x:c r="D19" s="39" t="n">
        <x:v>0.0377983153</x:v>
      </x:c>
      <x:c r="E19" s="39" t="n">
        <x:v>0.0092561288</x:v>
      </x:c>
      <x:c r="F19" s="39" t="n">
        <x:v>0.0074155284</x:v>
      </x:c>
      <x:c r="G19" s="39" t="n">
        <x:v>-0.008143034</x:v>
      </x:c>
      <x:c r="H19" s="39" t="n">
        <x:v>0.1220790897</x:v>
      </x:c>
      <x:c r="I19" s="39" t="n">
        <x:v>0.0472430897</x:v>
      </x:c>
      <x:c r="J19" s="39" t="n">
        <x:v>-0.0335200126</x:v>
      </x:c>
      <x:c r="K19" s="39" t="n">
        <x:v>-0.007746716</x:v>
      </x:c>
      <x:c r="L19" s="39" t="n">
        <x:v>-0.1655368723</x:v>
      </x:c>
      <x:c r="M19" s="39" t="n">
        <x:v>-0.0532603572</x:v>
      </x:c>
      <x:c r="N19" s="39" t="n">
        <x:v>-0.0160089985</x:v>
      </x:c>
      <x:c r="O19" s="39" t="n">
        <x:v>-0.0092384799</x:v>
      </x:c>
      <x:c r="P19" s="39" t="n">
        <x:v>-0.0680390757</x:v>
      </x:c>
      <x:c r="Q19" s="39" t="n">
        <x:v>-0.126358988</x:v>
      </x:c>
      <x:c r="R19" s="39" t="n">
        <x:v>0.0419728337</x:v>
      </x:c>
      <x:c r="S19" s="39" t="n">
        <x:v>-0.0188939725</x:v>
      </x:c>
      <x:c r="T19" s="39" t="n">
        <x:v>0.0730052809</x:v>
      </x:c>
      <x:c r="U19" s="39" t="n">
        <x:v>0.3012156044</x:v>
      </x:c>
      <x:c r="V19" s="39" t="n">
        <x:v>0.0399089198</x:v>
      </x:c>
      <x:c r="W19" s="39" t="n">
        <x:v>-0.0146096261</x:v>
      </x:c>
      <x:c r="X19" s="39" t="n">
        <x:v>0.0248792097</x:v>
      </x:c>
      <x:c r="Y19" s="39" t="n">
        <x:v>-0.0503788671</x:v>
      </x:c>
      <x:c r="Z19" s="39" t="n">
        <x:v>-0.02734155</x:v>
      </x:c>
      <x:c r="AA19" s="39" t="n">
        <x:v>-0.0137938162</x:v>
      </x:c>
      <x:c r="AB19" s="39" t="n">
        <x:v>-0.129250487</x:v>
      </x:c>
      <x:c r="AC19" s="39" t="n">
        <x:v>-0.0308034227</x:v>
      </x:c>
      <x:c r="AD19" s="39" t="n">
        <x:v>0.0272518349</x:v>
      </x:c>
      <x:c r="AE19" s="39" t="n">
        <x:v>-0.0617286745</x:v>
      </x:c>
      <x:c r="AF19" s="39" t="n">
        <x:v>-0.0289898717</x:v>
      </x:c>
      <x:c r="AG19" s="39" t="n">
        <x:v>-0.0747419251</x:v>
      </x:c>
      <x:c r="AH19" s="39" t="n">
        <x:v>-0.0298533136</x:v>
      </x:c>
      <x:c r="AI19" s="39" t="n">
        <x:v>0.0479998747</x:v>
      </x:c>
      <x:c r="AJ19" s="39" t="n">
        <x:v>0.0383663093</x:v>
      </x:c>
      <x:c r="AK19" s="39" t="n">
        <x:v>0.0284418548</x:v>
      </x:c>
      <x:c r="AL19" s="39" t="n">
        <x:v>0.0349942837</x:v>
      </x:c>
      <x:c r="AM19" s="39" t="n">
        <x:v>0.0580823106</x:v>
      </x:c>
      <x:c r="AN19" s="39" t="n">
        <x:v>0.0537355551</x:v>
      </x:c>
      <x:c r="AO19" s="39" t="n">
        <x:v>0.0462005201</x:v>
      </x:c>
      <x:c r="AP19" s="39" t="n">
        <x:v>0.0388238173</x:v>
      </x:c>
      <x:c r="AQ19" s="39" t="n">
        <x:v>0.0315656571</x:v>
      </x:c>
      <x:c r="AR19" s="39" t="n">
        <x:v>0.0294708258</x:v>
      </x:c>
      <x:c r="AS19" s="39" t="n">
        <x:v>0.0002579711</x:v>
      </x:c>
    </x:row>
    <x:row r="20" ht="19" customHeight="1">
      <x:c r="A20" s="30" t="str">
        <x:v>Original</x:v>
      </x:c>
      <x:c r="B20" s="40" t="d">
        <x:v>2021-08-16T00:00:00.000Z</x:v>
      </x:c>
      <x:c r="C20" s="39" t="n">
        <x:v>-0.034521578</x:v>
      </x:c>
      <x:c r="D20" s="39" t="n">
        <x:v>0.0128302825</x:v>
      </x:c>
      <x:c r="E20" s="39" t="n">
        <x:v>0.0436756876</x:v>
      </x:c>
      <x:c r="F20" s="39" t="n">
        <x:v>0.0781741628</x:v>
      </x:c>
      <x:c r="G20" s="39" t="n">
        <x:v>-0.0038466709</x:v>
      </x:c>
      <x:c r="H20" s="39" t="n">
        <x:v>0.0215743087</x:v>
      </x:c>
      <x:c r="I20" s="39" t="n">
        <x:v>-0.0883629032</x:v>
      </x:c>
      <x:c r="J20" s="39" t="n">
        <x:v>-0.0078218828</x:v>
      </x:c>
      <x:c r="K20" s="39" t="n">
        <x:v>0.0299946133</x:v>
      </x:c>
      <x:c r="L20" s="39" t="n">
        <x:v>-0.0280612641</x:v>
      </x:c>
      <x:c r="M20" s="39" t="n">
        <x:v>-0.0369383736</x:v>
      </x:c>
      <x:c r="N20" s="39" t="n">
        <x:v>0.0022365362</x:v>
      </x:c>
      <x:c r="O20" s="39" t="n">
        <x:v>0.0274590308</x:v>
      </x:c>
      <x:c r="P20" s="39" t="n">
        <x:v>-0.0397128577</x:v>
      </x:c>
      <x:c r="Q20" s="39" t="n">
        <x:v>0.0268777704</x:v>
      </x:c>
      <x:c r="R20" s="39" t="n">
        <x:v>-0.0178208779</x:v>
      </x:c>
      <x:c r="S20" s="39" t="n">
        <x:v>-0.0437351385</x:v>
      </x:c>
      <x:c r="T20" s="39" t="n">
        <x:v>0.0151910077</x:v>
      </x:c>
      <x:c r="U20" s="39" t="n">
        <x:v>0.0618616286</x:v>
      </x:c>
      <x:c r="V20" s="39" t="n">
        <x:v>0.0136105284</x:v>
      </x:c>
      <x:c r="W20" s="39" t="n">
        <x:v>0.0392548917</x:v>
      </x:c>
      <x:c r="X20" s="39" t="n">
        <x:v>0.0118106722</x:v>
      </x:c>
      <x:c r="Y20" s="39" t="n">
        <x:v>-0.0517741668</x:v>
      </x:c>
      <x:c r="Z20" s="39" t="n">
        <x:v>-0.0427835765</x:v>
      </x:c>
      <x:c r="AA20" s="39" t="n">
        <x:v>0.0195650863</x:v>
      </x:c>
      <x:c r="AB20" s="39" t="n">
        <x:v>-0.0249970904</x:v>
      </x:c>
      <x:c r="AC20" s="39" t="n">
        <x:v>0.3429509378</x:v>
      </x:c>
      <x:c r="AD20" s="39" t="n">
        <x:v>0.0246477531</x:v>
      </x:c>
      <x:c r="AE20" s="39" t="n">
        <x:v>-0.062792607</x:v>
      </x:c>
      <x:c r="AF20" s="39" t="n">
        <x:v>0.0221726183</x:v>
      </x:c>
      <x:c r="AG20" s="39" t="n">
        <x:v>-0.0270045554</x:v>
      </x:c>
      <x:c r="AH20" s="39" t="n">
        <x:v>-0.0033241558</x:v>
      </x:c>
      <x:c r="AI20" s="39" t="n">
        <x:v>0.0842525567</x:v>
      </x:c>
      <x:c r="AJ20" s="39" t="n">
        <x:v>0.0710212554</x:v>
      </x:c>
      <x:c r="AK20" s="39" t="n">
        <x:v>-0.0225028898</x:v>
      </x:c>
      <x:c r="AL20" s="39" t="n">
        <x:v>0.0170569604</x:v>
      </x:c>
      <x:c r="AM20" s="39" t="n">
        <x:v>0.0340319817</x:v>
      </x:c>
      <x:c r="AN20" s="39" t="n">
        <x:v>0.0216250483</x:v>
      </x:c>
      <x:c r="AO20" s="39" t="n">
        <x:v>0.0546518975</x:v>
      </x:c>
      <x:c r="AP20" s="39" t="n">
        <x:v>-0.0072030329</x:v>
      </x:c>
      <x:c r="AQ20" s="39" t="n">
        <x:v>-0.0043126122</x:v>
      </x:c>
      <x:c r="AR20" s="39" t="n">
        <x:v>0.0288568745</x:v>
      </x:c>
      <x:c r="AS20" s="39" t="n">
        <x:v>0.0159319685</x:v>
      </x:c>
    </x:row>
    <x:row r="21" ht="19" customHeight="1">
      <x:c r="A21" s="30" t="str">
        <x:v>Original</x:v>
      </x:c>
      <x:c r="B21" s="40" t="d">
        <x:v>2021-09-13T00:00:00.000Z</x:v>
      </x:c>
      <x:c r="C21" s="39" t="n">
        <x:v>-0.0070959563</x:v>
      </x:c>
      <x:c r="D21" s="39" t="n">
        <x:v>0.0541401377</x:v>
      </x:c>
      <x:c r="E21" s="39" t="n">
        <x:v>-0.0535595605</x:v>
      </x:c>
      <x:c r="F21" s="39" t="n">
        <x:v>-0.0211984556</x:v>
      </x:c>
      <x:c r="G21" s="39" t="n">
        <x:v>0.0312897719</x:v>
      </x:c>
      <x:c r="H21" s="39" t="n">
        <x:v>0.006179243</x:v>
      </x:c>
      <x:c r="I21" s="39" t="n">
        <x:v>0.0529750474</x:v>
      </x:c>
      <x:c r="J21" s="39" t="n">
        <x:v>-0.0454883525</x:v>
      </x:c>
      <x:c r="K21" s="39" t="n">
        <x:v>-0.0442354765</x:v>
      </x:c>
      <x:c r="L21" s="39" t="n">
        <x:v>0.0577055527</x:v>
      </x:c>
      <x:c r="M21" s="39" t="n">
        <x:v>0.0665326244</x:v>
      </x:c>
      <x:c r="N21" s="39" t="n">
        <x:v>0.0408510169</x:v>
      </x:c>
      <x:c r="O21" s="39" t="n">
        <x:v>-0.0435948775</x:v>
      </x:c>
      <x:c r="P21" s="39" t="n">
        <x:v>-0.0241481712</x:v>
      </x:c>
      <x:c r="Q21" s="39" t="n">
        <x:v>0.1970453253</x:v>
      </x:c>
      <x:c r="R21" s="39" t="n">
        <x:v>0.2927360077</x:v>
      </x:c>
      <x:c r="S21" s="39" t="n">
        <x:v>-0.030587429</x:v>
      </x:c>
      <x:c r="T21" s="39" t="n">
        <x:v>0.0612391361</x:v>
      </x:c>
      <x:c r="U21" s="39" t="n">
        <x:v>0.077868095</x:v>
      </x:c>
      <x:c r="V21" s="39" t="n">
        <x:v>-0.054074183</x:v>
      </x:c>
      <x:c r="W21" s="39" t="n">
        <x:v>0.0502405934</x:v>
      </x:c>
      <x:c r="X21" s="39" t="n">
        <x:v>-0.026522865</x:v>
      </x:c>
      <x:c r="Y21" s="39" t="n">
        <x:v>0.0378434803</x:v>
      </x:c>
      <x:c r="Z21" s="39" t="n">
        <x:v>-0.0072380059</x:v>
      </x:c>
      <x:c r="AA21" s="39" t="n">
        <x:v>-0.0350469431</x:v>
      </x:c>
      <x:c r="AB21" s="39" t="n">
        <x:v>0.0541297882</x:v>
      </x:c>
      <x:c r="AC21" s="39" t="n">
        <x:v>0.2945695435</x:v>
      </x:c>
      <x:c r="AD21" s="39" t="n">
        <x:v>-0.0034813724</x:v>
      </x:c>
      <x:c r="AE21" s="39" t="n">
        <x:v>0.0504305952</x:v>
      </x:c>
      <x:c r="AF21" s="39" t="n">
        <x:v>-0.0436938243</x:v>
      </x:c>
      <x:c r="AG21" s="39" t="n">
        <x:v>0.0021759406</x:v>
      </x:c>
      <x:c r="AH21" s="39" t="n">
        <x:v>-0.0224251515</x:v>
      </x:c>
      <x:c r="AI21" s="39" t="n">
        <x:v>-0.0049609263</x:v>
      </x:c>
      <x:c r="AJ21" s="39" t="n">
        <x:v>-0.1096779348</x:v>
      </x:c>
      <x:c r="AK21" s="39" t="n">
        <x:v>0.0127202339</x:v>
      </x:c>
      <x:c r="AL21" s="39" t="n">
        <x:v>-0.0471595478</x:v>
      </x:c>
      <x:c r="AM21" s="39" t="n">
        <x:v>-0.0099836215</x:v>
      </x:c>
      <x:c r="AN21" s="39" t="n">
        <x:v>0.0162760335</x:v>
      </x:c>
      <x:c r="AO21" s="39" t="n">
        <x:v>0.000760761</x:v>
      </x:c>
      <x:c r="AP21" s="39" t="n">
        <x:v>0.016399412</x:v>
      </x:c>
      <x:c r="AQ21" s="39" t="n">
        <x:v>-0.0215612953</x:v>
      </x:c>
      <x:c r="AR21" s="39" t="n">
        <x:v>-0.0533948828</x:v>
      </x:c>
      <x:c r="AS21" s="39" t="n">
        <x:v>-0.0203440965</x:v>
      </x:c>
    </x:row>
    <x:row r="22" ht="19" customHeight="1">
      <x:c r="A22" s="30" t="str">
        <x:v>Original</x:v>
      </x:c>
      <x:c r="B22" s="40" t="d">
        <x:v>2021-10-11T00:00:00.000Z</x:v>
      </x:c>
      <x:c r="C22" s="39" t="n">
        <x:v>0.0687870395</x:v>
      </x:c>
      <x:c r="D22" s="39" t="n">
        <x:v>0.2401276909</x:v>
      </x:c>
      <x:c r="E22" s="39" t="n">
        <x:v>-0.0049597744</x:v>
      </x:c>
      <x:c r="F22" s="39" t="n">
        <x:v>-0.0561854685</x:v>
      </x:c>
      <x:c r="G22" s="39" t="n">
        <x:v>-0.0265407244</x:v>
      </x:c>
      <x:c r="H22" s="39" t="n">
        <x:v>-0.0284546063</x:v>
      </x:c>
      <x:c r="I22" s="39" t="n">
        <x:v>-0.0106088487</x:v>
      </x:c>
      <x:c r="J22" s="39" t="n">
        <x:v>0.098987404</x:v>
      </x:c>
      <x:c r="K22" s="39" t="n">
        <x:v>-0.008863287</x:v>
      </x:c>
      <x:c r="L22" s="39" t="n">
        <x:v>0.1236935219</x:v>
      </x:c>
      <x:c r="M22" s="39" t="n">
        <x:v>0.1251374488</x:v>
      </x:c>
      <x:c r="N22" s="39" t="n">
        <x:v>0.0879491673</x:v>
      </x:c>
      <x:c r="O22" s="39" t="n">
        <x:v>0.027878159</x:v>
      </x:c>
      <x:c r="P22" s="39" t="n">
        <x:v>-0.0301826513</x:v>
      </x:c>
      <x:c r="Q22" s="39" t="n">
        <x:v>-0.006442019</x:v>
      </x:c>
      <x:c r="R22" s="39" t="n">
        <x:v>0.0549079726</x:v>
      </x:c>
      <x:c r="S22" s="39" t="n">
        <x:v>0.0791798003</x:v>
      </x:c>
      <x:c r="T22" s="39" t="n">
        <x:v>0.1660939327</x:v>
      </x:c>
      <x:c r="U22" s="39" t="n">
        <x:v>-0.1924700521</x:v>
      </x:c>
      <x:c r="V22" s="39" t="n">
        <x:v>0.0216274554</x:v>
      </x:c>
      <x:c r="W22" s="39" t="n">
        <x:v>0.0435897263</x:v>
      </x:c>
      <x:c r="X22" s="39" t="n">
        <x:v>-0.0348899754</x:v>
      </x:c>
      <x:c r="Y22" s="39" t="n">
        <x:v>-0.0626263488</x:v>
      </x:c>
      <x:c r="Z22" s="39" t="n">
        <x:v>0.0219729537</x:v>
      </x:c>
      <x:c r="AA22" s="39" t="n">
        <x:v>-0.0093320417</x:v>
      </x:c>
      <x:c r="AB22" s="39" t="n">
        <x:v>-0.071780646</x:v>
      </x:c>
      <x:c r="AC22" s="39" t="n">
        <x:v>0.1712468677</x:v>
      </x:c>
      <x:c r="AD22" s="39" t="n">
        <x:v>0.0003774244</x:v>
      </x:c>
      <x:c r="AE22" s="39" t="n">
        <x:v>0.1003355908</x:v>
      </x:c>
      <x:c r="AF22" s="39" t="n">
        <x:v>0.0760409852</x:v>
      </x:c>
      <x:c r="AG22" s="39" t="n">
        <x:v>0.0116505003</x:v>
      </x:c>
      <x:c r="AH22" s="39" t="n">
        <x:v>0.0522084968</x:v>
      </x:c>
      <x:c r="AI22" s="39" t="n">
        <x:v>0.0520048506</x:v>
      </x:c>
      <x:c r="AJ22" s="39" t="n">
        <x:v>0.0226544202</x:v>
      </x:c>
      <x:c r="AK22" s="39" t="n">
        <x:v>-0.0137912217</x:v>
      </x:c>
      <x:c r="AL22" s="39" t="n">
        <x:v>0.047829156</x:v>
      </x:c>
      <x:c r="AM22" s="39" t="n">
        <x:v>0.0097894063</x:v>
      </x:c>
      <x:c r="AN22" s="39" t="n">
        <x:v>0.0027427229</x:v>
      </x:c>
      <x:c r="AO22" s="39" t="n">
        <x:v>-0.0106389638</x:v>
      </x:c>
      <x:c r="AP22" s="39" t="n">
        <x:v>0.0292786212</x:v>
      </x:c>
      <x:c r="AQ22" s="39" t="n">
        <x:v>0.0005002688</x:v>
      </x:c>
      <x:c r="AR22" s="39" t="n">
        <x:v>-0.0144182249</x:v>
      </x:c>
      <x:c r="AS22" s="39" t="n">
        <x:v>0.0180967422</x:v>
      </x:c>
    </x:row>
    <x:row r="23" ht="19" customHeight="1">
      <x:c r="A23" s="30" t="str">
        <x:v>Original</x:v>
      </x:c>
      <x:c r="B23" s="40" t="d">
        <x:v>2021-11-08T00:00:00.000Z</x:v>
      </x:c>
      <x:c r="C23" s="39" t="n">
        <x:v>-0.0010540649</x:v>
      </x:c>
      <x:c r="D23" s="39" t="n">
        <x:v>-0.0455254034</x:v>
      </x:c>
      <x:c r="E23" s="39" t="n">
        <x:v>-0.0058202721</x:v>
      </x:c>
      <x:c r="F23" s="39" t="n">
        <x:v>0.002393634</x:v>
      </x:c>
      <x:c r="G23" s="39" t="n">
        <x:v>-0.0692586962</x:v>
      </x:c>
      <x:c r="H23" s="39" t="n">
        <x:v>0.0119978434</x:v>
      </x:c>
      <x:c r="I23" s="39" t="n">
        <x:v>0.0231458515</x:v>
      </x:c>
      <x:c r="J23" s="39" t="n">
        <x:v>0.1510552779</x:v>
      </x:c>
      <x:c r="K23" s="39" t="n">
        <x:v>0.191150051</x:v>
      </x:c>
      <x:c r="L23" s="39" t="n">
        <x:v>-0.0185170523</x:v>
      </x:c>
      <x:c r="M23" s="39" t="n">
        <x:v>0.0655898571</x:v>
      </x:c>
      <x:c r="N23" s="39" t="n">
        <x:v>-0.0290190745</x:v>
      </x:c>
      <x:c r="O23" s="39" t="n">
        <x:v>-0.0128556289</x:v>
      </x:c>
      <x:c r="P23" s="39" t="n">
        <x:v>0.0614086013</x:v>
      </x:c>
      <x:c r="Q23" s="39" t="n">
        <x:v>-0.0186917011</x:v>
      </x:c>
      <x:c r="R23" s="39" t="n">
        <x:v>0.2284669581</x:v>
      </x:c>
      <x:c r="S23" s="39" t="n">
        <x:v>0.0409870379</x:v>
      </x:c>
      <x:c r="T23" s="39" t="n">
        <x:v>0.1379993906</x:v>
      </x:c>
      <x:c r="U23" s="39" t="n">
        <x:v>-0.2336489034</x:v>
      </x:c>
      <x:c r="V23" s="39" t="n">
        <x:v>-0.0298764588</x:v>
      </x:c>
      <x:c r="W23" s="39" t="n">
        <x:v>0.0572956397</x:v>
      </x:c>
      <x:c r="X23" s="39" t="n">
        <x:v>-0.0066837131</x:v>
      </x:c>
      <x:c r="Y23" s="39" t="n">
        <x:v>0.0918307548</x:v>
      </x:c>
      <x:c r="Z23" s="39" t="n">
        <x:v>0.02029564</x:v>
      </x:c>
      <x:c r="AA23" s="39" t="n">
        <x:v>0.0362852111</x:v>
      </x:c>
      <x:c r="AB23" s="39" t="n">
        <x:v>-0.0841750339</x:v>
      </x:c>
      <x:c r="AC23" s="39" t="n">
        <x:v>-0.2691397061</x:v>
      </x:c>
      <x:c r="AD23" s="39" t="n">
        <x:v>0.0144337573</x:v>
      </x:c>
      <x:c r="AE23" s="39" t="n">
        <x:v>0.1497681788</x:v>
      </x:c>
      <x:c r="AF23" s="39" t="n">
        <x:v>-0.0236605411</x:v>
      </x:c>
      <x:c r="AG23" s="39" t="n">
        <x:v>0.0123682262</x:v>
      </x:c>
      <x:c r="AH23" s="39" t="n">
        <x:v>-0.0635549309</x:v>
      </x:c>
      <x:c r="AI23" s="39" t="n">
        <x:v>0.1913259029</x:v>
      </x:c>
      <x:c r="AJ23" s="39" t="n">
        <x:v>0.0627458394</x:v>
      </x:c>
      <x:c r="AK23" s="39" t="n">
        <x:v>0.0117297264</x:v>
      </x:c>
      <x:c r="AL23" s="39" t="n">
        <x:v>-0.0262573349</x:v>
      </x:c>
      <x:c r="AM23" s="39" t="n">
        <x:v>0.0701557857</x:v>
      </x:c>
      <x:c r="AN23" s="39" t="n">
        <x:v>0.0348356929</x:v>
      </x:c>
      <x:c r="AO23" s="39" t="n">
        <x:v>0.0935856999</x:v>
      </x:c>
      <x:c r="AP23" s="39" t="n">
        <x:v>0.0424816069</x:v>
      </x:c>
      <x:c r="AQ23" s="39" t="n">
        <x:v>0.0264997524</x:v>
      </x:c>
      <x:c r="AR23" s="39" t="n">
        <x:v>0.0157123211</x:v>
      </x:c>
      <x:c r="AS23" s="39" t="n">
        <x:v>0.0043139618</x:v>
      </x:c>
    </x:row>
    <x:row r="24" ht="19" customHeight="1">
      <x:c r="A24" s="30" t="str">
        <x:v>Original</x:v>
      </x:c>
      <x:c r="B24" s="40" t="d">
        <x:v>2021-12-06T00:00:00.000Z</x:v>
      </x:c>
      <x:c r="C24" s="39" t="n">
        <x:v>0.0472299803</x:v>
      </x:c>
      <x:c r="D24" s="39" t="n">
        <x:v>-0.0200739835</x:v>
      </x:c>
      <x:c r="E24" s="39" t="n">
        <x:v>0.0166325122</x:v>
      </x:c>
      <x:c r="F24" s="39" t="n">
        <x:v>0.0389696662</x:v>
      </x:c>
      <x:c r="G24" s="39" t="n">
        <x:v>-0.0310566971</x:v>
      </x:c>
      <x:c r="H24" s="39" t="n">
        <x:v>-0.0553959294</x:v>
      </x:c>
      <x:c r="I24" s="39" t="n">
        <x:v>-0.0162716869</x:v>
      </x:c>
      <x:c r="J24" s="39" t="n">
        <x:v>-0.0217304544</x:v>
      </x:c>
      <x:c r="K24" s="39" t="n">
        <x:v>-0.0278321485</x:v>
      </x:c>
      <x:c r="L24" s="39" t="n">
        <x:v>-0.0456322204</x:v>
      </x:c>
      <x:c r="M24" s="39" t="n">
        <x:v>-0.0379067747</x:v>
      </x:c>
      <x:c r="N24" s="39" t="n">
        <x:v>0.0203224706</x:v>
      </x:c>
      <x:c r="O24" s="39" t="n">
        <x:v>-0.0424672443</x:v>
      </x:c>
      <x:c r="P24" s="39" t="n">
        <x:v>-0.0318398946</x:v>
      </x:c>
      <x:c r="Q24" s="39" t="n">
        <x:v>-0.0745739114</x:v>
      </x:c>
      <x:c r="R24" s="39" t="n">
        <x:v>-0.2712617581</x:v>
      </x:c>
      <x:c r="S24" s="39" t="n">
        <x:v>0.0137016262</x:v>
      </x:c>
      <x:c r="T24" s="39" t="n">
        <x:v>-0.2640315014</x:v>
      </x:c>
      <x:c r="U24" s="39" t="n">
        <x:v>0.0743304005</x:v>
      </x:c>
      <x:c r="V24" s="39" t="n">
        <x:v>-0.1305261421</x:v>
      </x:c>
      <x:c r="W24" s="39" t="n">
        <x:v>-0.0769074915</x:v>
      </x:c>
      <x:c r="X24" s="39" t="n">
        <x:v>-0.0694807667</x:v>
      </x:c>
      <x:c r="Y24" s="39" t="n">
        <x:v>0.0709811082</x:v>
      </x:c>
      <x:c r="Z24" s="39" t="n">
        <x:v>-0.0252370673</x:v>
      </x:c>
      <x:c r="AA24" s="39" t="n">
        <x:v>-0.0081352335</x:v>
      </x:c>
      <x:c r="AB24" s="39" t="n">
        <x:v>-0.0408898457</x:v>
      </x:c>
      <x:c r="AC24" s="39" t="n">
        <x:v>-0.3481287047</x:v>
      </x:c>
      <x:c r="AD24" s="39" t="n">
        <x:v>0.0413129087</x:v>
      </x:c>
      <x:c r="AE24" s="39" t="n">
        <x:v>0.0703101233</x:v>
      </x:c>
      <x:c r="AF24" s="39" t="n">
        <x:v>0.0321846325</x:v>
      </x:c>
      <x:c r="AG24" s="39" t="n">
        <x:v>-0.0523328781</x:v>
      </x:c>
      <x:c r="AH24" s="39" t="n">
        <x:v>-0.0180509903</x:v>
      </x:c>
      <x:c r="AI24" s="39" t="n">
        <x:v>-0.0457164493</x:v>
      </x:c>
      <x:c r="AJ24" s="39" t="n">
        <x:v>-0.0431621826</x:v>
      </x:c>
      <x:c r="AK24" s="39" t="n">
        <x:v>-0.0186439529</x:v>
      </x:c>
      <x:c r="AL24" s="39" t="n">
        <x:v>0.0407401441</x:v>
      </x:c>
      <x:c r="AM24" s="39" t="n">
        <x:v>0.0132897597</x:v>
      </x:c>
      <x:c r="AN24" s="39" t="n">
        <x:v>-0.0031957633</x:v>
      </x:c>
      <x:c r="AO24" s="39" t="n">
        <x:v>0.0542788525</x:v>
      </x:c>
      <x:c r="AP24" s="39" t="n">
        <x:v>0.0790349789</x:v>
      </x:c>
      <x:c r="AQ24" s="39" t="n">
        <x:v>0.0013164268</x:v>
      </x:c>
      <x:c r="AR24" s="39" t="n">
        <x:v>0.0066106613</x:v>
      </x:c>
      <x:c r="AS24" s="39" t="n">
        <x:v>0.0054674069</x:v>
      </x:c>
    </x:row>
    <x:row r="25" ht="19" customHeight="1">
      <x:c r="A25" s="30" t="str">
        <x:v>Original</x:v>
      </x:c>
      <x:c r="B25" s="40" t="d">
        <x:v>2022-01-03T00:00:00.000Z</x:v>
      </x:c>
      <x:c r="C25" s="39" t="n">
        <x:v>0.0601118291</x:v>
      </x:c>
      <x:c r="D25" s="39" t="n">
        <x:v>-0.0172154974</x:v>
      </x:c>
      <x:c r="E25" s="39" t="n">
        <x:v>0.0554086951</x:v>
      </x:c>
      <x:c r="F25" s="39" t="n">
        <x:v>0.0305650484</x:v>
      </x:c>
      <x:c r="G25" s="39" t="n">
        <x:v>0.0234380992</x:v>
      </x:c>
      <x:c r="H25" s="39" t="n">
        <x:v>-0.0529515018</x:v>
      </x:c>
      <x:c r="I25" s="39" t="n">
        <x:v>-0.0410199522</x:v>
      </x:c>
      <x:c r="J25" s="39" t="n">
        <x:v>-0.0071548349</x:v>
      </x:c>
      <x:c r="K25" s="39" t="n">
        <x:v>0.051402997</x:v>
      </x:c>
      <x:c r="L25" s="39" t="n">
        <x:v>0.095154311</x:v>
      </x:c>
      <x:c r="M25" s="39" t="n">
        <x:v>0.0870465862</x:v>
      </x:c>
      <x:c r="N25" s="39" t="n">
        <x:v>-0.0078185333</x:v>
      </x:c>
      <x:c r="O25" s="39" t="n">
        <x:v>-0.0587761178</x:v>
      </x:c>
      <x:c r="P25" s="39" t="n">
        <x:v>0.0915951907</x:v>
      </x:c>
      <x:c r="Q25" s="39" t="n">
        <x:v>-0.1284027889</x:v>
      </x:c>
      <x:c r="R25" s="39" t="n">
        <x:v>-0.1240651213</x:v>
      </x:c>
      <x:c r="S25" s="39" t="n">
        <x:v>-0.0003724415</x:v>
      </x:c>
      <x:c r="T25" s="39" t="n">
        <x:v>-0.1934837666</x:v>
      </x:c>
      <x:c r="U25" s="39" t="n">
        <x:v>-0.1307638951</x:v>
      </x:c>
      <x:c r="V25" s="39" t="n">
        <x:v>0.0185476394</x:v>
      </x:c>
      <x:c r="W25" s="39" t="n">
        <x:v>-0.0871672665</x:v>
      </x:c>
      <x:c r="X25" s="39" t="n">
        <x:v>0.0266018553</x:v>
      </x:c>
      <x:c r="Y25" s="39" t="n">
        <x:v>0.0711800962</x:v>
      </x:c>
      <x:c r="Z25" s="39" t="n">
        <x:v>0.0409824837</x:v>
      </x:c>
      <x:c r="AA25" s="39" t="n">
        <x:v>0.1095427284</x:v>
      </x:c>
      <x:c r="AB25" s="39" t="n">
        <x:v>-0.0944677777</x:v>
      </x:c>
      <x:c r="AC25" s="39" t="n">
        <x:v>-0.2260828108</x:v>
      </x:c>
      <x:c r="AD25" s="39" t="n">
        <x:v>0.0325263896</x:v>
      </x:c>
      <x:c r="AE25" s="39" t="n">
        <x:v>0.0927466497</x:v>
      </x:c>
      <x:c r="AF25" s="39" t="n">
        <x:v>0.0844891437</x:v>
      </x:c>
      <x:c r="AG25" s="39" t="n">
        <x:v>0.0352931501</x:v>
      </x:c>
      <x:c r="AH25" s="39" t="n">
        <x:v>0.0262239028</x:v>
      </x:c>
      <x:c r="AI25" s="39" t="n">
        <x:v>-0.0344197239</x:v>
      </x:c>
      <x:c r="AJ25" s="39" t="n">
        <x:v>0.0433644048</x:v>
      </x:c>
      <x:c r="AK25" s="39" t="n">
        <x:v>0.0426877495</x:v>
      </x:c>
      <x:c r="AL25" s="39" t="n">
        <x:v>0.009382528</x:v>
      </x:c>
      <x:c r="AM25" s="39" t="n">
        <x:v>-0.0617389762</x:v>
      </x:c>
      <x:c r="AN25" s="39" t="n">
        <x:v>-0.0548088322</x:v>
      </x:c>
      <x:c r="AO25" s="39" t="n">
        <x:v>-0.0293936395</x:v>
      </x:c>
      <x:c r="AP25" s="39" t="n">
        <x:v>-0.0382945978</x:v>
      </x:c>
      <x:c r="AQ25" s="39" t="n">
        <x:v>0.0493880634</x:v>
      </x:c>
      <x:c r="AR25" s="39" t="n">
        <x:v>0.0354345045</x:v>
      </x:c>
      <x:c r="AS25" s="39" t="n">
        <x:v>0.0738256486</x:v>
      </x:c>
    </x:row>
    <x:row r="26" ht="19" customHeight="1">
      <x:c r="A26" s="30" t="str">
        <x:v>Original</x:v>
      </x:c>
      <x:c r="B26" s="40" t="d">
        <x:v>2022-01-31T00:00:00.000Z</x:v>
      </x:c>
      <x:c r="C26" s="39" t="n">
        <x:v>-0.0284866339</x:v>
      </x:c>
      <x:c r="D26" s="39" t="n">
        <x:v>0.0844784456</x:v>
      </x:c>
      <x:c r="E26" s="39" t="n">
        <x:v>-0.013057106</x:v>
      </x:c>
      <x:c r="F26" s="39" t="n">
        <x:v>-0.0079506006</x:v>
      </x:c>
      <x:c r="G26" s="39" t="n">
        <x:v>-0.0760822416</x:v>
      </x:c>
      <x:c r="H26" s="39" t="n">
        <x:v>-0.0535348087</x:v>
      </x:c>
      <x:c r="I26" s="39" t="n">
        <x:v>-0.0221285531</x:v>
      </x:c>
      <x:c r="J26" s="39" t="n">
        <x:v>-0.0903994658</x:v>
      </x:c>
      <x:c r="K26" s="39" t="n">
        <x:v>-0.0147001465</x:v>
      </x:c>
      <x:c r="L26" s="39" t="n">
        <x:v>0.0572267116</x:v>
      </x:c>
      <x:c r="M26" s="39" t="n">
        <x:v>0.0592178107</x:v>
      </x:c>
      <x:c r="N26" s="39" t="n">
        <x:v>0.033413747</x:v>
      </x:c>
      <x:c r="O26" s="39" t="n">
        <x:v>-0.0633757431</x:v>
      </x:c>
      <x:c r="P26" s="39" t="n">
        <x:v>-0.1726288651</x:v>
      </x:c>
      <x:c r="Q26" s="39" t="n">
        <x:v>0.0299034309</x:v>
      </x:c>
      <x:c r="R26" s="39" t="n">
        <x:v>-0.152787759</x:v>
      </x:c>
      <x:c r="S26" s="39" t="n">
        <x:v>0.0646886502</x:v>
      </x:c>
      <x:c r="T26" s="39" t="n">
        <x:v>-0.0261343589</x:v>
      </x:c>
      <x:c r="U26" s="39" t="n">
        <x:v>-0.1957075605</x:v>
      </x:c>
      <x:c r="V26" s="39" t="n">
        <x:v>-0.011005716</x:v>
      </x:c>
      <x:c r="W26" s="39" t="n">
        <x:v>-0.1996348367</x:v>
      </x:c>
      <x:c r="X26" s="39" t="n">
        <x:v>-0.0104446607</x:v>
      </x:c>
      <x:c r="Y26" s="39" t="n">
        <x:v>-0.1092207967</x:v>
      </x:c>
      <x:c r="Z26" s="39" t="n">
        <x:v>0.0179673171</x:v>
      </x:c>
      <x:c r="AA26" s="39" t="n">
        <x:v>-0.000726523</x:v>
      </x:c>
      <x:c r="AB26" s="39" t="n">
        <x:v>-0.066583748</x:v>
      </x:c>
      <x:c r="AC26" s="39" t="n">
        <x:v>-0.1228053716</x:v>
      </x:c>
      <x:c r="AD26" s="39" t="n">
        <x:v>-0.0014981198</x:v>
      </x:c>
      <x:c r="AE26" s="39" t="n">
        <x:v>-0.2183670763</x:v>
      </x:c>
      <x:c r="AF26" s="39" t="n">
        <x:v>-0.0123072399</x:v>
      </x:c>
      <x:c r="AG26" s="39" t="n">
        <x:v>-0.0309247346</x:v>
      </x:c>
      <x:c r="AH26" s="39" t="n">
        <x:v>-0.039738651</x:v>
      </x:c>
      <x:c r="AI26" s="39" t="n">
        <x:v>-0.0473943508</x:v>
      </x:c>
      <x:c r="AJ26" s="39" t="n">
        <x:v>-0.0495226261</x:v>
      </x:c>
      <x:c r="AK26" s="39" t="n">
        <x:v>-0.0634430388</x:v>
      </x:c>
      <x:c r="AL26" s="39" t="n">
        <x:v>-0.0476236949</x:v>
      </x:c>
      <x:c r="AM26" s="39" t="n">
        <x:v>-0.0188357375</x:v>
      </x:c>
      <x:c r="AN26" s="39" t="n">
        <x:v>0.0322825242</x:v>
      </x:c>
      <x:c r="AO26" s="39" t="n">
        <x:v>-0.0213137006</x:v>
      </x:c>
      <x:c r="AP26" s="39" t="n">
        <x:v>-0.064998231</x:v>
      </x:c>
      <x:c r="AQ26" s="39" t="n">
        <x:v>0.0074880422</x:v>
      </x:c>
      <x:c r="AR26" s="39" t="n">
        <x:v>-0.0096782732</x:v>
      </x:c>
      <x:c r="AS26" s="39" t="n">
        <x:v>-0.0108787697</x:v>
      </x:c>
    </x:row>
    <x:row r="27" ht="19" customHeight="1">
      <x:c r="A27" s="30" t="str">
        <x:v>Original</x:v>
      </x:c>
      <x:c r="B27" s="40" t="d">
        <x:v>2022-02-28T00:00:00.000Z</x:v>
      </x:c>
      <x:c r="C27" s="39" t="n">
        <x:v>0.0224245236</x:v>
      </x:c>
      <x:c r="D27" s="39" t="n">
        <x:v>0.1726312634</x:v>
      </x:c>
      <x:c r="E27" s="39" t="n">
        <x:v>0.0628117341</x:v>
      </x:c>
      <x:c r="F27" s="39" t="n">
        <x:v>0.015434197</x:v>
      </x:c>
      <x:c r="G27" s="39" t="n">
        <x:v>-0.0067225739</x:v>
      </x:c>
      <x:c r="H27" s="39" t="n">
        <x:v>-0.0205705591</x:v>
      </x:c>
      <x:c r="I27" s="39" t="n">
        <x:v>-0.0578740052</x:v>
      </x:c>
      <x:c r="J27" s="39" t="n">
        <x:v>0.0037074395</x:v>
      </x:c>
      <x:c r="K27" s="39" t="n">
        <x:v>-0.0382344341</x:v>
      </x:c>
      <x:c r="L27" s="39" t="n">
        <x:v>-0.0060962853</x:v>
      </x:c>
      <x:c r="M27" s="39" t="n">
        <x:v>0.1456478069</x:v>
      </x:c>
      <x:c r="N27" s="39" t="n">
        <x:v>0.1984258998</x:v>
      </x:c>
      <x:c r="O27" s="39" t="n">
        <x:v>0.06915488</x:v>
      </x:c>
      <x:c r="P27" s="39" t="n">
        <x:v>-0.0220590938</x:v>
      </x:c>
      <x:c r="Q27" s="39" t="n">
        <x:v>-0.1118415147</x:v>
      </x:c>
      <x:c r="R27" s="39" t="n">
        <x:v>-0.0788427192</x:v>
      </x:c>
      <x:c r="S27" s="39" t="n">
        <x:v>-0.0071621135</x:v>
      </x:c>
      <x:c r="T27" s="39" t="n">
        <x:v>-0.0163336928</x:v>
      </x:c>
      <x:c r="U27" s="39" t="n">
        <x:v>-0.129965316</x:v>
      </x:c>
      <x:c r="V27" s="39" t="n">
        <x:v>-0.0252791552</x:v>
      </x:c>
      <x:c r="W27" s="39" t="n">
        <x:v>-0.0918731721</x:v>
      </x:c>
      <x:c r="X27" s="39" t="n">
        <x:v>-0.0321122575</x:v>
      </x:c>
      <x:c r="Y27" s="39" t="n">
        <x:v>0.0066345811</x:v>
      </x:c>
      <x:c r="Z27" s="39" t="n">
        <x:v>0.1448320076</x:v>
      </x:c>
      <x:c r="AA27" s="39" t="n">
        <x:v>-0.0127107084</x:v>
      </x:c>
      <x:c r="AB27" s="39" t="n">
        <x:v>0.0675291562</x:v>
      </x:c>
      <x:c r="AC27" s="39" t="n">
        <x:v>0.1920911207</x:v>
      </x:c>
      <x:c r="AD27" s="39" t="n">
        <x:v>-0.0295070518</x:v>
      </x:c>
      <x:c r="AE27" s="39" t="n">
        <x:v>-0.0466380039</x:v>
      </x:c>
      <x:c r="AF27" s="39" t="n">
        <x:v>-0.0184640189</x:v>
      </x:c>
      <x:c r="AG27" s="39" t="n">
        <x:v>-0.0968238273</x:v>
      </x:c>
      <x:c r="AH27" s="39" t="n">
        <x:v>0.1342513808</x:v>
      </x:c>
      <x:c r="AI27" s="39" t="n">
        <x:v>-0.0958621858</x:v>
      </x:c>
      <x:c r="AJ27" s="39" t="n">
        <x:v>0.0627037869</x:v>
      </x:c>
      <x:c r="AK27" s="39" t="n">
        <x:v>0.0633831089</x:v>
      </x:c>
      <x:c r="AL27" s="39" t="n">
        <x:v>-0.1269118166</x:v>
      </x:c>
      <x:c r="AM27" s="39" t="n">
        <x:v>-0.0379598746</x:v>
      </x:c>
      <x:c r="AN27" s="39" t="n">
        <x:v>-0.0605292783</x:v>
      </x:c>
      <x:c r="AO27" s="39" t="n">
        <x:v>0.0080149588</x:v>
      </x:c>
      <x:c r="AP27" s="39" t="n">
        <x:v>-0.075766283</x:v>
      </x:c>
      <x:c r="AQ27" s="39" t="n">
        <x:v>0.0190569597</x:v>
      </x:c>
      <x:c r="AR27" s="39" t="n">
        <x:v>-0.0045379166</x:v>
      </x:c>
      <x:c r="AS27" s="39" t="n">
        <x:v>0.0236346575</x:v>
      </x:c>
    </x:row>
    <x:row r="28" ht="19" customHeight="1">
      <x:c r="A28" s="30" t="str">
        <x:v>Original</x:v>
      </x:c>
      <x:c r="B28" s="40" t="d">
        <x:v>2022-03-28T00:00:00.000Z</x:v>
      </x:c>
      <x:c r="C28" s="39" t="n">
        <x:v>0.0356619829</x:v>
      </x:c>
      <x:c r="D28" s="39" t="n">
        <x:v>0.0908654284</x:v>
      </x:c>
      <x:c r="E28" s="39" t="n">
        <x:v>0.0388340375</x:v>
      </x:c>
      <x:c r="F28" s="39" t="n">
        <x:v>0.0501219304</x:v>
      </x:c>
      <x:c r="G28" s="39" t="n">
        <x:v>-0.0198636231</x:v>
      </x:c>
      <x:c r="H28" s="39" t="n">
        <x:v>0.0741770633</x:v>
      </x:c>
      <x:c r="I28" s="39" t="n">
        <x:v>0.0860314744</x:v>
      </x:c>
      <x:c r="J28" s="39" t="n">
        <x:v>0.0445277812</x:v>
      </x:c>
      <x:c r="K28" s="39" t="n">
        <x:v>-0.1005975775</x:v>
      </x:c>
      <x:c r="L28" s="39" t="n">
        <x:v>0.1213531835</x:v>
      </x:c>
      <x:c r="M28" s="39" t="n">
        <x:v>0.0663316629</x:v>
      </x:c>
      <x:c r="N28" s="39" t="n">
        <x:v>0.0690662775</x:v>
      </x:c>
      <x:c r="O28" s="39" t="n">
        <x:v>0.0785705852</x:v>
      </x:c>
      <x:c r="P28" s="39" t="n">
        <x:v>-0.0282596465</x:v>
      </x:c>
      <x:c r="Q28" s="39" t="n">
        <x:v>0.0770026118</x:v>
      </x:c>
      <x:c r="R28" s="39" t="n">
        <x:v>0.1098035317</x:v>
      </x:c>
      <x:c r="S28" s="39" t="n">
        <x:v>-0.0087761028</x:v>
      </x:c>
      <x:c r="T28" s="39" t="n">
        <x:v>0.149777015</x:v>
      </x:c>
      <x:c r="U28" s="39" t="n">
        <x:v>0.1911389255</x:v>
      </x:c>
      <x:c r="V28" s="39" t="n">
        <x:v>0.0063068232</x:v>
      </x:c>
      <x:c r="W28" s="39" t="n">
        <x:v>0.0236808475</x:v>
      </x:c>
      <x:c r="X28" s="39" t="n">
        <x:v>0.0076556915</x:v>
      </x:c>
      <x:c r="Y28" s="39" t="n">
        <x:v>-0.0537698406</x:v>
      </x:c>
      <x:c r="Z28" s="39" t="n">
        <x:v>0.085602496</x:v>
      </x:c>
      <x:c r="AA28" s="39" t="n">
        <x:v>0.0533678714</x:v>
      </x:c>
      <x:c r="AB28" s="39" t="n">
        <x:v>0.05598324</x:v>
      </x:c>
      <x:c r="AC28" s="39" t="n">
        <x:v>-0.1204923925</x:v>
      </x:c>
      <x:c r="AD28" s="39" t="n">
        <x:v>-0.0002389663</x:v>
      </x:c>
      <x:c r="AE28" s="39" t="n">
        <x:v>-0.0088529687</x:v>
      </x:c>
      <x:c r="AF28" s="39" t="n">
        <x:v>-0.0004383107</x:v>
      </x:c>
      <x:c r="AG28" s="39" t="n">
        <x:v>0.0395946858</x:v>
      </x:c>
      <x:c r="AH28" s="39" t="n">
        <x:v>-0.0543441118</x:v>
      </x:c>
      <x:c r="AI28" s="39" t="n">
        <x:v>-0.0015061374</x:v>
      </x:c>
      <x:c r="AJ28" s="39" t="n">
        <x:v>0.0796189088</x:v>
      </x:c>
      <x:c r="AK28" s="39" t="n">
        <x:v>0.086229011</x:v>
      </x:c>
      <x:c r="AL28" s="39" t="n">
        <x:v>0.107641577</x:v>
      </x:c>
      <x:c r="AM28" s="39" t="n">
        <x:v>0.0484163103</x:v>
      </x:c>
      <x:c r="AN28" s="39" t="n">
        <x:v>0.044947917</x:v>
      </x:c>
      <x:c r="AO28" s="39" t="n">
        <x:v>0.0674779483</x:v>
      </x:c>
      <x:c r="AP28" s="39" t="n">
        <x:v>-0.0485383541</x:v>
      </x:c>
      <x:c r="AQ28" s="39" t="n">
        <x:v>0.0092003394</x:v>
      </x:c>
      <x:c r="AR28" s="39" t="n">
        <x:v>0.03715698</x:v>
      </x:c>
      <x:c r="AS28" s="39" t="n">
        <x:v>0.0581422147</x:v>
      </x:c>
    </x:row>
    <x:row r="29" ht="19" customHeight="1">
      <x:c r="A29" s="30" t="str">
        <x:v>Original</x:v>
      </x:c>
      <x:c r="B29" s="40" t="d">
        <x:v>2022-04-25T00:00:00.000Z</x:v>
      </x:c>
      <x:c r="C29" s="39" t="n">
        <x:v>0.0490510854</x:v>
      </x:c>
      <x:c r="D29" s="39" t="n">
        <x:v>-0.0622367064</x:v>
      </x:c>
      <x:c r="E29" s="39" t="n">
        <x:v>-0.0179920809</x:v>
      </x:c>
      <x:c r="F29" s="39" t="n">
        <x:v>-0.0078046899</x:v>
      </x:c>
      <x:c r="G29" s="39" t="n">
        <x:v>-0.1539933936</x:v>
      </x:c>
      <x:c r="H29" s="39" t="n">
        <x:v>-0.0683124293</x:v>
      </x:c>
      <x:c r="I29" s="39" t="n">
        <x:v>-0.2065094829</x:v>
      </x:c>
      <x:c r="J29" s="39" t="n">
        <x:v>-0.0492141445</x:v>
      </x:c>
      <x:c r="K29" s="39" t="n">
        <x:v>-0.064771282</x:v>
      </x:c>
      <x:c r="L29" s="39" t="n">
        <x:v>0.0722290048</x:v>
      </x:c>
      <x:c r="M29" s="39" t="n">
        <x:v>-0.0226421546</x:v>
      </x:c>
      <x:c r="N29" s="39" t="n">
        <x:v>-0.0411029101</x:v>
      </x:c>
      <x:c r="O29" s="39" t="n">
        <x:v>-0.0916087312</x:v>
      </x:c>
      <x:c r="P29" s="39" t="n">
        <x:v>0.0694192341</x:v>
      </x:c>
      <x:c r="Q29" s="39" t="n">
        <x:v>-0.1800999229</x:v>
      </x:c>
      <x:c r="R29" s="39" t="n">
        <x:v>-0.3102748475</x:v>
      </x:c>
      <x:c r="S29" s="39" t="n">
        <x:v>-0.0671235361</x:v>
      </x:c>
      <x:c r="T29" s="39" t="n">
        <x:v>-0.270904189</x:v>
      </x:c>
      <x:c r="U29" s="39" t="n">
        <x:v>-0.2052349753</x:v>
      </x:c>
      <x:c r="V29" s="39" t="n">
        <x:v>-0.1627367521</x:v>
      </x:c>
      <x:c r="W29" s="39" t="n">
        <x:v>-0.5067569278</x:v>
      </x:c>
      <x:c r="X29" s="39" t="n">
        <x:v>-0.1326763514</x:v>
      </x:c>
      <x:c r="Y29" s="39" t="n">
        <x:v>-0.0822904494</x:v>
      </x:c>
      <x:c r="Z29" s="39" t="n">
        <x:v>-0.0960873731</x:v>
      </x:c>
      <x:c r="AA29" s="39" t="n">
        <x:v>-0.0522754715</x:v>
      </x:c>
      <x:c r="AB29" s="39" t="n">
        <x:v>0.0559698793</x:v>
      </x:c>
      <x:c r="AC29" s="39" t="n">
        <x:v>-0.2811315659</x:v>
      </x:c>
      <x:c r="AD29" s="39" t="n">
        <x:v>0.030224256</x:v>
      </x:c>
      <x:c r="AE29" s="39" t="n">
        <x:v>-0.116821815</x:v>
      </x:c>
      <x:c r="AF29" s="39" t="n">
        <x:v>-0.04175959</x:v>
      </x:c>
      <x:c r="AG29" s="39" t="n">
        <x:v>-0.1865928506</x:v>
      </x:c>
      <x:c r="AH29" s="39" t="n">
        <x:v>0.0366119184</x:v>
      </x:c>
      <x:c r="AI29" s="39" t="n">
        <x:v>-0.176813359</x:v>
      </x:c>
      <x:c r="AJ29" s="39" t="n">
        <x:v>-0.0013887561</x:v>
      </x:c>
      <x:c r="AK29" s="39" t="n">
        <x:v>-0.0559151376</x:v>
      </x:c>
      <x:c r="AL29" s="39" t="n">
        <x:v>-0.0724822312</x:v>
      </x:c>
      <x:c r="AM29" s="39" t="n">
        <x:v>-0.0818174898</x:v>
      </x:c>
      <x:c r="AN29" s="39" t="n">
        <x:v>-0.1545703782</x:v>
      </x:c>
      <x:c r="AO29" s="39" t="n">
        <x:v>-0.0583656458</x:v>
      </x:c>
      <x:c r="AP29" s="39" t="n">
        <x:v>-0.0037206238</x:v>
      </x:c>
      <x:c r="AQ29" s="39" t="n">
        <x:v>0.0205282653</x:v>
      </x:c>
      <x:c r="AR29" s="39" t="n">
        <x:v>0.0095188305</x:v>
      </x:c>
      <x:c r="AS29" s="39" t="n">
        <x:v>-0.064791605</x:v>
      </x:c>
    </x:row>
    <x:row r="30" ht="19" customHeight="1">
      <x:c r="A30" s="30" t="str">
        <x:v>Original</x:v>
      </x:c>
      <x:c r="B30" s="40" t="d">
        <x:v>2022-05-23T00:00:00.000Z</x:v>
      </x:c>
      <x:c r="C30" s="39" t="n">
        <x:v>0.0383401671</x:v>
      </x:c>
      <x:c r="D30" s="39" t="n">
        <x:v>0.0995781204</x:v>
      </x:c>
      <x:c r="E30" s="39" t="n">
        <x:v>0.0395619093</x:v>
      </x:c>
      <x:c r="F30" s="39" t="n">
        <x:v>0.0207589062</x:v>
      </x:c>
      <x:c r="G30" s="39" t="n">
        <x:v>-0.0159469689</x:v>
      </x:c>
      <x:c r="H30" s="39" t="n">
        <x:v>-0.0283894435</x:v>
      </x:c>
      <x:c r="I30" s="39" t="n">
        <x:v>-0.0582221923</x:v>
      </x:c>
      <x:c r="J30" s="39" t="n">
        <x:v>0.0635450526</x:v>
      </x:c>
      <x:c r="K30" s="39" t="n">
        <x:v>0.05495489</x:v>
      </x:c>
      <x:c r="L30" s="39" t="n">
        <x:v>0.1339561507</x:v>
      </x:c>
      <x:c r="M30" s="39" t="n">
        <x:v>-0.0056936359</x:v>
      </x:c>
      <x:c r="N30" s="39" t="n">
        <x:v>-0.0210914529</x:v>
      </x:c>
      <x:c r="O30" s="39" t="n">
        <x:v>-0.0401264401</x:v>
      </x:c>
      <x:c r="P30" s="39" t="n">
        <x:v>0.1216751832</x:v>
      </x:c>
      <x:c r="Q30" s="39" t="n">
        <x:v>-0.021008988</x:v>
      </x:c>
      <x:c r="R30" s="39" t="n">
        <x:v>0.1899172734</x:v>
      </x:c>
      <x:c r="S30" s="39" t="n">
        <x:v>-0.0706621215</x:v>
      </x:c>
      <x:c r="T30" s="39" t="n">
        <x:v>-0.2897712613</x:v>
      </x:c>
      <x:c r="U30" s="39" t="n">
        <x:v>0.0717005826</x:v>
      </x:c>
      <x:c r="V30" s="39" t="n">
        <x:v>-0.068808381</x:v>
      </x:c>
      <x:c r="W30" s="39" t="n">
        <x:v>0.01910878</x:v>
      </x:c>
      <x:c r="X30" s="39" t="n">
        <x:v>0.0800441558</x:v>
      </x:c>
      <x:c r="Y30" s="39" t="n">
        <x:v>0.0553178082</x:v>
      </x:c>
      <x:c r="Z30" s="39" t="n">
        <x:v>-0.0446199063</x:v>
      </x:c>
      <x:c r="AA30" s="39" t="n">
        <x:v>0.08704171</x:v>
      </x:c>
      <x:c r="AB30" s="39" t="n">
        <x:v>0.0159218954</x:v>
      </x:c>
      <x:c r="AC30" s="39" t="n">
        <x:v>-0.3044063807</x:v>
      </x:c>
      <x:c r="AD30" s="39" t="n">
        <x:v>-0.0583717866</x:v>
      </x:c>
      <x:c r="AE30" s="39" t="n">
        <x:v>-0.0290927571</x:v>
      </x:c>
      <x:c r="AF30" s="39" t="n">
        <x:v>0.0185777979</x:v>
      </x:c>
      <x:c r="AG30" s="39" t="n">
        <x:v>-0.0902413266</x:v>
      </x:c>
      <x:c r="AH30" s="39" t="n">
        <x:v>0.0103061185</x:v>
      </x:c>
      <x:c r="AI30" s="39" t="n">
        <x:v>0.1363341619</x:v>
      </x:c>
      <x:c r="AJ30" s="39" t="n">
        <x:v>0.0803067923</x:v>
      </x:c>
      <x:c r="AK30" s="39" t="n">
        <x:v>-0.0000954729</x:v>
      </x:c>
      <x:c r="AL30" s="39" t="n">
        <x:v>0.0181677549</x:v>
      </x:c>
      <x:c r="AM30" s="39" t="n">
        <x:v>-0.0100791509</x:v>
      </x:c>
      <x:c r="AN30" s="39" t="n">
        <x:v>-0.0120783418</x:v>
      </x:c>
      <x:c r="AO30" s="39" t="n">
        <x:v>-0.0928643833</x:v>
      </x:c>
      <x:c r="AP30" s="39" t="n">
        <x:v>0.0201923344</x:v>
      </x:c>
      <x:c r="AQ30" s="39" t="n">
        <x:v>0.0008258983</x:v>
      </x:c>
      <x:c r="AR30" s="39" t="n">
        <x:v>0.0075426381</x:v>
      </x:c>
      <x:c r="AS30" s="39" t="n">
        <x:v>-0.0088388854</x:v>
      </x:c>
    </x:row>
    <x:row r="31" ht="19" customHeight="1">
      <x:c r="A31" s="30" t="str">
        <x:v>Original</x:v>
      </x:c>
      <x:c r="B31" s="40" t="d">
        <x:v>2022-06-20T00:00:00.000Z</x:v>
      </x:c>
      <x:c r="C31" s="39" t="n">
        <x:v>-0.0848594715</x:v>
      </x:c>
      <x:c r="D31" s="39" t="n">
        <x:v>-0.2311162125</x:v>
      </x:c>
      <x:c r="E31" s="39" t="n">
        <x:v>-0.0782873401</x:v>
      </x:c>
      <x:c r="F31" s="39" t="n">
        <x:v>-0.0703720812</x:v>
      </x:c>
      <x:c r="G31" s="39" t="n">
        <x:v>-0.0862865076</x:v>
      </x:c>
      <x:c r="H31" s="39" t="n">
        <x:v>-0.0415792008</x:v>
      </x:c>
      <x:c r="I31" s="39" t="n">
        <x:v>0.0087730554</x:v>
      </x:c>
      <x:c r="J31" s="39" t="n">
        <x:v>-0.0760696721</x:v>
      </x:c>
      <x:c r="K31" s="39" t="n">
        <x:v>-0.1263459086</x:v>
      </x:c>
      <x:c r="L31" s="39" t="n">
        <x:v>-0.183807661</x:v>
      </x:c>
      <x:c r="M31" s="39" t="n">
        <x:v>-0.1073085217</x:v>
      </x:c>
      <x:c r="N31" s="39" t="n">
        <x:v>-0.1357110184</x:v>
      </x:c>
      <x:c r="O31" s="39" t="n">
        <x:v>-0.0254522431</x:v>
      </x:c>
      <x:c r="P31" s="39" t="n">
        <x:v>-0.2161991813</x:v>
      </x:c>
      <x:c r="Q31" s="39" t="n">
        <x:v>0.0197803891</x:v>
      </x:c>
      <x:c r="R31" s="39" t="n">
        <x:v>-0.0445335879</x:v>
      </x:c>
      <x:c r="S31" s="39" t="n">
        <x:v>0.041893414</x:v>
      </x:c>
      <x:c r="T31" s="39" t="n">
        <x:v>-0.0988857507</x:v>
      </x:c>
      <x:c r="U31" s="39" t="n">
        <x:v>-0.0179641828</x:v>
      </x:c>
      <x:c r="V31" s="39" t="n">
        <x:v>-0.0495356602</x:v>
      </x:c>
      <x:c r="W31" s="39" t="n">
        <x:v>-0.0173917313</x:v>
      </x:c>
      <x:c r="X31" s="39" t="n">
        <x:v>-0.0848855986</x:v>
      </x:c>
      <x:c r="Y31" s="39" t="n">
        <x:v>-0.17544575</x:v>
      </x:c>
      <x:c r="Z31" s="39" t="n">
        <x:v>-0.0464570554</x:v>
      </x:c>
      <x:c r="AA31" s="39" t="n">
        <x:v>-0.0284766457</x:v>
      </x:c>
      <x:c r="AB31" s="39" t="n">
        <x:v>0.0126798923</x:v>
      </x:c>
      <x:c r="AC31" s="39" t="n">
        <x:v>-0.1595254688</x:v>
      </x:c>
      <x:c r="AD31" s="39" t="n">
        <x:v>-0.0230679475</x:v>
      </x:c>
      <x:c r="AE31" s="39" t="n">
        <x:v>-0.0978684676</x:v>
      </x:c>
      <x:c r="AF31" s="39" t="n">
        <x:v>-0.0834060619</x:v>
      </x:c>
      <x:c r="AG31" s="39" t="n">
        <x:v>0.0525711308</x:v>
      </x:c>
      <x:c r="AH31" s="39" t="n">
        <x:v>0.0033836058</x:v>
      </x:c>
      <x:c r="AI31" s="39" t="n">
        <x:v>-0.1242881071</x:v>
      </x:c>
      <x:c r="AJ31" s="39" t="n">
        <x:v>0.0050999596</x:v>
      </x:c>
      <x:c r="AK31" s="39" t="n">
        <x:v>-0.0607382247</x:v>
      </x:c>
      <x:c r="AL31" s="39" t="n">
        <x:v>-0.0513235723</x:v>
      </x:c>
      <x:c r="AM31" s="39" t="n">
        <x:v>-0.0158430351</x:v>
      </x:c>
      <x:c r="AN31" s="39" t="n">
        <x:v>0.0380170615</x:v>
      </x:c>
      <x:c r="AO31" s="39" t="n">
        <x:v>0.022044139</x:v>
      </x:c>
      <x:c r="AP31" s="39" t="n">
        <x:v>-0.0617603797</x:v>
      </x:c>
      <x:c r="AQ31" s="39" t="n">
        <x:v>-0.0142963059</x:v>
      </x:c>
      <x:c r="AR31" s="39" t="n">
        <x:v>0.0051084236</x:v>
      </x:c>
      <x:c r="AS31" s="39" t="n">
        <x:v>-0.1058926903</x:v>
      </x:c>
    </x:row>
    <x:row r="32" ht="19" customHeight="1">
      <x:c r="A32" s="30" t="str">
        <x:v>Original</x:v>
      </x:c>
      <x:c r="B32" s="40" t="d">
        <x:v>2022-07-18T00:00:00.000Z</x:v>
      </x:c>
      <x:c r="C32" s="39" t="n">
        <x:v>-0.0131901635</x:v>
      </x:c>
      <x:c r="D32" s="39" t="n">
        <x:v>-0.1258747084</x:v>
      </x:c>
      <x:c r="E32" s="39" t="n">
        <x:v>0.0062604594</x:v>
      </x:c>
      <x:c r="F32" s="39" t="n">
        <x:v>-0.0084181809</x:v>
      </x:c>
      <x:c r="G32" s="39" t="n">
        <x:v>0.0386626868</x:v>
      </x:c>
      <x:c r="H32" s="39" t="n">
        <x:v>0.0107335097</x:v>
      </x:c>
      <x:c r="I32" s="39" t="n">
        <x:v>0.0391513456</x:v>
      </x:c>
      <x:c r="J32" s="39" t="n">
        <x:v>0.0744046282</x:v>
      </x:c>
      <x:c r="K32" s="39" t="n">
        <x:v>0.0278515801</x:v>
      </x:c>
      <x:c r="L32" s="39" t="n">
        <x:v>0.0006791057</x:v>
      </x:c>
      <x:c r="M32" s="39" t="n">
        <x:v>0.013904065</x:v>
      </x:c>
      <x:c r="N32" s="39" t="n">
        <x:v>-0.0140474325</x:v>
      </x:c>
      <x:c r="O32" s="39" t="n">
        <x:v>0.09307676</x:v>
      </x:c>
      <x:c r="P32" s="39" t="n">
        <x:v>0.002495702</x:v>
      </x:c>
      <x:c r="Q32" s="39" t="n">
        <x:v>-0.0225388848</x:v>
      </x:c>
      <x:c r="R32" s="39" t="n">
        <x:v>-0.1555728431</x:v>
      </x:c>
      <x:c r="S32" s="39" t="n">
        <x:v>-0.020895449</x:v>
      </x:c>
      <x:c r="T32" s="39" t="n">
        <x:v>-0.002880333</x:v>
      </x:c>
      <x:c r="U32" s="39" t="n">
        <x:v>0.098250232</x:v>
      </x:c>
      <x:c r="V32" s="39" t="n">
        <x:v>0.0471724316</x:v>
      </x:c>
      <x:c r="W32" s="39" t="n">
        <x:v>0.1130676014</x:v>
      </x:c>
      <x:c r="X32" s="39" t="n">
        <x:v>0.0631530348</x:v>
      </x:c>
      <x:c r="Y32" s="39" t="n">
        <x:v>0.0388863656</x:v>
      </x:c>
      <x:c r="Z32" s="39" t="n">
        <x:v>-0.1743404353</x:v>
      </x:c>
      <x:c r="AA32" s="39" t="n">
        <x:v>-0.0324830924</x:v>
      </x:c>
      <x:c r="AB32" s="39" t="n">
        <x:v>-0.0161081994</x:v>
      </x:c>
      <x:c r="AC32" s="39" t="n">
        <x:v>-0.3554317421</x:v>
      </x:c>
      <x:c r="AD32" s="39" t="n">
        <x:v>-0.002185158</x:v>
      </x:c>
      <x:c r="AE32" s="39" t="n">
        <x:v>0.0511980072</x:v>
      </x:c>
      <x:c r="AF32" s="39" t="n">
        <x:v>-0.0163489199</x:v>
      </x:c>
      <x:c r="AG32" s="39" t="n">
        <x:v>0.0871478398</x:v>
      </x:c>
      <x:c r="AH32" s="39" t="n">
        <x:v>-0.0244561036</x:v>
      </x:c>
      <x:c r="AI32" s="39" t="n">
        <x:v>0.0091350152</x:v>
      </x:c>
      <x:c r="AJ32" s="39" t="n">
        <x:v>0.0075045088</x:v>
      </x:c>
      <x:c r="AK32" s="39" t="n">
        <x:v>-0.0050032272</x:v>
      </x:c>
      <x:c r="AL32" s="39" t="n">
        <x:v>0.0459238053</x:v>
      </x:c>
      <x:c r="AM32" s="39" t="n">
        <x:v>-0.0218087994</x:v>
      </x:c>
      <x:c r="AN32" s="39" t="n">
        <x:v>-0.0700253576</x:v>
      </x:c>
      <x:c r="AO32" s="39" t="n">
        <x:v>0.0702070795</x:v>
      </x:c>
      <x:c r="AP32" s="39" t="n">
        <x:v>0.0628055894</x:v>
      </x:c>
      <x:c r="AQ32" s="39" t="n">
        <x:v>-0.0182538546</x:v>
      </x:c>
      <x:c r="AR32" s="39" t="n">
        <x:v>-0.0450324089</x:v>
      </x:c>
      <x:c r="AS32" s="39" t="n">
        <x:v>0.0212734084</x:v>
      </x:c>
    </x:row>
    <x:row r="33" ht="19" customHeight="1">
      <x:c r="A33" s="30" t="str">
        <x:v>Original</x:v>
      </x:c>
      <x:c r="B33" s="40" t="d">
        <x:v>2022-08-15T00:00:00.000Z</x:v>
      </x:c>
      <x:c r="C33" s="39" t="n">
        <x:v>0.0742529818</x:v>
      </x:c>
      <x:c r="D33" s="39" t="n">
        <x:v>0.2865016408</x:v>
      </x:c>
      <x:c r="E33" s="39" t="n">
        <x:v>0.0908565687</x:v>
      </x:c>
      <x:c r="F33" s="39" t="n">
        <x:v>0.0913990401</x:v>
      </x:c>
      <x:c r="G33" s="39" t="n">
        <x:v>0.1246280959</x:v>
      </x:c>
      <x:c r="H33" s="39" t="n">
        <x:v>0.1718857729</x:v>
      </x:c>
      <x:c r="I33" s="39" t="n">
        <x:v>0.0966319578</x:v>
      </x:c>
      <x:c r="J33" s="39" t="n">
        <x:v>0.1128189667</x:v>
      </x:c>
      <x:c r="K33" s="39" t="n">
        <x:v>0.0318679845</x:v>
      </x:c>
      <x:c r="L33" s="39" t="n">
        <x:v>0.1109536276</x:v>
      </x:c>
      <x:c r="M33" s="39" t="n">
        <x:v>0.161560752</x:v>
      </x:c>
      <x:c r="N33" s="39" t="n">
        <x:v>0.113502716</x:v>
      </x:c>
      <x:c r="O33" s="39" t="n">
        <x:v>0.1379672639</x:v>
      </x:c>
      <x:c r="P33" s="39" t="n">
        <x:v>0.0075458758</x:v>
      </x:c>
      <x:c r="Q33" s="39" t="n">
        <x:v>0.0358531917</x:v>
      </x:c>
      <x:c r="R33" s="39" t="n">
        <x:v>0.0812382438</x:v>
      </x:c>
      <x:c r="S33" s="39" t="n">
        <x:v>-0.0094323097</x:v>
      </x:c>
      <x:c r="T33" s="39" t="n">
        <x:v>0.2249748749</x:v>
      </x:c>
      <x:c r="U33" s="39" t="n">
        <x:v>-0.0896171636</x:v>
      </x:c>
      <x:c r="V33" s="39" t="n">
        <x:v>0.1963138403</x:v>
      </x:c>
      <x:c r="W33" s="39" t="n">
        <x:v>0.0714708303</x:v>
      </x:c>
      <x:c r="X33" s="39" t="n">
        <x:v>-0.076798552</x:v>
      </x:c>
      <x:c r="Y33" s="39" t="n">
        <x:v>-0.0101898096</x:v>
      </x:c>
      <x:c r="Z33" s="39" t="n">
        <x:v>-0.132060687</x:v>
      </x:c>
      <x:c r="AA33" s="39" t="n">
        <x:v>0.1087705963</x:v>
      </x:c>
      <x:c r="AB33" s="39" t="n">
        <x:v>-0.0200576582</x:v>
      </x:c>
      <x:c r="AC33" s="39" t="n">
        <x:v>0.0710052664</x:v>
      </x:c>
      <x:c r="AD33" s="39" t="n">
        <x:v>0.0364765951</x:v>
      </x:c>
      <x:c r="AE33" s="39" t="n">
        <x:v>0.1781920245</x:v>
      </x:c>
      <x:c r="AF33" s="39" t="n">
        <x:v>0.0606078786</x:v>
      </x:c>
      <x:c r="AG33" s="39" t="n">
        <x:v>0.0235905597</x:v>
      </x:c>
      <x:c r="AH33" s="39" t="n">
        <x:v>0.0959683126</x:v>
      </x:c>
      <x:c r="AI33" s="39" t="n">
        <x:v>0.0679063753</x:v>
      </x:c>
      <x:c r="AJ33" s="39" t="n">
        <x:v>-0.0120120313</x:v>
      </x:c>
      <x:c r="AK33" s="39" t="n">
        <x:v>-0.0318451265</x:v>
      </x:c>
      <x:c r="AL33" s="39" t="n">
        <x:v>-0.0062893102</x:v>
      </x:c>
      <x:c r="AM33" s="39" t="n">
        <x:v>0.0768300207</x:v>
      </x:c>
      <x:c r="AN33" s="39" t="n">
        <x:v>0.0658439067</x:v>
      </x:c>
      <x:c r="AO33" s="39" t="n">
        <x:v>0.037787673</x:v>
      </x:c>
      <x:c r="AP33" s="39" t="n">
        <x:v>0.037333482</x:v>
      </x:c>
      <x:c r="AQ33" s="39" t="n">
        <x:v>0.0449498171</x:v>
      </x:c>
      <x:c r="AR33" s="39" t="n">
        <x:v>-0.0130957661</x:v>
      </x:c>
      <x:c r="AS33" s="39" t="n">
        <x:v>0.0309698576</x:v>
      </x:c>
    </x:row>
    <x:row r="34" ht="19" customHeight="1">
      <x:c r="A34" s="30" t="str">
        <x:v>Original</x:v>
      </x:c>
      <x:c r="B34" s="40" t="d">
        <x:v>2022-09-12T00:00:00.000Z</x:v>
      </x:c>
      <x:c r="C34" s="39" t="n">
        <x:v>0.0019152294</x:v>
      </x:c>
      <x:c r="D34" s="39" t="n">
        <x:v>0.0932885508</x:v>
      </x:c>
      <x:c r="E34" s="39" t="n">
        <x:v>-0.0360067598</x:v>
      </x:c>
      <x:c r="F34" s="39" t="n">
        <x:v>-0.0424178539</x:v>
      </x:c>
      <x:c r="G34" s="39" t="n">
        <x:v>-0.0840879194</x:v>
      </x:c>
      <x:c r="H34" s="39" t="n">
        <x:v>0.0102171644</x:v>
      </x:c>
      <x:c r="I34" s="39" t="n">
        <x:v>-0.0907209243</x:v>
      </x:c>
      <x:c r="J34" s="39" t="n">
        <x:v>-0.0414480622</x:v>
      </x:c>
      <x:c r="K34" s="39" t="n">
        <x:v>-0.196176195</x:v>
      </x:c>
      <x:c r="L34" s="39" t="n">
        <x:v>-0.1020944503</x:v>
      </x:c>
      <x:c r="M34" s="39" t="n">
        <x:v>-0.0392156036</x:v>
      </x:c>
      <x:c r="N34" s="39" t="n">
        <x:v>-0.0390729554</x:v>
      </x:c>
      <x:c r="O34" s="39" t="n">
        <x:v>-0.0727527644</x:v>
      </x:c>
      <x:c r="P34" s="39" t="n">
        <x:v>-0.1996660929</x:v>
      </x:c>
      <x:c r="Q34" s="39" t="n">
        <x:v>0.1191973309</x:v>
      </x:c>
      <x:c r="R34" s="39" t="n">
        <x:v>-0.0343968714</x:v>
      </x:c>
      <x:c r="S34" s="39" t="n">
        <x:v>-0.0390602443</x:v>
      </x:c>
      <x:c r="T34" s="39" t="n">
        <x:v>-0.1219115899</x:v>
      </x:c>
      <x:c r="U34" s="39" t="n">
        <x:v>-0.047543882</x:v>
      </x:c>
      <x:c r="V34" s="39" t="n">
        <x:v>-0.0801572258</x:v>
      </x:c>
      <x:c r="W34" s="39" t="n">
        <x:v>-0.0034535204</x:v>
      </x:c>
      <x:c r="X34" s="39" t="n">
        <x:v>-0.0918093319</x:v>
      </x:c>
      <x:c r="Y34" s="39" t="n">
        <x:v>-0.1092113173</x:v>
      </x:c>
      <x:c r="Z34" s="39" t="n">
        <x:v>0.0140399814</x:v>
      </x:c>
      <x:c r="AA34" s="39" t="n">
        <x:v>-0.0165619379</x:v>
      </x:c>
      <x:c r="AB34" s="39" t="n">
        <x:v>0.0068379943</x:v>
      </x:c>
      <x:c r="AC34" s="39" t="n">
        <x:v>-0.1218798666</x:v>
      </x:c>
      <x:c r="AD34" s="39" t="n">
        <x:v>-0.0641892976</x:v>
      </x:c>
      <x:c r="AE34" s="39" t="n">
        <x:v>-0.0612039588</x:v>
      </x:c>
      <x:c r="AF34" s="39" t="n">
        <x:v>-0.0969026471</x:v>
      </x:c>
      <x:c r="AG34" s="39" t="n">
        <x:v>-0.0979821975</x:v>
      </x:c>
      <x:c r="AH34" s="39" t="n">
        <x:v>-0.0076769632</x:v>
      </x:c>
      <x:c r="AI34" s="39" t="n">
        <x:v>-0.1826811343</x:v>
      </x:c>
      <x:c r="AJ34" s="39" t="n">
        <x:v>-0.0354659026</x:v>
      </x:c>
      <x:c r="AK34" s="39" t="n">
        <x:v>-0.0654195087</x:v>
      </x:c>
      <x:c r="AL34" s="39" t="n">
        <x:v>-0.0684626027</x:v>
      </x:c>
      <x:c r="AM34" s="39" t="n">
        <x:v>-0.1261303913</x:v>
      </x:c>
      <x:c r="AN34" s="39" t="n">
        <x:v>-0.1058473014</x:v>
      </x:c>
      <x:c r="AO34" s="39" t="n">
        <x:v>-0.0768686231</x:v>
      </x:c>
      <x:c r="AP34" s="39" t="n">
        <x:v>-0.1175145873</x:v>
      </x:c>
      <x:c r="AQ34" s="39" t="n">
        <x:v>-0.0670403054</x:v>
      </x:c>
      <x:c r="AR34" s="39" t="n">
        <x:v>-0.0027871438</x:v>
      </x:c>
      <x:c r="AS34" s="39" t="n">
        <x:v>-0.0634159547</x:v>
      </x:c>
    </x:row>
    <x:row r="35" ht="19" customHeight="1">
      <x:c r="A35" s="30" t="str">
        <x:v>Original</x:v>
      </x:c>
      <x:c r="B35" s="40" t="d">
        <x:v>2022-10-10T00:00:00.000Z</x:v>
      </x:c>
      <x:c r="C35" s="39" t="n">
        <x:v>-0.1306603502</x:v>
      </x:c>
      <x:c r="D35" s="39" t="n">
        <x:v>0.1107329864</x:v>
      </x:c>
      <x:c r="E35" s="39" t="n">
        <x:v>-0.1503095364</x:v>
      </x:c>
      <x:c r="F35" s="39" t="n">
        <x:v>-0.1172729529</x:v>
      </x:c>
      <x:c r="G35" s="39" t="n">
        <x:v>-0.1115981832</x:v>
      </x:c>
      <x:c r="H35" s="39" t="n">
        <x:v>-0.0947485742</x:v>
      </x:c>
      <x:c r="I35" s="39" t="n">
        <x:v>-0.1183227521</x:v>
      </x:c>
      <x:c r="J35" s="39" t="n">
        <x:v>0.012451818</x:v>
      </x:c>
      <x:c r="K35" s="39" t="n">
        <x:v>-0.1501265738</x:v>
      </x:c>
      <x:c r="L35" s="39" t="n">
        <x:v>0.0723785</x:v>
      </x:c>
      <x:c r="M35" s="39" t="n">
        <x:v>-0.0045780563</x:v>
      </x:c>
      <x:c r="N35" s="39" t="n">
        <x:v>-0.0766569937</x:v>
      </x:c>
      <x:c r="O35" s="39" t="n">
        <x:v>-0.0129896153</x:v>
      </x:c>
      <x:c r="P35" s="39" t="n">
        <x:v>-0.0808144503</x:v>
      </x:c>
      <x:c r="Q35" s="39" t="n">
        <x:v>0</x:v>
      </x:c>
      <x:c r="R35" s="39" t="n">
        <x:v>-0.1756939261</x:v>
      </x:c>
      <x:c r="S35" s="39" t="n">
        <x:v>-0.0889964193</x:v>
      </x:c>
      <x:c r="T35" s="39" t="n">
        <x:v>-0.2079235712</x:v>
      </x:c>
      <x:c r="U35" s="39" t="n">
        <x:v>-0.0225271103</x:v>
      </x:c>
      <x:c r="V35" s="39" t="n">
        <x:v>0.0076399796</x:v>
      </x:c>
      <x:c r="W35" s="39" t="n">
        <x:v>-0.0352710438</x:v>
      </x:c>
      <x:c r="X35" s="39" t="n">
        <x:v>-0.106237627</x:v>
      </x:c>
      <x:c r="Y35" s="39" t="n">
        <x:v>-0.0002905703</x:v>
      </x:c>
      <x:c r="Z35" s="39" t="n">
        <x:v>-0.0575830054</x:v>
      </x:c>
      <x:c r="AA35" s="39" t="n">
        <x:v>-0.0605353144</x:v>
      </x:c>
      <x:c r="AB35" s="39" t="n">
        <x:v>-0.1186991569</x:v>
      </x:c>
      <x:c r="AC35" s="39" t="n">
        <x:v>-0.0528361746</x:v>
      </x:c>
      <x:c r="AD35" s="39" t="n">
        <x:v>-0.0821007163</x:v>
      </x:c>
      <x:c r="AE35" s="39" t="n">
        <x:v>-0.1900049474</x:v>
      </x:c>
      <x:c r="AF35" s="39" t="n">
        <x:v>-0.029992993</x:v>
      </x:c>
      <x:c r="AG35" s="39" t="n">
        <x:v>-0.065752016</x:v>
      </x:c>
      <x:c r="AH35" s="39" t="n">
        <x:v>-0.0321421834</x:v>
      </x:c>
      <x:c r="AI35" s="39" t="n">
        <x:v>-0.256253893</x:v>
      </x:c>
      <x:c r="AJ35" s="39" t="n">
        <x:v>0.0575375711</x:v>
      </x:c>
      <x:c r="AK35" s="39" t="n">
        <x:v>-0.1884699308</x:v>
      </x:c>
      <x:c r="AL35" s="39" t="n">
        <x:v>-0.032449104</x:v>
      </x:c>
      <x:c r="AM35" s="39" t="n">
        <x:v>-0.0559720634</x:v>
      </x:c>
      <x:c r="AN35" s="39" t="n">
        <x:v>-0.0512445785</x:v>
      </x:c>
      <x:c r="AO35" s="39" t="n">
        <x:v>-0.0845550158</x:v>
      </x:c>
      <x:c r="AP35" s="39" t="n">
        <x:v>0.0013627081</x:v>
      </x:c>
      <x:c r="AQ35" s="39" t="n">
        <x:v>-0.0652038038</x:v>
      </x:c>
      <x:c r="AR35" s="39" t="n">
        <x:v>-0.0154770078</x:v>
      </x:c>
      <x:c r="AS35" s="39" t="n">
        <x:v>-0.0063974058</x:v>
      </x:c>
    </x:row>
    <x:row r="36" ht="19" customHeight="1">
      <x:c r="A36" s="30" t="str">
        <x:v>Original</x:v>
      </x:c>
      <x:c r="B36" s="40" t="d">
        <x:v>2022-11-07T00:00:00.000Z</x:v>
      </x:c>
      <x:c r="C36" s="39" t="n">
        <x:v>0.0974957015</x:v>
      </x:c>
      <x:c r="D36" s="39" t="n">
        <x:v>0.1783648442</x:v>
      </x:c>
      <x:c r="E36" s="39" t="n">
        <x:v>0.0695869032</x:v>
      </x:c>
      <x:c r="F36" s="39" t="n">
        <x:v>0.0920914866</x:v>
      </x:c>
      <x:c r="G36" s="39" t="n">
        <x:v>0.0049062155</x:v>
      </x:c>
      <x:c r="H36" s="39" t="n">
        <x:v>-0.0011341843</x:v>
      </x:c>
      <x:c r="I36" s="39" t="n">
        <x:v>-0.0488465039</x:v>
      </x:c>
      <x:c r="J36" s="39" t="n">
        <x:v>0.1512905655</x:v>
      </x:c>
      <x:c r="K36" s="39" t="n">
        <x:v>0.084625054</x:v>
      </x:c>
      <x:c r="L36" s="39" t="n">
        <x:v>0.1330332475</x:v>
      </x:c>
      <x:c r="M36" s="39" t="n">
        <x:v>0.0395092702</x:v>
      </x:c>
      <x:c r="N36" s="39" t="n">
        <x:v>-0.0133139134</x:v>
      </x:c>
      <x:c r="O36" s="39" t="n">
        <x:v>0.103518113</x:v>
      </x:c>
      <x:c r="P36" s="39" t="n">
        <x:v>0.1365423704</x:v>
      </x:c>
      <x:c r="Q36" s="39" t="n">
        <x:v>0.1715230136</x:v>
      </x:c>
      <x:c r="R36" s="39" t="n">
        <x:v>-0.0122181643</x:v>
      </x:c>
      <x:c r="S36" s="39" t="n">
        <x:v>0.0116553538</x:v>
      </x:c>
      <x:c r="T36" s="39" t="n">
        <x:v>0.1340378224</x:v>
      </x:c>
      <x:c r="U36" s="39" t="n">
        <x:v>0.2033319096</x:v>
      </x:c>
      <x:c r="V36" s="39" t="n">
        <x:v>0.3537752728</x:v>
      </x:c>
      <x:c r="W36" s="39" t="n">
        <x:v>0.1927559761</x:v>
      </x:c>
      <x:c r="X36" s="39" t="n">
        <x:v>0.1029851042</x:v>
      </x:c>
      <x:c r="Y36" s="39" t="n">
        <x:v>0.1414996616</x:v>
      </x:c>
      <x:c r="Z36" s="39" t="n">
        <x:v>0.1102896308</x:v>
      </x:c>
      <x:c r="AA36" s="39" t="n">
        <x:v>0.0709310136</x:v>
      </x:c>
      <x:c r="AB36" s="39" t="n">
        <x:v>-0.0163542529</x:v>
      </x:c>
      <x:c r="AC36" s="39" t="n">
        <x:v>-0.0145993255</x:v>
      </x:c>
      <x:c r="AD36" s="39" t="n">
        <x:v>0.1051261557</x:v>
      </x:c>
      <x:c r="AE36" s="39" t="n">
        <x:v>0.180204898</x:v>
      </x:c>
      <x:c r="AF36" s="39" t="n">
        <x:v>0.1612563005</x:v>
      </x:c>
      <x:c r="AG36" s="39" t="n">
        <x:v>0.2385595048</x:v>
      </x:c>
      <x:c r="AH36" s="39" t="n">
        <x:v>0.0162405149</x:v>
      </x:c>
      <x:c r="AI36" s="39" t="n">
        <x:v>0.2137225465</x:v>
      </x:c>
      <x:c r="AJ36" s="39" t="n">
        <x:v>0.0507821838</x:v>
      </x:c>
      <x:c r="AK36" s="39" t="n">
        <x:v>0.1768918334</x:v>
      </x:c>
      <x:c r="AL36" s="39" t="n">
        <x:v>0.0580612131</x:v>
      </x:c>
      <x:c r="AM36" s="39" t="n">
        <x:v>0.0647649788</x:v>
      </x:c>
      <x:c r="AN36" s="39" t="n">
        <x:v>-0.0012902486</x:v>
      </x:c>
      <x:c r="AO36" s="39" t="n">
        <x:v>0.1056980175</x:v>
      </x:c>
      <x:c r="AP36" s="39" t="n">
        <x:v>0.1082461682</x:v>
      </x:c>
      <x:c r="AQ36" s="39" t="n">
        <x:v>0.0905780524</x:v>
      </x:c>
      <x:c r="AR36" s="39" t="n">
        <x:v>0.0238275616</x:v>
      </x:c>
      <x:c r="AS36" s="39" t="n">
        <x:v>0.1057410332</x:v>
      </x:c>
    </x:row>
    <x:row r="37" ht="19" customHeight="1">
      <x:c r="A37" s="30" t="str">
        <x:v>Original</x:v>
      </x:c>
      <x:c r="B37" s="40" t="d">
        <x:v>2022-12-05T00:00:00.000Z</x:v>
      </x:c>
      <x:c r="C37" s="39" t="n">
        <x:v>-0.008074913</x:v>
      </x:c>
      <x:c r="D37" s="39" t="n">
        <x:v>-0.1278400175</x:v>
      </x:c>
      <x:c r="E37" s="39" t="n">
        <x:v>0.0595818023</x:v>
      </x:c>
      <x:c r="F37" s="39" t="n">
        <x:v>0.0461866755</x:v>
      </x:c>
      <x:c r="G37" s="39" t="n">
        <x:v>-0.0145661536</x:v>
      </x:c>
      <x:c r="H37" s="39" t="n">
        <x:v>0.0110526267</x:v>
      </x:c>
      <x:c r="I37" s="39" t="n">
        <x:v>-0.1038634947</x:v>
      </x:c>
      <x:c r="J37" s="39" t="n">
        <x:v>-0.0055615945</x:v>
      </x:c>
      <x:c r="K37" s="39" t="n">
        <x:v>-0.0455431292</x:v>
      </x:c>
      <x:c r="L37" s="39" t="n">
        <x:v>-0.1251391251</x:v>
      </x:c>
      <x:c r="M37" s="39" t="n">
        <x:v>-0.0311416748</x:v>
      </x:c>
      <x:c r="N37" s="39" t="n">
        <x:v>0.0017545951</x:v>
      </x:c>
      <x:c r="O37" s="39" t="n">
        <x:v>0.0179858502</x:v>
      </x:c>
      <x:c r="P37" s="39" t="n">
        <x:v>-0.0902162879</x:v>
      </x:c>
      <x:c r="Q37" s="39" t="n">
        <x:v>-0.1008420768</x:v>
      </x:c>
      <x:c r="R37" s="39" t="n">
        <x:v>-0.0988238014</x:v>
      </x:c>
      <x:c r="S37" s="39" t="n">
        <x:v>0.0266347514</x:v>
      </x:c>
      <x:c r="T37" s="39" t="n">
        <x:v>-0.0872764034</x:v>
      </x:c>
      <x:c r="U37" s="39" t="n">
        <x:v>0.0297071726</x:v>
      </x:c>
      <x:c r="V37" s="39" t="n">
        <x:v>-0.0686602565</x:v>
      </x:c>
      <x:c r="W37" s="39" t="n">
        <x:v>0.0825095211</x:v>
      </x:c>
      <x:c r="X37" s="39" t="n">
        <x:v>0.0315658706</x:v>
      </x:c>
      <x:c r="Y37" s="39" t="n">
        <x:v>-0.1098631848</x:v>
      </x:c>
      <x:c r="Z37" s="39" t="n">
        <x:v>0.0075276819</x:v>
      </x:c>
      <x:c r="AA37" s="39" t="n">
        <x:v>0.0207472388</x:v>
      </x:c>
      <x:c r="AB37" s="39" t="n">
        <x:v>0.0760277247</x:v>
      </x:c>
      <x:c r="AC37" s="39" t="n">
        <x:v>-0.2334833894</x:v>
      </x:c>
      <x:c r="AD37" s="39" t="n">
        <x:v>0.0574087368</x:v>
      </x:c>
      <x:c r="AE37" s="39" t="n">
        <x:v>-0.0715891936</x:v>
      </x:c>
      <x:c r="AF37" s="39" t="n">
        <x:v>0.046060614</x:v>
      </x:c>
      <x:c r="AG37" s="39" t="n">
        <x:v>0.0096662252</x:v>
      </x:c>
      <x:c r="AH37" s="39" t="n">
        <x:v>0.0256533428</x:v>
      </x:c>
      <x:c r="AI37" s="39" t="n">
        <x:v>-0.0451550527</x:v>
      </x:c>
      <x:c r="AJ37" s="39" t="n">
        <x:v>0.0228553477</x:v>
      </x:c>
      <x:c r="AK37" s="39" t="n">
        <x:v>-0.0522519006</x:v>
      </x:c>
      <x:c r="AL37" s="39" t="n">
        <x:v>0.0244504929</x:v>
      </x:c>
      <x:c r="AM37" s="39" t="n">
        <x:v>-0.0034076513</x:v>
      </x:c>
      <x:c r="AN37" s="39" t="n">
        <x:v>-0.0318512709</x:v>
      </x:c>
      <x:c r="AO37" s="39" t="n">
        <x:v>-0.0547302577</x:v>
      </x:c>
      <x:c r="AP37" s="39" t="n">
        <x:v>0.0197547864</x:v>
      </x:c>
      <x:c r="AQ37" s="39" t="n">
        <x:v>0.0305680062</x:v>
      </x:c>
      <x:c r="AR37" s="39" t="n">
        <x:v>0.0370888951</x:v>
      </x:c>
      <x:c r="AS37" s="39" t="n">
        <x:v>-0.0090990073</x:v>
      </x:c>
    </x:row>
    <x:row r="38" ht="19" customHeight="1">
      <x:c r="A38" s="30" t="str">
        <x:v>Original</x:v>
      </x:c>
      <x:c r="B38" s="40" t="d">
        <x:v>2023-01-02T00:00:00.000Z</x:v>
      </x:c>
      <x:c r="C38" s="39" t="n">
        <x:v>-0.0428493621</x:v>
      </x:c>
      <x:c r="D38" s="39" t="n">
        <x:v>0.1785528479</x:v>
      </x:c>
      <x:c r="E38" s="39" t="n">
        <x:v>-0.0004422519</x:v>
      </x:c>
      <x:c r="F38" s="39" t="n">
        <x:v>-0.0699154355</x:v>
      </x:c>
      <x:c r="G38" s="39" t="n">
        <x:v>0.0049223871</x:v>
      </x:c>
      <x:c r="H38" s="39" t="n">
        <x:v>-0.072458978</x:v>
      </x:c>
      <x:c r="I38" s="39" t="n">
        <x:v>-0.029341167</x:v>
      </x:c>
      <x:c r="J38" s="39" t="n">
        <x:v>-0.0500576397</x:v>
      </x:c>
      <x:c r="K38" s="39" t="n">
        <x:v>0.0392640266</x:v>
      </x:c>
      <x:c r="L38" s="39" t="n">
        <x:v>0.0910907245</x:v>
      </x:c>
      <x:c r="M38" s="39" t="n">
        <x:v>-0.1335158522</x:v>
      </x:c>
      <x:c r="N38" s="39" t="n">
        <x:v>0.0110484477</x:v>
      </x:c>
      <x:c r="O38" s="39" t="n">
        <x:v>-0.1134548415</x:v>
      </x:c>
      <x:c r="P38" s="39" t="n">
        <x:v>0.0342082415</x:v>
      </x:c>
      <x:c r="Q38" s="39" t="n">
        <x:v>0.0680228439</x:v>
      </x:c>
      <x:c r="R38" s="39" t="n">
        <x:v>-0.1613597291</x:v>
      </x:c>
      <x:c r="S38" s="39" t="n">
        <x:v>0.0044130093</x:v>
      </x:c>
      <x:c r="T38" s="39" t="n">
        <x:v>-0.1652196355</x:v>
      </x:c>
      <x:c r="U38" s="39" t="n">
        <x:v>0.0143199381</x:v>
      </x:c>
      <x:c r="V38" s="39" t="n">
        <x:v>0.0115164039</x:v>
      </x:c>
      <x:c r="W38" s="39" t="n">
        <x:v>-0.011981557</x:v>
      </x:c>
      <x:c r="X38" s="39" t="n">
        <x:v>0.066577832</x:v>
      </x:c>
      <x:c r="Y38" s="39" t="n">
        <x:v>0.0310011392</x:v>
      </x:c>
      <x:c r="Z38" s="39" t="n">
        <x:v>0.1085260294</x:v>
      </x:c>
      <x:c r="AA38" s="39" t="n">
        <x:v>0.0344805031</x:v>
      </x:c>
      <x:c r="AB38" s="39" t="n">
        <x:v>0.1260349815</x:v>
      </x:c>
      <x:c r="AC38" s="39" t="n">
        <x:v>-0.2271316117</x:v>
      </x:c>
      <x:c r="AD38" s="39" t="n">
        <x:v>0.0168030319</x:v>
      </x:c>
      <x:c r="AE38" s="39" t="n">
        <x:v>-0.0397753274</x:v>
      </x:c>
      <x:c r="AF38" s="39" t="n">
        <x:v>0.0555792507</x:v>
      </x:c>
      <x:c r="AG38" s="39" t="n">
        <x:v>0.1458901365</x:v>
      </x:c>
      <x:c r="AH38" s="39" t="n">
        <x:v>-0.0119729032</x:v>
      </x:c>
      <x:c r="AI38" s="39" t="n">
        <x:v>-0.05966318</x:v>
      </x:c>
      <x:c r="AJ38" s="39" t="n">
        <x:v>0.0045992838</x:v>
      </x:c>
      <x:c r="AK38" s="39" t="n">
        <x:v>0.0389217542</x:v>
      </x:c>
      <x:c r="AL38" s="39" t="n">
        <x:v>-0.0105394652</x:v>
      </x:c>
      <x:c r="AM38" s="39" t="n">
        <x:v>-0.0744259163</x:v>
      </x:c>
      <x:c r="AN38" s="39" t="n">
        <x:v>-0.0520419911</x:v>
      </x:c>
      <x:c r="AO38" s="39" t="n">
        <x:v>-0.0002651079</x:v>
      </x:c>
      <x:c r="AP38" s="39" t="n">
        <x:v>-0.0078944614</x:v>
      </x:c>
      <x:c r="AQ38" s="39" t="n">
        <x:v>0.0035081958</x:v>
      </x:c>
      <x:c r="AR38" s="39" t="n">
        <x:v>0.0216317212</x:v>
      </x:c>
      <x:c r="AS38" s="39" t="n">
        <x:v>0.0336011224</x:v>
      </x:c>
    </x:row>
    <x:row r="39" ht="19" customHeight="1">
      <x:c r="A39" s="30" t="str">
        <x:v>Original</x:v>
      </x:c>
      <x:c r="B39" s="40" t="d">
        <x:v>2023-01-30T00:00:00.000Z</x:v>
      </x:c>
      <x:c r="C39" s="39" t="n">
        <x:v>0.0141157674</x:v>
      </x:c>
      <x:c r="D39" s="39" t="n">
        <x:v>0.044674663</x:v>
      </x:c>
      <x:c r="E39" s="39" t="n">
        <x:v>-0.0405804193</x:v>
      </x:c>
      <x:c r="F39" s="39" t="n">
        <x:v>0.0032103041</x:v>
      </x:c>
      <x:c r="G39" s="39" t="n">
        <x:v>0.1424002974</x:v>
      </x:c>
      <x:c r="H39" s="39" t="n">
        <x:v>0.1632410791</x:v>
      </x:c>
      <x:c r="I39" s="39" t="n">
        <x:v>0.1586430268</x:v>
      </x:c>
      <x:c r="J39" s="39" t="n">
        <x:v>0.0628847996</x:v>
      </x:c>
      <x:c r="K39" s="39" t="n">
        <x:v>0.2055310891</x:v>
      </x:c>
      <x:c r="L39" s="39" t="n">
        <x:v>0.0278509021</x:v>
      </x:c>
      <x:c r="M39" s="39" t="n">
        <x:v>0.0154521587</x:v>
      </x:c>
      <x:c r="N39" s="39" t="n">
        <x:v>0.0608458386</x:v>
      </x:c>
      <x:c r="O39" s="39" t="n">
        <x:v>0.0345286699</x:v>
      </x:c>
      <x:c r="P39" s="39" t="n">
        <x:v>0.1311659092</x:v>
      </x:c>
      <x:c r="Q39" s="39" t="n">
        <x:v>-0.0761923564</x:v>
      </x:c>
      <x:c r="R39" s="39" t="n">
        <x:v>0.2101214239</x:v>
      </x:c>
      <x:c r="S39" s="39" t="n">
        <x:v>0.00718974</x:v>
      </x:c>
      <x:c r="T39" s="39" t="n">
        <x:v>0.3449577617</x:v>
      </x:c>
      <x:c r="U39" s="39" t="n">
        <x:v>-0.0347741542</x:v>
      </x:c>
      <x:c r="V39" s="39" t="n">
        <x:v>0.1282674433</x:v>
      </x:c>
      <x:c r="W39" s="39" t="n">
        <x:v>0.128176788</x:v>
      </x:c>
      <x:c r="X39" s="39" t="n">
        <x:v>0.0462705539</x:v>
      </x:c>
      <x:c r="Y39" s="39" t="n">
        <x:v>0.082007232</x:v>
      </x:c>
      <x:c r="Z39" s="39" t="n">
        <x:v>-0.0479719661</x:v>
      </x:c>
      <x:c r="AA39" s="39" t="n">
        <x:v>0.0108659238</x:v>
      </x:c>
      <x:c r="AB39" s="39" t="n">
        <x:v>-0.1160977731</x:v>
      </x:c>
      <x:c r="AC39" s="39" t="n">
        <x:v>0.4534489463</x:v>
      </x:c>
      <x:c r="AD39" s="39" t="n">
        <x:v>-0.060661845</x:v>
      </x:c>
      <x:c r="AE39" s="39" t="n">
        <x:v>0.0436184841</x:v>
      </x:c>
      <x:c r="AF39" s="39" t="n">
        <x:v>-0.0403979909</x:v>
      </x:c>
      <x:c r="AG39" s="39" t="n">
        <x:v>-0.0288898422</x:v>
      </x:c>
      <x:c r="AH39" s="39" t="n">
        <x:v>-0.0509080016</x:v>
      </x:c>
      <x:c r="AI39" s="39" t="n">
        <x:v>0.2572622484</x:v>
      </x:c>
      <x:c r="AJ39" s="39" t="n">
        <x:v>-0.0588763704</x:v>
      </x:c>
      <x:c r="AK39" s="39" t="n">
        <x:v>0.0718743552</x:v>
      </x:c>
      <x:c r="AL39" s="39" t="n">
        <x:v>-0.0031637011</x:v>
      </x:c>
      <x:c r="AM39" s="39" t="n">
        <x:v>0.1199369739</x:v>
      </x:c>
      <x:c r="AN39" s="39" t="n">
        <x:v>0.1576241958</x:v>
      </x:c>
      <x:c r="AO39" s="39" t="n">
        <x:v>0.0569442928</x:v>
      </x:c>
      <x:c r="AP39" s="39" t="n">
        <x:v>0.0372777338</x:v>
      </x:c>
      <x:c r="AQ39" s="39" t="n">
        <x:v>-0.0501793682</x:v>
      </x:c>
      <x:c r="AR39" s="39" t="n">
        <x:v>-0.0785858995</x:v>
      </x:c>
      <x:c r="AS39" s="39" t="n">
        <x:v>-0.0281080871</x:v>
      </x:c>
    </x:row>
    <x:row r="40" ht="19" customHeight="1">
      <x:c r="A40" s="30" t="str">
        <x:v>Original</x:v>
      </x:c>
      <x:c r="B40" s="40" t="d">
        <x:v>2023-02-27T00:00:00.000Z</x:v>
      </x:c>
      <x:c r="C40" s="39" t="n">
        <x:v>-0.0583104627</x:v>
      </x:c>
      <x:c r="D40" s="39" t="n">
        <x:v>0.1919706562</x:v>
      </x:c>
      <x:c r="E40" s="39" t="n">
        <x:v>-0.0211715533</x:v>
      </x:c>
      <x:c r="F40" s="39" t="n">
        <x:v>-0.0158591796</x:v>
      </x:c>
      <x:c r="G40" s="39" t="n">
        <x:v>-0.0793878825</x:v>
      </x:c>
      <x:c r="H40" s="39" t="n">
        <x:v>-0.1004326718</x:v>
      </x:c>
      <x:c r="I40" s="39" t="n">
        <x:v>-0.0752397232</x:v>
      </x:c>
      <x:c r="J40" s="39" t="n">
        <x:v>0.1851235501</x:v>
      </x:c>
      <x:c r="K40" s="39" t="n">
        <x:v>-0.0819970335</x:v>
      </x:c>
      <x:c r="L40" s="39" t="n">
        <x:v>0.0671614159</x:v>
      </x:c>
      <x:c r="M40" s="39" t="n">
        <x:v>0.0064007732</x:v>
      </x:c>
      <x:c r="N40" s="39" t="n">
        <x:v>-0.0015890907</x:v>
      </x:c>
      <x:c r="O40" s="39" t="n">
        <x:v>0.0086188342</x:v>
      </x:c>
      <x:c r="P40" s="39" t="n">
        <x:v>-0.1001071954</x:v>
      </x:c>
      <x:c r="Q40" s="39" t="n">
        <x:v>-0.0151045133</x:v>
      </x:c>
      <x:c r="R40" s="39" t="n">
        <x:v>0.1133151227</x:v>
      </x:c>
      <x:c r="S40" s="39" t="n">
        <x:v>0.0424281898</x:v>
      </x:c>
      <x:c r="T40" s="39" t="n">
        <x:v>0.0312059947</x:v>
      </x:c>
      <x:c r="U40" s="39" t="n">
        <x:v>-0.1672725878</x:v>
      </x:c>
      <x:c r="V40" s="39" t="n">
        <x:v>0.0954586485</x:v>
      </x:c>
      <x:c r="W40" s="39" t="n">
        <x:v>-0.1310269881</x:v>
      </x:c>
      <x:c r="X40" s="39" t="n">
        <x:v>-0.0623578325</x:v>
      </x:c>
      <x:c r="Y40" s="39" t="n">
        <x:v>-0.0830169943</x:v>
      </x:c>
      <x:c r="Z40" s="39" t="n">
        <x:v>-0.095752759</x:v>
      </x:c>
      <x:c r="AA40" s="39" t="n">
        <x:v>0.0578945909</x:v>
      </x:c>
      <x:c r="AB40" s="39" t="n">
        <x:v>-0.0280056765</x:v>
      </x:c>
      <x:c r="AC40" s="39" t="n">
        <x:v>-0.1410736351</x:v>
      </x:c>
      <x:c r="AD40" s="39" t="n">
        <x:v>-0.0102812055</x:v>
      </x:c>
      <x:c r="AE40" s="39" t="n">
        <x:v>0.0436694144</x:v>
      </x:c>
      <x:c r="AF40" s="39" t="n">
        <x:v>-0.0583578078</x:v>
      </x:c>
      <x:c r="AG40" s="39" t="n">
        <x:v>0.0379558096</x:v>
      </x:c>
      <x:c r="AH40" s="39" t="n">
        <x:v>0.0111167139</x:v>
      </x:c>
      <x:c r="AI40" s="39" t="n">
        <x:v>-0.0478959449</x:v>
      </x:c>
      <x:c r="AJ40" s="39" t="n">
        <x:v>-0.0523376592</x:v>
      </x:c>
      <x:c r="AK40" s="39" t="n">
        <x:v>0.0012574745</x:v>
      </x:c>
      <x:c r="AL40" s="39" t="n">
        <x:v>0.005482531</x:v>
      </x:c>
      <x:c r="AM40" s="39" t="n">
        <x:v>-0.0082659385</x:v>
      </x:c>
      <x:c r="AN40" s="39" t="n">
        <x:v>-0.0986094643</x:v>
      </x:c>
      <x:c r="AO40" s="39" t="n">
        <x:v>-0.0701745562</x:v>
      </x:c>
      <x:c r="AP40" s="39" t="n">
        <x:v>-0.0922229563</x:v>
      </x:c>
      <x:c r="AQ40" s="39" t="n">
        <x:v>-0.0057426098</x:v>
      </x:c>
      <x:c r="AR40" s="39" t="n">
        <x:v>-0.052097674</x:v>
      </x:c>
      <x:c r="AS40" s="39" t="n">
        <x:v>0.0111432919</x:v>
      </x:c>
    </x:row>
    <x:row r="41" ht="19" customHeight="1">
      <x:c r="A41" s="30" t="str">
        <x:v>Original</x:v>
      </x:c>
      <x:c r="B41" s="40" t="d">
        <x:v>2023-03-27T00:00:00.000Z</x:v>
      </x:c>
      <x:c r="C41" s="39" t="n">
        <x:v>0.1087523028</x:v>
      </x:c>
      <x:c r="D41" s="39" t="n">
        <x:v>0.0223281405</x:v>
      </x:c>
      <x:c r="E41" s="39" t="n">
        <x:v>0.0187931575</x:v>
      </x:c>
      <x:c r="F41" s="39" t="n">
        <x:v>0.0223480891</x:v>
      </x:c>
      <x:c r="G41" s="39" t="n">
        <x:v>-0.0089381844</x:v>
      </x:c>
      <x:c r="H41" s="39" t="n">
        <x:v>0.1098812873</x:v>
      </x:c>
      <x:c r="I41" s="39" t="n">
        <x:v>0.0754462628</x:v>
      </x:c>
      <x:c r="J41" s="39" t="n">
        <x:v>-0.0294203407</x:v>
      </x:c>
      <x:c r="K41" s="39" t="n">
        <x:v>0.0312277968</x:v>
      </x:c>
      <x:c r="L41" s="39" t="n">
        <x:v>-0.0099596727</x:v>
      </x:c>
      <x:c r="M41" s="39" t="n">
        <x:v>-0.153852395</x:v>
      </x:c>
      <x:c r="N41" s="39" t="n">
        <x:v>-0.095466415</x:v>
      </x:c>
      <x:c r="O41" s="39" t="n">
        <x:v>-0.0381233155</x:v>
      </x:c>
      <x:c r="P41" s="39" t="n">
        <x:v>-0.0214886809</x:v>
      </x:c>
      <x:c r="Q41" s="39" t="n">
        <x:v>-0.0555428202</x:v>
      </x:c>
      <x:c r="R41" s="39" t="n">
        <x:v>0.0934014754</x:v>
      </x:c>
      <x:c r="S41" s="39" t="n">
        <x:v>0.0348524946</x:v>
      </x:c>
      <x:c r="T41" s="39" t="n">
        <x:v>0.0011561801</x:v>
      </x:c>
      <x:c r="U41" s="39" t="n">
        <x:v>0.062321518</x:v>
      </x:c>
      <x:c r="V41" s="39" t="n">
        <x:v>0.0155824073</x:v>
      </x:c>
      <x:c r="W41" s="39" t="n">
        <x:v>0.0817461688</x:v>
      </x:c>
      <x:c r="X41" s="39" t="n">
        <x:v>0.0161191991</x:v>
      </x:c>
      <x:c r="Y41" s="39" t="n">
        <x:v>0.0541564334</x:v>
      </x:c>
      <x:c r="Z41" s="39" t="n">
        <x:v>0.0905811104</x:v>
      </x:c>
      <x:c r="AA41" s="39" t="n">
        <x:v>-0.0156731066</x:v>
      </x:c>
      <x:c r="AB41" s="39" t="n">
        <x:v>-0.0730031815</x:v>
      </x:c>
      <x:c r="AC41" s="39" t="n">
        <x:v>-0.150711214</x:v>
      </x:c>
      <x:c r="AD41" s="39" t="n">
        <x:v>0.0476083759</x:v>
      </x:c>
      <x:c r="AE41" s="39" t="n">
        <x:v>-0.03329613</x:v>
      </x:c>
      <x:c r="AF41" s="39" t="n">
        <x:v>0.0448168153</x:v>
      </x:c>
      <x:c r="AG41" s="39" t="n">
        <x:v>-0.0111651082</x:v>
      </x:c>
      <x:c r="AH41" s="39" t="n">
        <x:v>-0.0480644906</x:v>
      </x:c>
      <x:c r="AI41" s="39" t="n">
        <x:v>0.164061809</x:v>
      </x:c>
      <x:c r="AJ41" s="39" t="n">
        <x:v>0.0672839894</x:v>
      </x:c>
      <x:c r="AK41" s="39" t="n">
        <x:v>-0.043870769</x:v>
      </x:c>
      <x:c r="AL41" s="39" t="n">
        <x:v>0.01647553</x:v>
      </x:c>
      <x:c r="AM41" s="39" t="n">
        <x:v>0.1082944253</x:v>
      </x:c>
      <x:c r="AN41" s="39" t="n">
        <x:v>0.0910401426</x:v>
      </x:c>
      <x:c r="AO41" s="39" t="n">
        <x:v>0.0396002399</x:v>
      </x:c>
      <x:c r="AP41" s="39" t="n">
        <x:v>-0.0035667415</x:v>
      </x:c>
      <x:c r="AQ41" s="39" t="n">
        <x:v>0.044788446</x:v>
      </x:c>
      <x:c r="AR41" s="39" t="n">
        <x:v>0.0056485515</x:v>
      </x:c>
      <x:c r="AS41" s="39" t="n">
        <x:v>-0.0105513522</x:v>
      </x:c>
    </x:row>
    <x:row r="42" ht="19" customHeight="1">
      <x:c r="A42" s="30" t="str">
        <x:v>Original</x:v>
      </x:c>
      <x:c r="B42" s="40" t="d">
        <x:v>2023-04-24T00:00:00.000Z</x:v>
      </x:c>
      <x:c r="C42" s="39" t="n">
        <x:v>-0.0052842367</x:v>
      </x:c>
      <x:c r="D42" s="39" t="n">
        <x:v>0.0501544623</x:v>
      </x:c>
      <x:c r="E42" s="39" t="n">
        <x:v>0.0140845652</x:v>
      </x:c>
      <x:c r="F42" s="39" t="n">
        <x:v>-0.0013425586</x:v>
      </x:c>
      <x:c r="G42" s="39" t="n">
        <x:v>0.0211294756</x:v>
      </x:c>
      <x:c r="H42" s="39" t="n">
        <x:v>0.1724285763</x:v>
      </x:c>
      <x:c r="I42" s="39" t="n">
        <x:v>0.0186932054</x:v>
      </x:c>
      <x:c r="J42" s="39" t="n">
        <x:v>0.0215841226</x:v>
      </x:c>
      <x:c r="K42" s="39" t="n">
        <x:v>-0.1064345268</x:v>
      </x:c>
      <x:c r="L42" s="39" t="n">
        <x:v>-0.1776828697</x:v>
      </x:c>
      <x:c r="M42" s="39" t="n">
        <x:v>-0.0114102575</x:v>
      </x:c>
      <x:c r="N42" s="39" t="n">
        <x:v>-0.0561337027</x:v>
      </x:c>
      <x:c r="O42" s="39" t="n">
        <x:v>-0.2027724989</x:v>
      </x:c>
      <x:c r="P42" s="39" t="n">
        <x:v>-0.0809691053</x:v>
      </x:c>
      <x:c r="Q42" s="39" t="n">
        <x:v>-0.3856358049</x:v>
      </x:c>
      <x:c r="R42" s="39" t="n">
        <x:v>-0.1956855225</x:v>
      </x:c>
      <x:c r="S42" s="39" t="n">
        <x:v>-0.0275325438</x:v>
      </x:c>
      <x:c r="T42" s="39" t="n">
        <x:v>-0.2442514494</x:v>
      </x:c>
      <x:c r="U42" s="39" t="n">
        <x:v>-0.1306950799</x:v>
      </x:c>
      <x:c r="V42" s="39" t="n">
        <x:v>-0.0586644529</x:v>
      </x:c>
      <x:c r="W42" s="39" t="n">
        <x:v>-0.0415968782</x:v>
      </x:c>
      <x:c r="X42" s="39" t="n">
        <x:v>0.0858054831</x:v>
      </x:c>
      <x:c r="Y42" s="39" t="n">
        <x:v>0.0600782132</x:v>
      </x:c>
      <x:c r="Z42" s="39" t="n">
        <x:v>-0.0303536517</x:v>
      </x:c>
      <x:c r="AA42" s="39" t="n">
        <x:v>-0.0424322779</x:v>
      </x:c>
      <x:c r="AB42" s="39" t="n">
        <x:v>0.0045274206</x:v>
      </x:c>
      <x:c r="AC42" s="39" t="n">
        <x:v>-0.1208512024</x:v>
      </x:c>
      <x:c r="AD42" s="39" t="n">
        <x:v>0.0511823332</x:v>
      </x:c>
      <x:c r="AE42" s="39" t="n">
        <x:v>-0.0419345557</x:v>
      </x:c>
      <x:c r="AF42" s="39" t="n">
        <x:v>-0.0962348236</x:v>
      </x:c>
      <x:c r="AG42" s="39" t="n">
        <x:v>-0.02434802</x:v>
      </x:c>
      <x:c r="AH42" s="39" t="n">
        <x:v>-0.023693623</x:v>
      </x:c>
      <x:c r="AI42" s="39" t="n">
        <x:v>-0.0833526726</x:v>
      </x:c>
      <x:c r="AJ42" s="39" t="n">
        <x:v>0.1283523997</x:v>
      </x:c>
      <x:c r="AK42" s="39" t="n">
        <x:v>0.0902109146</x:v>
      </x:c>
      <x:c r="AL42" s="39" t="n">
        <x:v>-0.1361348619</x:v>
      </x:c>
      <x:c r="AM42" s="39" t="n">
        <x:v>0.0575281862</x:v>
      </x:c>
      <x:c r="AN42" s="39" t="n">
        <x:v>0.0308989861</x:v>
      </x:c>
      <x:c r="AO42" s="39" t="n">
        <x:v>0.0114699919</x:v>
      </x:c>
      <x:c r="AP42" s="39" t="n">
        <x:v>0.0164375354</x:v>
      </x:c>
      <x:c r="AQ42" s="39" t="n">
        <x:v>0.0303535535</x:v>
      </x:c>
      <x:c r="AR42" s="39" t="n">
        <x:v>0.0493248678</x:v>
      </x:c>
      <x:c r="AS42" s="39" t="n">
        <x:v>0.0560827406</x:v>
      </x:c>
    </x:row>
    <x:row r="43" ht="19" customHeight="1">
      <x:c r="A43" s="30" t="str">
        <x:v>Original</x:v>
      </x:c>
      <x:c r="B43" s="40" t="d">
        <x:v>2023-05-22T00:00:00.000Z</x:v>
      </x:c>
      <x:c r="C43" s="39" t="n">
        <x:v>0.0223760295</x:v>
      </x:c>
      <x:c r="D43" s="39" t="n">
        <x:v>0.0117470627</x:v>
      </x:c>
      <x:c r="E43" s="39" t="n">
        <x:v>-0.0985028851</x:v>
      </x:c>
      <x:c r="F43" s="39" t="n">
        <x:v>-0.0874661677</x:v>
      </x:c>
      <x:c r="G43" s="39" t="n">
        <x:v>-0.1367059429</x:v>
      </x:c>
      <x:c r="H43" s="39" t="n">
        <x:v>0.0015050334</x:v>
      </x:c>
      <x:c r="I43" s="39" t="n">
        <x:v>0.1192418532</x:v>
      </x:c>
      <x:c r="J43" s="39" t="n">
        <x:v>0.0043366861</x:v>
      </x:c>
      <x:c r="K43" s="39" t="n">
        <x:v>0.0532852408</x:v>
      </x:c>
      <x:c r="L43" s="39" t="n">
        <x:v>0.001620375</x:v>
      </x:c>
      <x:c r="M43" s="39" t="n">
        <x:v>-0.113673868</x:v>
      </x:c>
      <x:c r="N43" s="39" t="n">
        <x:v>-0.198324002</x:v>
      </x:c>
      <x:c r="O43" s="39" t="n">
        <x:v>-0.0058764123</x:v>
      </x:c>
      <x:c r="P43" s="39" t="n">
        <x:v>0.130429764</x:v>
      </x:c>
      <x:c r="Q43" s="39" t="n">
        <x:v>0.228189401</x:v>
      </x:c>
      <x:c r="R43" s="39" t="n">
        <x:v>0.1211574848</x:v>
      </x:c>
      <x:c r="S43" s="39" t="n">
        <x:v>-0.0460086247</x:v>
      </x:c>
      <x:c r="T43" s="39" t="n">
        <x:v>0.2399614823</x:v>
      </x:c>
      <x:c r="U43" s="39" t="n">
        <x:v>-0.0470265916</x:v>
      </x:c>
      <x:c r="V43" s="39" t="n">
        <x:v>-0.0712126287</x:v>
      </x:c>
      <x:c r="W43" s="39" t="n">
        <x:v>0.1267239856</x:v>
      </x:c>
      <x:c r="X43" s="39" t="n">
        <x:v>-0.0428355492</x:v>
      </x:c>
      <x:c r="Y43" s="39" t="n">
        <x:v>0.1269872557</x:v>
      </x:c>
      <x:c r="Z43" s="39" t="n">
        <x:v>-0.1400492597</x:v>
      </x:c>
      <x:c r="AA43" s="39" t="n">
        <x:v>-0.0547247196</x:v>
      </x:c>
      <x:c r="AB43" s="39" t="n">
        <x:v>0.0359276661</x:v>
      </x:c>
      <x:c r="AC43" s="39" t="n">
        <x:v>0.5329273462</x:v>
      </x:c>
      <x:c r="AD43" s="39" t="n">
        <x:v>-0.0666881282</x:v>
      </x:c>
      <x:c r="AE43" s="39" t="n">
        <x:v>0.0160509448</x:v>
      </x:c>
      <x:c r="AF43" s="39" t="n">
        <x:v>0.0630296166</x:v>
      </x:c>
      <x:c r="AG43" s="39" t="n">
        <x:v>-0.0140619123</x:v>
      </x:c>
      <x:c r="AH43" s="39" t="n">
        <x:v>0.0039569056</x:v>
      </x:c>
      <x:c r="AI43" s="39" t="n">
        <x:v>0.3221143807</x:v>
      </x:c>
      <x:c r="AJ43" s="39" t="n">
        <x:v>0.0691459222</x:v>
      </x:c>
      <x:c r="AK43" s="39" t="n">
        <x:v>-0.0610791805</x:v>
      </x:c>
      <x:c r="AL43" s="39" t="n">
        <x:v>-0.0379412581</x:v>
      </x:c>
      <x:c r="AM43" s="39" t="n">
        <x:v>0.0753916827</x:v>
      </x:c>
      <x:c r="AN43" s="39" t="n">
        <x:v>0.1366615706</x:v>
      </x:c>
      <x:c r="AO43" s="39" t="n">
        <x:v>0.0092334913</x:v>
      </x:c>
      <x:c r="AP43" s="39" t="n">
        <x:v>-0.0238066404</x:v>
      </x:c>
      <x:c r="AQ43" s="39" t="n">
        <x:v>-0.0573034521</x:v>
      </x:c>
      <x:c r="AR43" s="39" t="n">
        <x:v>-0.0469887474</x:v>
      </x:c>
      <x:c r="AS43" s="39" t="n">
        <x:v>-0.0224381407</x:v>
      </x:c>
    </x:row>
    <x:row r="44" ht="19" customHeight="1">
      <x:c r="A44" s="30" t="str">
        <x:v>Original</x:v>
      </x:c>
      <x:c r="B44" s="40" t="d">
        <x:v>2023-06-19T00:00:00.000Z</x:v>
      </x:c>
      <x:c r="C44" s="39" t="n">
        <x:v>0.0319696127</x:v>
      </x:c>
      <x:c r="D44" s="39" t="n">
        <x:v>0.0893841428</x:v>
      </x:c>
      <x:c r="E44" s="39" t="n">
        <x:v>0.0139018257</x:v>
      </x:c>
      <x:c r="F44" s="39" t="n">
        <x:v>0.0031616787</x:v>
      </x:c>
      <x:c r="G44" s="39" t="n">
        <x:v>-0.0020014858</x:v>
      </x:c>
      <x:c r="H44" s="39" t="n">
        <x:v>-0.0123461876</x:v>
      </x:c>
      <x:c r="I44" s="39" t="n">
        <x:v>0.0687115817</x:v>
      </x:c>
      <x:c r="J44" s="39" t="n">
        <x:v>0.063262946</x:v>
      </x:c>
      <x:c r="K44" s="39" t="n">
        <x:v>-0.0196873716</x:v>
      </x:c>
      <x:c r="L44" s="39" t="n">
        <x:v>-0.0208004034</x:v>
      </x:c>
      <x:c r="M44" s="39" t="n">
        <x:v>0.107502062</x:v>
      </x:c>
      <x:c r="N44" s="39" t="n">
        <x:v>0.0465227417</x:v>
      </x:c>
      <x:c r="O44" s="39" t="n">
        <x:v>0.0407202001</x:v>
      </x:c>
      <x:c r="P44" s="39" t="n">
        <x:v>-0.0443228933</x:v>
      </x:c>
      <x:c r="Q44" s="39" t="n">
        <x:v>-0.0162902827</x:v>
      </x:c>
      <x:c r="R44" s="39" t="n">
        <x:v>0.0652666924</x:v>
      </x:c>
      <x:c r="S44" s="39" t="n">
        <x:v>0.0315429805</x:v>
      </x:c>
      <x:c r="T44" s="39" t="n">
        <x:v>0.0338686181</x:v>
      </x:c>
      <x:c r="U44" s="39" t="n">
        <x:v>-0.0587824804</x:v>
      </x:c>
      <x:c r="V44" s="39" t="n">
        <x:v>-0.0302233673</x:v>
      </x:c>
      <x:c r="W44" s="39" t="n">
        <x:v>0.1045744182</x:v>
      </x:c>
      <x:c r="X44" s="39" t="n">
        <x:v>0.0142448244</x:v>
      </x:c>
      <x:c r="Y44" s="39" t="n">
        <x:v>-0.1156040149</x:v>
      </x:c>
      <x:c r="Z44" s="39" t="n">
        <x:v>0.0295743508</x:v>
      </x:c>
      <x:c r="AA44" s="39" t="n">
        <x:v>0.0304420647</x:v>
      </x:c>
      <x:c r="AB44" s="39" t="n">
        <x:v>-0.0180402361</x:v>
      </x:c>
      <x:c r="AC44" s="39" t="n">
        <x:v>0.1779375037</x:v>
      </x:c>
      <x:c r="AD44" s="39" t="n">
        <x:v>0.0193492643</x:v>
      </x:c>
      <x:c r="AE44" s="39" t="n">
        <x:v>0.1375974811</x:v>
      </x:c>
      <x:c r="AF44" s="39" t="n">
        <x:v>0.0755739609</x:v>
      </x:c>
      <x:c r="AG44" s="39" t="n">
        <x:v>0.0080858154</x:v>
      </x:c>
      <x:c r="AH44" s="39" t="n">
        <x:v>0.0696472783</x:v>
      </x:c>
      <x:c r="AI44" s="39" t="n">
        <x:v>-0.1336450917</x:v>
      </x:c>
      <x:c r="AJ44" s="39" t="n">
        <x:v>0.0694510003</x:v>
      </x:c>
      <x:c r="AK44" s="39" t="n">
        <x:v>0.0339857744</x:v>
      </x:c>
      <x:c r="AL44" s="39" t="n">
        <x:v>-0.0092905001</x:v>
      </x:c>
      <x:c r="AM44" s="39" t="n">
        <x:v>0.0059252728</x:v>
      </x:c>
      <x:c r="AN44" s="39" t="n">
        <x:v>-0.017080278</x:v>
      </x:c>
      <x:c r="AO44" s="39" t="n">
        <x:v>0.0309440454</x:v>
      </x:c>
      <x:c r="AP44" s="39" t="n">
        <x:v>0.031643311</x:v>
      </x:c>
      <x:c r="AQ44" s="39" t="n">
        <x:v>0.0214291626</x:v>
      </x:c>
      <x:c r="AR44" s="39" t="n">
        <x:v>0.064686915</x:v>
      </x:c>
      <x:c r="AS44" s="39" t="n">
        <x:v>0.0415118732</x:v>
      </x:c>
    </x:row>
    <x:row r="45" ht="19" customHeight="1">
      <x:c r="A45" s="30" t="str">
        <x:v>Original</x:v>
      </x:c>
      <x:c r="B45" s="40" t="d">
        <x:v>2023-07-17T00:00:00.000Z</x:v>
      </x:c>
      <x:c r="C45" s="39" t="n">
        <x:v>0.1150583633</x:v>
      </x:c>
      <x:c r="D45" s="39" t="n">
        <x:v>0.1085982006</x:v>
      </x:c>
      <x:c r="E45" s="39" t="n">
        <x:v>0.0488214656</x:v>
      </x:c>
      <x:c r="F45" s="39" t="n">
        <x:v>0.0643024879</x:v>
      </x:c>
      <x:c r="G45" s="39" t="n">
        <x:v>-0.009891218</x:v>
      </x:c>
      <x:c r="H45" s="39" t="n">
        <x:v>0.0251078344</x:v>
      </x:c>
      <x:c r="I45" s="39" t="n">
        <x:v>0.0048686894</x:v>
      </x:c>
      <x:c r="J45" s="39" t="n">
        <x:v>0.0244434022</x:v>
      </x:c>
      <x:c r="K45" s="39" t="n">
        <x:v>-0.0111564249</x:v>
      </x:c>
      <x:c r="L45" s="39" t="n">
        <x:v>0.0941049488</x:v>
      </x:c>
      <x:c r="M45" s="39" t="n">
        <x:v>0.1069352034</x:v>
      </x:c>
      <x:c r="N45" s="39" t="n">
        <x:v>0.0927712548</x:v>
      </x:c>
      <x:c r="O45" s="39" t="n">
        <x:v>0.0155510457</x:v>
      </x:c>
      <x:c r="P45" s="39" t="n">
        <x:v>0.0108873784</x:v>
      </x:c>
      <x:c r="Q45" s="39" t="n">
        <x:v>0.0112576761</x:v>
      </x:c>
      <x:c r="R45" s="39" t="n">
        <x:v>0.2196732056</x:v>
      </x:c>
      <x:c r="S45" s="39" t="n">
        <x:v>0.0385655908</x:v>
      </x:c>
      <x:c r="T45" s="39" t="n">
        <x:v>0.0458233006</x:v>
      </x:c>
      <x:c r="U45" s="39" t="n">
        <x:v>0.0610342049</x:v>
      </x:c>
      <x:c r="V45" s="39" t="n">
        <x:v>-0.0447344453</x:v>
      </x:c>
      <x:c r="W45" s="39" t="n">
        <x:v>0.0077015214</x:v>
      </x:c>
      <x:c r="X45" s="39" t="n">
        <x:v>0.0702114629</x:v>
      </x:c>
      <x:c r="Y45" s="39" t="n">
        <x:v>0.0070969463</x:v>
      </x:c>
      <x:c r="Z45" s="39" t="n">
        <x:v>0.0362315893</x:v>
      </x:c>
      <x:c r="AA45" s="39" t="n">
        <x:v>-0.0607133112</x:v>
      </x:c>
      <x:c r="AB45" s="39" t="n">
        <x:v>0</x:v>
      </x:c>
      <x:c r="AC45" s="39" t="n">
        <x:v>0.5530346283</x:v>
      </x:c>
      <x:c r="AD45" s="39" t="n">
        <x:v>0.033869385</x:v>
      </x:c>
      <x:c r="AE45" s="39" t="n">
        <x:v>-0.0060679585</x:v>
      </x:c>
      <x:c r="AF45" s="39" t="n">
        <x:v>0.0412886165</x:v>
      </x:c>
      <x:c r="AG45" s="39" t="n">
        <x:v>0.0288649171</x:v>
      </x:c>
      <x:c r="AH45" s="39" t="n">
        <x:v>0.0614047364</x:v>
      </x:c>
      <x:c r="AI45" s="39" t="n">
        <x:v>0.0080168668</x:v>
      </x:c>
      <x:c r="AJ45" s="39" t="n">
        <x:v>0.006548604</x:v>
      </x:c>
      <x:c r="AK45" s="39" t="n">
        <x:v>0.0716871195</x:v>
      </x:c>
      <x:c r="AL45" s="39" t="n">
        <x:v>-0.0095176529</x:v>
      </x:c>
      <x:c r="AM45" s="39" t="n">
        <x:v>0.0242934678</x:v>
      </x:c>
      <x:c r="AN45" s="39" t="n">
        <x:v>-0.0180397694</x:v>
      </x:c>
      <x:c r="AO45" s="39" t="n">
        <x:v>0.0582085869</x:v>
      </x:c>
      <x:c r="AP45" s="39" t="n">
        <x:v>0.0596529712</x:v>
      </x:c>
      <x:c r="AQ45" s="39" t="n">
        <x:v>0.0188999559</x:v>
      </x:c>
      <x:c r="AR45" s="39" t="n">
        <x:v>0.0264440294</x:v>
      </x:c>
      <x:c r="AS45" s="39" t="n">
        <x:v>0.0290853544</x:v>
      </x:c>
    </x:row>
    <x:row r="46" ht="19" customHeight="1">
      <x:c r="A46" s="30" t="str">
        <x:v>Original</x:v>
      </x:c>
      <x:c r="B46" s="40" t="d">
        <x:v>2023-08-14T00:00:00.000Z</x:v>
      </x:c>
      <x:c r="C46" s="39" t="n">
        <x:v>0.0492525035</x:v>
      </x:c>
      <x:c r="D46" s="39" t="n">
        <x:v>-0.0417822425</x:v>
      </x:c>
      <x:c r="E46" s="39" t="n">
        <x:v>-0.0922336275</x:v>
      </x:c>
      <x:c r="F46" s="39" t="n">
        <x:v>-0.069977315</x:v>
      </x:c>
      <x:c r="G46" s="39" t="n">
        <x:v>-0.0134674834</x:v>
      </x:c>
      <x:c r="H46" s="39" t="n">
        <x:v>-0.1210249256</x:v>
      </x:c>
      <x:c r="I46" s="39" t="n">
        <x:v>0.0233814883</x:v>
      </x:c>
      <x:c r="J46" s="39" t="n">
        <x:v>0.0679949677</x:v>
      </x:c>
      <x:c r="K46" s="39" t="n">
        <x:v>0.0731175992</x:v>
      </x:c>
      <x:c r="L46" s="39" t="n">
        <x:v>0.0865309999</x:v>
      </x:c>
      <x:c r="M46" s="39" t="n">
        <x:v>0.0049175995</x:v>
      </x:c>
      <x:c r="N46" s="39" t="n">
        <x:v>-0.0424179925</x:v>
      </x:c>
      <x:c r="O46" s="39" t="n">
        <x:v>-0.0352722049</x:v>
      </x:c>
      <x:c r="P46" s="39" t="n">
        <x:v>0.03527016</x:v>
      </x:c>
      <x:c r="Q46" s="39" t="n">
        <x:v>0.0129742978</x:v>
      </x:c>
      <x:c r="R46" s="39" t="n">
        <x:v>-0.3812178285</x:v>
      </x:c>
      <x:c r="S46" s="39" t="n">
        <x:v>0.0704041061</x:v>
      </x:c>
      <x:c r="T46" s="39" t="n">
        <x:v>-0.1156826737</x:v>
      </x:c>
      <x:c r="U46" s="39" t="n">
        <x:v>-0.2087527565</x:v>
      </x:c>
      <x:c r="V46" s="39" t="n">
        <x:v>0.1013742428</x:v>
      </x:c>
      <x:c r="W46" s="39" t="n">
        <x:v>-0.0527771445</x:v>
      </x:c>
      <x:c r="X46" s="39" t="n">
        <x:v>0.0618969328</x:v>
      </x:c>
      <x:c r="Y46" s="39" t="n">
        <x:v>-0.0304664369</x:v>
      </x:c>
      <x:c r="Z46" s="39" t="n">
        <x:v>-0.1177667518</x:v>
      </x:c>
      <x:c r="AA46" s="39" t="n">
        <x:v>0.0706156664</x:v>
      </x:c>
      <x:c r="AB46" s="39" t="n">
        <x:v>0.013950834</x:v>
      </x:c>
      <x:c r="AC46" s="39" t="n">
        <x:v>-0.5003439773</x:v>
      </x:c>
      <x:c r="AD46" s="39" t="n">
        <x:v>-0.0024404009</x:v>
      </x:c>
      <x:c r="AE46" s="39" t="n">
        <x:v>-0.1353635392</x:v>
      </x:c>
      <x:c r="AF46" s="39" t="n">
        <x:v>-0.01450464</x:v>
      </x:c>
      <x:c r="AG46" s="39" t="n">
        <x:v>0.0647568326</x:v>
      </x:c>
      <x:c r="AH46" s="39" t="n">
        <x:v>-0.0514152003</x:v>
      </x:c>
      <x:c r="AI46" s="39" t="n">
        <x:v>-0.0485861316</x:v>
      </x:c>
      <x:c r="AJ46" s="39" t="n">
        <x:v>0.1623552937</x:v>
      </x:c>
      <x:c r="AK46" s="39" t="n">
        <x:v>-0.0060312299</x:v>
      </x:c>
      <x:c r="AL46" s="39" t="n">
        <x:v>-0.0237802241</x:v>
      </x:c>
      <x:c r="AM46" s="39" t="n">
        <x:v>-0.0770204501</x:v>
      </x:c>
      <x:c r="AN46" s="39" t="n">
        <x:v>0.0574747659</x:v>
      </x:c>
      <x:c r="AO46" s="39" t="n">
        <x:v>-0.0223921846</x:v>
      </x:c>
      <x:c r="AP46" s="39" t="n">
        <x:v>0.0203568993</x:v>
      </x:c>
      <x:c r="AQ46" s="39" t="n">
        <x:v>-0.0230800677</x:v>
      </x:c>
      <x:c r="AR46" s="39" t="n">
        <x:v>0.0128280667</x:v>
      </x:c>
      <x:c r="AS46" s="39" t="n">
        <x:v>0.0186114716</x:v>
      </x:c>
    </x:row>
    <x:row r="47" ht="19" customHeight="1">
      <x:c r="A47" s="30" t="str">
        <x:v>Original</x:v>
      </x:c>
      <x:c r="B47" s="40" t="d">
        <x:v>2023-09-11T00:00:00.000Z</x:v>
      </x:c>
      <x:c r="C47" s="39" t="n">
        <x:v>0.0942598953</x:v>
      </x:c>
      <x:c r="D47" s="39" t="n">
        <x:v>0.0787060055</x:v>
      </x:c>
      <x:c r="E47" s="39" t="n">
        <x:v>0.0124303381</x:v>
      </x:c>
      <x:c r="F47" s="39" t="n">
        <x:v>0.0281812804</x:v>
      </x:c>
      <x:c r="G47" s="39" t="n">
        <x:v>-0.0042938108</x:v>
      </x:c>
      <x:c r="H47" s="39" t="n">
        <x:v>0.0326209473</x:v>
      </x:c>
      <x:c r="I47" s="39" t="n">
        <x:v>0.0508069286</x:v>
      </x:c>
      <x:c r="J47" s="39" t="n">
        <x:v>0.0583175997</x:v>
      </x:c>
      <x:c r="K47" s="39" t="n">
        <x:v>-0.0090790571</x:v>
      </x:c>
      <x:c r="L47" s="39" t="n">
        <x:v>0.0706419067</x:v>
      </x:c>
      <x:c r="M47" s="39" t="n">
        <x:v>0.0366908026</x:v>
      </x:c>
      <x:c r="N47" s="39" t="n">
        <x:v>0.0395451106</x:v>
      </x:c>
      <x:c r="O47" s="39" t="n">
        <x:v>-0.0650715278</x:v>
      </x:c>
      <x:c r="P47" s="39" t="n">
        <x:v>0.089842423</x:v>
      </x:c>
      <x:c r="Q47" s="39" t="n">
        <x:v>0.122509055</x:v>
      </x:c>
      <x:c r="R47" s="39" t="n">
        <x:v>-0.2875449088</x:v>
      </x:c>
      <x:c r="S47" s="39" t="n">
        <x:v>0.0198381486</x:v>
      </x:c>
      <x:c r="T47" s="39" t="n">
        <x:v>0.0602052573</x:v>
      </x:c>
      <x:c r="U47" s="39" t="n">
        <x:v>0.116418545</x:v>
      </x:c>
      <x:c r="V47" s="39" t="n">
        <x:v>0.029150962</x:v>
      </x:c>
      <x:c r="W47" s="39" t="n">
        <x:v>-0.018357066</x:v>
      </x:c>
      <x:c r="X47" s="39" t="n">
        <x:v>-0.0089365822</x:v>
      </x:c>
      <x:c r="Y47" s="39" t="n">
        <x:v>0.0914166148</x:v>
      </x:c>
      <x:c r="Z47" s="39" t="n">
        <x:v>0.0626210874</x:v>
      </x:c>
      <x:c r="AA47" s="39" t="n">
        <x:v>0.034197248</x:v>
      </x:c>
      <x:c r="AB47" s="39" t="n">
        <x:v>-0.0094096014</x:v>
      </x:c>
      <x:c r="AC47" s="39" t="n">
        <x:v>-0.076972317</x:v>
      </x:c>
      <x:c r="AD47" s="39" t="n">
        <x:v>0.0058910193</x:v>
      </x:c>
      <x:c r="AE47" s="39" t="n">
        <x:v>0.0512916356</x:v>
      </x:c>
      <x:c r="AF47" s="39" t="n">
        <x:v>0.0108158397</x:v>
      </x:c>
      <x:c r="AG47" s="39" t="n">
        <x:v>-0.0827103554</x:v>
      </x:c>
      <x:c r="AH47" s="39" t="n">
        <x:v>-0.0295584818</x:v>
      </x:c>
      <x:c r="AI47" s="39" t="n">
        <x:v>-0.0370971113</x:v>
      </x:c>
      <x:c r="AJ47" s="39" t="n">
        <x:v>0.050505083</x:v>
      </x:c>
      <x:c r="AK47" s="39" t="n">
        <x:v>0.0371163216</x:v>
      </x:c>
      <x:c r="AL47" s="39" t="n">
        <x:v>0.030054625</x:v>
      </x:c>
      <x:c r="AM47" s="39" t="n">
        <x:v>0.0411891841</x:v>
      </x:c>
      <x:c r="AN47" s="39" t="n">
        <x:v>0.0727797891</x:v>
      </x:c>
      <x:c r="AO47" s="39" t="n">
        <x:v>0.0219301287</x:v>
      </x:c>
      <x:c r="AP47" s="39" t="n">
        <x:v>-0.0116682049</x:v>
      </x:c>
      <x:c r="AQ47" s="39" t="n">
        <x:v>-0.0414261842</x:v>
      </x:c>
      <x:c r="AR47" s="39" t="n">
        <x:v>-0.0570945169</x:v>
      </x:c>
      <x:c r="AS47" s="39" t="n">
        <x:v>0.0411724834</x:v>
      </x:c>
    </x:row>
    <x:row r="48" ht="19" customHeight="1">
      <x:c r="A48" s="30" t="str">
        <x:v>Original</x:v>
      </x:c>
      <x:c r="B48" s="40" t="d">
        <x:v>2023-10-09T00:00:00.000Z</x:v>
      </x:c>
      <x:c r="C48" s="39" t="n">
        <x:v>-0.0326184849</x:v>
      </x:c>
      <x:c r="D48" s="39" t="n">
        <x:v>0.1311636607</x:v>
      </x:c>
      <x:c r="E48" s="39" t="n">
        <x:v>-0.0708998808</x:v>
      </x:c>
      <x:c r="F48" s="39" t="n">
        <x:v>-0.0496828386</x:v>
      </x:c>
      <x:c r="G48" s="39" t="n">
        <x:v>-0.0142299478</x:v>
      </x:c>
      <x:c r="H48" s="39" t="n">
        <x:v>-0.0697565011</x:v>
      </x:c>
      <x:c r="I48" s="39" t="n">
        <x:v>-0.0771676747</x:v>
      </x:c>
      <x:c r="J48" s="39" t="n">
        <x:v>-0.1639957788</x:v>
      </x:c>
      <x:c r="K48" s="39" t="n">
        <x:v>0.0801309893</x:v>
      </x:c>
      <x:c r="L48" s="39" t="n">
        <x:v>-0.1286773126</x:v>
      </x:c>
      <x:c r="M48" s="39" t="n">
        <x:v>0.0289036437</x:v>
      </x:c>
      <x:c r="N48" s="39" t="n">
        <x:v>-0.0488376009</x:v>
      </x:c>
      <x:c r="O48" s="39" t="n">
        <x:v>-0.0275846409</x:v>
      </x:c>
      <x:c r="P48" s="39" t="n">
        <x:v>0.0462387485</x:v>
      </x:c>
      <x:c r="Q48" s="39" t="n">
        <x:v>-0.0911316221</x:v>
      </x:c>
      <x:c r="R48" s="39" t="n">
        <x:v>-0.057420648</x:v>
      </x:c>
      <x:c r="S48" s="39" t="n">
        <x:v>0.0579510634</x:v>
      </x:c>
      <x:c r="T48" s="39" t="n">
        <x:v>-0.0253841025</x:v>
      </x:c>
      <x:c r="U48" s="39" t="n">
        <x:v>-0.1507213991</x:v>
      </x:c>
      <x:c r="V48" s="39" t="n">
        <x:v>0.0429949253</x:v>
      </x:c>
      <x:c r="W48" s="39" t="n">
        <x:v>-0.1078818936</x:v>
      </x:c>
      <x:c r="X48" s="39" t="n">
        <x:v>-0.0273140221</x:v>
      </x:c>
      <x:c r="Y48" s="39" t="n">
        <x:v>-0.0078312335</x:v>
      </x:c>
      <x:c r="Z48" s="39" t="n">
        <x:v>-0.0221838679</x:v>
      </x:c>
      <x:c r="AA48" s="39" t="n">
        <x:v>0.1093214261</x:v>
      </x:c>
      <x:c r="AB48" s="39" t="n">
        <x:v>-0.00480661</x:v>
      </x:c>
      <x:c r="AC48" s="39" t="n">
        <x:v>-0.0869756367</x:v>
      </x:c>
      <x:c r="AD48" s="39" t="n">
        <x:v>-0.057906758</x:v>
      </x:c>
      <x:c r="AE48" s="39" t="n">
        <x:v>-0.064425687</x:v>
      </x:c>
      <x:c r="AF48" s="39" t="n">
        <x:v>-0.0345750715</x:v>
      </x:c>
      <x:c r="AG48" s="39" t="n">
        <x:v>-0.1161817684</x:v>
      </x:c>
      <x:c r="AH48" s="39" t="n">
        <x:v>0.0593803543</x:v>
      </x:c>
      <x:c r="AI48" s="39" t="n">
        <x:v>0.0342623804</x:v>
      </x:c>
      <x:c r="AJ48" s="39" t="n">
        <x:v>0.0556638512</x:v>
      </x:c>
      <x:c r="AK48" s="39" t="n">
        <x:v>0.0090455279</x:v>
      </x:c>
      <x:c r="AL48" s="39" t="n">
        <x:v>-0.1110958338</x:v>
      </x:c>
      <x:c r="AM48" s="39" t="n">
        <x:v>-0.0074396328</x:v>
      </x:c>
      <x:c r="AN48" s="39" t="n">
        <x:v>-0.0002862273</x:v>
      </x:c>
      <x:c r="AO48" s="39" t="n">
        <x:v>0.0183433833</x:v>
      </x:c>
      <x:c r="AP48" s="39" t="n">
        <x:v>-0.0945659267</x:v>
      </x:c>
      <x:c r="AQ48" s="39" t="n">
        <x:v>-0.0896385268</x:v>
      </x:c>
      <x:c r="AR48" s="39" t="n">
        <x:v>-0.0284123986</x:v>
      </x:c>
      <x:c r="AS48" s="39" t="n">
        <x:v>-0.0628074259</x:v>
      </x:c>
    </x:row>
    <x:row r="49" ht="19" customHeight="1">
      <x:c r="A49" s="30" t="str">
        <x:v>Original</x:v>
      </x:c>
      <x:c r="B49" s="40" t="d">
        <x:v>2023-11-06T00:00:00.000Z</x:v>
      </x:c>
      <x:c r="C49" s="39" t="n">
        <x:v>0.0856909679</x:v>
      </x:c>
      <x:c r="D49" s="39" t="n">
        <x:v>-0.1485509601</x:v>
      </x:c>
      <x:c r="E49" s="39" t="n">
        <x:v>0.0536164057</x:v>
      </x:c>
      <x:c r="F49" s="39" t="n">
        <x:v>0.0320864805</x:v>
      </x:c>
      <x:c r="G49" s="39" t="n">
        <x:v>0.0452847104</x:v>
      </x:c>
      <x:c r="H49" s="39" t="n">
        <x:v>0.1737053401</x:v>
      </x:c>
      <x:c r="I49" s="39" t="n">
        <x:v>0.1005229834</x:v>
      </x:c>
      <x:c r="J49" s="39" t="n">
        <x:v>0.1663243193</x:v>
      </x:c>
      <x:c r="K49" s="39" t="n">
        <x:v>0.0564955117</x:v>
      </x:c>
      <x:c r="L49" s="39" t="n">
        <x:v>-0.0270965872</x:v>
      </x:c>
      <x:c r="M49" s="39" t="n">
        <x:v>-0.0610191961</x:v>
      </x:c>
      <x:c r="N49" s="39" t="n">
        <x:v>-0.1201655278</x:v>
      </x:c>
      <x:c r="O49" s="39" t="n">
        <x:v>0.101418101</x:v>
      </x:c>
      <x:c r="P49" s="39" t="n">
        <x:v>-0.015387983</x:v>
      </x:c>
      <x:c r="Q49" s="39" t="n">
        <x:v>-0.0356829988</x:v>
      </x:c>
      <x:c r="R49" s="39" t="n">
        <x:v>0.0936708238</x:v>
      </x:c>
      <x:c r="S49" s="39" t="n">
        <x:v>-0.0103690052</x:v>
      </x:c>
      <x:c r="T49" s="39" t="n">
        <x:v>0.0308146613</x:v>
      </x:c>
      <x:c r="U49" s="39" t="n">
        <x:v>-0.3377651946</x:v>
      </x:c>
      <x:c r="V49" s="39" t="n">
        <x:v>0.0115479268</x:v>
      </x:c>
      <x:c r="W49" s="39" t="n">
        <x:v>0.2283542972</x:v>
      </x:c>
      <x:c r="X49" s="39" t="n">
        <x:v>-0.044200441</x:v>
      </x:c>
      <x:c r="Y49" s="39" t="n">
        <x:v>0.0848675662</x:v>
      </x:c>
      <x:c r="Z49" s="39" t="n">
        <x:v>-0.1418602926</x:v>
      </x:c>
      <x:c r="AA49" s="39" t="n">
        <x:v>0.0343989553</x:v>
      </x:c>
      <x:c r="AB49" s="39" t="n">
        <x:v>-0.1303292213</x:v>
      </x:c>
      <x:c r="AC49" s="39" t="n">
        <x:v>-0.2615147224</x:v>
      </x:c>
      <x:c r="AD49" s="39" t="n">
        <x:v>0.0515296508</x:v>
      </x:c>
      <x:c r="AE49" s="39" t="n">
        <x:v>-0.1644773465</x:v>
      </x:c>
      <x:c r="AF49" s="39" t="n">
        <x:v>-0.0319626099</x:v>
      </x:c>
      <x:c r="AG49" s="39" t="n">
        <x:v>0.0613655449</x:v>
      </x:c>
      <x:c r="AH49" s="39" t="n">
        <x:v>0.0223607943</x:v>
      </x:c>
      <x:c r="AI49" s="39" t="n">
        <x:v>0.1204806711</x:v>
      </x:c>
      <x:c r="AJ49" s="39" t="n">
        <x:v>-0.0189819033</x:v>
      </x:c>
      <x:c r="AK49" s="39" t="n">
        <x:v>0.0096704075</x:v>
      </x:c>
      <x:c r="AL49" s="39" t="n">
        <x:v>0.0043858467</x:v>
      </x:c>
      <x:c r="AM49" s="39" t="n">
        <x:v>0.1200472748</x:v>
      </x:c>
      <x:c r="AN49" s="39" t="n">
        <x:v>-0.0352341776</x:v>
      </x:c>
      <x:c r="AO49" s="39" t="n">
        <x:v>0.0197451655</x:v>
      </x:c>
      <x:c r="AP49" s="39" t="n">
        <x:v>-0.0011274576</x:v>
      </x:c>
      <x:c r="AQ49" s="39" t="n">
        <x:v>0.0696961974</x:v>
      </x:c>
      <x:c r="AR49" s="39" t="n">
        <x:v>-0.0629624557</x:v>
      </x:c>
      <x:c r="AS49" s="39" t="n">
        <x:v>0.0156779105</x:v>
      </x:c>
    </x:row>
    <x:row r="50" ht="19" customHeight="1">
      <x:c r="A50" s="30" t="str">
        <x:v>Original</x:v>
      </x:c>
      <x:c r="B50" s="40" t="d">
        <x:v>2023-12-04T00:00:00.000Z</x:v>
      </x:c>
      <x:c r="C50" s="39" t="n">
        <x:v>0.070224845</x:v>
      </x:c>
      <x:c r="D50" s="39" t="n">
        <x:v>0.1286118648</x:v>
      </x:c>
      <x:c r="E50" s="39" t="n">
        <x:v>0.024933994</x:v>
      </x:c>
      <x:c r="F50" s="39" t="n">
        <x:v>0.0668856684</x:v>
      </x:c>
      <x:c r="G50" s="39" t="n">
        <x:v>0.0541074118</x:v>
      </x:c>
      <x:c r="H50" s="39" t="n">
        <x:v>0.0567227253</x:v>
      </x:c>
      <x:c r="I50" s="39" t="n">
        <x:v>0.0268259675</x:v>
      </x:c>
      <x:c r="J50" s="39" t="n">
        <x:v>0.034792373</x:v>
      </x:c>
      <x:c r="K50" s="39" t="n">
        <x:v>0.1080738546</x:v>
      </x:c>
      <x:c r="L50" s="39" t="n">
        <x:v>0.0087493159</x:v>
      </x:c>
      <x:c r="M50" s="39" t="n">
        <x:v>-0.0334029035</x:v>
      </x:c>
      <x:c r="N50" s="39" t="n">
        <x:v>0.0162940898</x:v>
      </x:c>
      <x:c r="O50" s="39" t="n">
        <x:v>-0.0169317414</x:v>
      </x:c>
      <x:c r="P50" s="39" t="n">
        <x:v>0.0622990134</x:v>
      </x:c>
      <x:c r="Q50" s="39" t="n">
        <x:v>0.178290631</x:v>
      </x:c>
      <x:c r="R50" s="39" t="n">
        <x:v>0.2110629806</x:v>
      </x:c>
      <x:c r="S50" s="39" t="n">
        <x:v>-0.0206907894</x:v>
      </x:c>
      <x:c r="T50" s="39" t="n">
        <x:v>0.2084113561</x:v>
      </x:c>
      <x:c r="U50" s="39" t="n">
        <x:v>0.1383220499</x:v>
      </x:c>
      <x:c r="V50" s="39" t="n">
        <x:v>0.0821189608</x:v>
      </x:c>
      <x:c r="W50" s="39" t="n">
        <x:v>0.0146331005</x:v>
      </x:c>
      <x:c r="X50" s="39" t="n">
        <x:v>0.0045732543</x:v>
      </x:c>
      <x:c r="Y50" s="39" t="n">
        <x:v>-0.005380956</x:v>
      </x:c>
      <x:c r="Z50" s="39" t="n">
        <x:v>0.1448778465</x:v>
      </x:c>
      <x:c r="AA50" s="39" t="n">
        <x:v>0.0049049774</x:v>
      </x:c>
      <x:c r="AB50" s="39" t="n">
        <x:v>0.0112340478</x:v>
      </x:c>
      <x:c r="AC50" s="39" t="n">
        <x:v>0.5767480157</x:v>
      </x:c>
      <x:c r="AD50" s="39" t="n">
        <x:v>-0.0426906692</x:v>
      </x:c>
      <x:c r="AE50" s="39" t="n">
        <x:v>0.1115375963</x:v>
      </x:c>
      <x:c r="AF50" s="39" t="n">
        <x:v>0.0163381312</x:v>
      </x:c>
      <x:c r="AG50" s="39" t="n">
        <x:v>0.2210246543</x:v>
      </x:c>
      <x:c r="AH50" s="39" t="n">
        <x:v>0.0774630249</x:v>
      </x:c>
      <x:c r="AI50" s="39" t="n">
        <x:v>0.0844433954</x:v>
      </x:c>
      <x:c r="AJ50" s="39" t="n">
        <x:v>0.0024410136</x:v>
      </x:c>
      <x:c r="AK50" s="39" t="n">
        <x:v>0.0274552923</x:v>
      </x:c>
      <x:c r="AL50" s="39" t="n">
        <x:v>-0.0940488047</x:v>
      </x:c>
      <x:c r="AM50" s="39" t="n">
        <x:v>0.0144455233</x:v>
      </x:c>
      <x:c r="AN50" s="39" t="n">
        <x:v>0.0181374178</x:v>
      </x:c>
      <x:c r="AO50" s="39" t="n">
        <x:v>0.057313608</x:v>
      </x:c>
      <x:c r="AP50" s="39" t="n">
        <x:v>0.1210049706</x:v>
      </x:c>
      <x:c r="AQ50" s="39" t="n">
        <x:v>0.0411596164</x:v>
      </x:c>
      <x:c r="AR50" s="39" t="n">
        <x:v>0.0561343948</x:v>
      </x:c>
      <x:c r="AS50" s="39" t="n">
        <x:v>0.0072419525</x:v>
      </x:c>
    </x:row>
    <x:row r="51" ht="19" customHeight="1">
      <x:c r="A51" s="30" t="str">
        <x:v>Original</x:v>
      </x:c>
      <x:c r="B51" s="40" t="d">
        <x:v>2024-01-01T00:00:00.000Z</x:v>
      </x:c>
      <x:c r="C51" s="39" t="n">
        <x:v>0.0500542537</x:v>
      </x:c>
      <x:c r="D51" s="39" t="n">
        <x:v>-0.0204475422</x:v>
      </x:c>
      <x:c r="E51" s="39" t="n">
        <x:v>0.0555089208</x:v>
      </x:c>
      <x:c r="F51" s="39" t="n">
        <x:v>0.0192192332</x:v>
      </x:c>
      <x:c r="G51" s="39" t="n">
        <x:v>-0.0214334245</x:v>
      </x:c>
      <x:c r="H51" s="39" t="n">
        <x:v>-0.0138772159</x:v>
      </x:c>
      <x:c r="I51" s="39" t="n">
        <x:v>-0.0152766615</x:v>
      </x:c>
      <x:c r="J51" s="39" t="n">
        <x:v>0.0098888076</x:v>
      </x:c>
      <x:c r="K51" s="39" t="n">
        <x:v>0.0046393071</x:v>
      </x:c>
      <x:c r="L51" s="39" t="n">
        <x:v>0.051008153</x:v>
      </x:c>
      <x:c r="M51" s="39" t="n">
        <x:v>0.0595779647</x:v>
      </x:c>
      <x:c r="N51" s="39" t="n">
        <x:v>0.0421351303</x:v>
      </x:c>
      <x:c r="O51" s="39" t="n">
        <x:v>0.1007821487</x:v>
      </x:c>
      <x:c r="P51" s="39" t="n">
        <x:v>0.045879326</x:v>
      </x:c>
      <x:c r="Q51" s="39" t="n">
        <x:v>0.1908514226</x:v>
      </x:c>
      <x:c r="R51" s="39" t="n">
        <x:v>0.1327055378</x:v>
      </x:c>
      <x:c r="S51" s="39" t="n">
        <x:v>-0.0366974994</x:v>
      </x:c>
      <x:c r="T51" s="39" t="n">
        <x:v>-0.0165349462</x:v>
      </x:c>
      <x:c r="U51" s="39" t="n">
        <x:v>0.3328408895</x:v>
      </x:c>
      <x:c r="V51" s="39" t="n">
        <x:v>0.0334159889</x:v>
      </x:c>
      <x:c r="W51" s="39" t="n">
        <x:v>0.0448776528</x:v>
      </x:c>
      <x:c r="X51" s="39" t="n">
        <x:v>0.0294475337</x:v>
      </x:c>
      <x:c r="Y51" s="39" t="n">
        <x:v>0.1113915724</x:v>
      </x:c>
      <x:c r="Z51" s="39" t="n">
        <x:v>0.0325391108</x:v>
      </x:c>
      <x:c r="AA51" s="39" t="n">
        <x:v>0.0097517463</x:v>
      </x:c>
      <x:c r="AB51" s="39" t="n">
        <x:v>-0.1074087647</x:v>
      </x:c>
      <x:c r="AC51" s="39" t="n">
        <x:v>-0.1076676749</x:v>
      </x:c>
      <x:c r="AD51" s="39" t="n">
        <x:v>0.015912244</x:v>
      </x:c>
      <x:c r="AE51" s="39" t="n">
        <x:v>0.0753922783</x:v>
      </x:c>
      <x:c r="AF51" s="39" t="n">
        <x:v>0.0663978833</x:v>
      </x:c>
      <x:c r="AG51" s="39" t="n">
        <x:v>0.0178626292</x:v>
      </x:c>
      <x:c r="AH51" s="39" t="n">
        <x:v>0.0230392192</x:v>
      </x:c>
      <x:c r="AI51" s="39" t="n">
        <x:v>0.0740919731</x:v>
      </x:c>
      <x:c r="AJ51" s="39" t="n">
        <x:v>0.0345602786</x:v>
      </x:c>
      <x:c r="AK51" s="39" t="n">
        <x:v>0.0093091659</x:v>
      </x:c>
      <x:c r="AL51" s="39" t="n">
        <x:v>0.0805873158</x:v>
      </x:c>
      <x:c r="AM51" s="39" t="n">
        <x:v>-0.0179110895</x:v>
      </x:c>
      <x:c r="AN51" s="39" t="n">
        <x:v>0.0056056714</x:v>
      </x:c>
      <x:c r="AO51" s="39" t="n">
        <x:v>0.0963116802</x:v>
      </x:c>
      <x:c r="AP51" s="39" t="n">
        <x:v>0.0504684391</x:v>
      </x:c>
      <x:c r="AQ51" s="39" t="n">
        <x:v>0.0183794135</x:v>
      </x:c>
      <x:c r="AR51" s="39" t="n">
        <x:v>0.0436164418</x:v>
      </x:c>
      <x:c r="AS51" s="39" t="n">
        <x:v>0.0357026766</x:v>
      </x:c>
    </x:row>
    <x:row r="52" ht="19" customHeight="1">
      <x:c r="A52" s="30" t="str">
        <x:v>Original</x:v>
      </x:c>
      <x:c r="B52" s="40" t="d">
        <x:v>2024-01-29T00:00:00.000Z</x:v>
      </x:c>
      <x:c r="C52" s="39" t="n">
        <x:v>0.1493598033</x:v>
      </x:c>
      <x:c r="D52" s="39" t="n">
        <x:v>0.0815490459</x:v>
      </x:c>
      <x:c r="E52" s="39" t="n">
        <x:v>-0.0695704987</x:v>
      </x:c>
      <x:c r="F52" s="39" t="n">
        <x:v>-0.0340705619</x:v>
      </x:c>
      <x:c r="G52" s="39" t="n">
        <x:v>0.0689401822</x:v>
      </x:c>
      <x:c r="H52" s="39" t="n">
        <x:v>0.1195123765</x:v>
      </x:c>
      <x:c r="I52" s="39" t="n">
        <x:v>0.1747170598</x:v>
      </x:c>
      <x:c r="J52" s="39" t="n">
        <x:v>0.1727592495</x:v>
      </x:c>
      <x:c r="K52" s="39" t="n">
        <x:v>0.0897981558</x:v>
      </x:c>
      <x:c r="L52" s="39" t="n">
        <x:v>0.076878274</x:v>
      </x:c>
      <x:c r="M52" s="39" t="n">
        <x:v>-0.0609674662</x:v>
      </x:c>
      <x:c r="N52" s="39" t="n">
        <x:v>-0.100805943</x:v>
      </x:c>
      <x:c r="O52" s="39" t="n">
        <x:v>-0.0102151968</x:v>
      </x:c>
      <x:c r="P52" s="39" t="n">
        <x:v>0.1561784271</x:v>
      </x:c>
      <x:c r="Q52" s="39" t="n">
        <x:v>0.0776026997</x:v>
      </x:c>
      <x:c r="R52" s="39" t="n">
        <x:v>0.0117049793</x:v>
      </x:c>
      <x:c r="S52" s="39" t="n">
        <x:v>0.0377336791</x:v>
      </x:c>
      <x:c r="T52" s="39" t="n">
        <x:v>0.0834100349</x:v>
      </x:c>
      <x:c r="U52" s="39" t="n">
        <x:v>-0.1359850821</x:v>
      </x:c>
      <x:c r="V52" s="39" t="n">
        <x:v>0.053047538</x:v>
      </x:c>
      <x:c r="W52" s="39" t="n">
        <x:v>0.1818438844</x:v>
      </x:c>
      <x:c r="X52" s="39" t="n">
        <x:v>0.0483905239</x:v>
      </x:c>
      <x:c r="Y52" s="39" t="n">
        <x:v>0.0370914546</x:v>
      </x:c>
      <x:c r="Z52" s="39" t="n">
        <x:v>-0.1653516673</x:v>
      </x:c>
      <x:c r="AA52" s="39" t="n">
        <x:v>0.1142191277</x:v>
      </x:c>
      <x:c r="AB52" s="39" t="n">
        <x:v>-0.0063997834</x:v>
      </x:c>
      <x:c r="AC52" s="39" t="n">
        <x:v>-0.0170336255</x:v>
      </x:c>
      <x:c r="AD52" s="39" t="n">
        <x:v>0.0792193342</x:v>
      </x:c>
      <x:c r="AE52" s="39" t="n">
        <x:v>0.0251446143</x:v>
      </x:c>
      <x:c r="AF52" s="39" t="n">
        <x:v>-0.1124698408</x:v>
      </x:c>
      <x:c r="AG52" s="39" t="n">
        <x:v>-0.1802294067</x:v>
      </x:c>
      <x:c r="AH52" s="39" t="n">
        <x:v>0.0638957211</x:v>
      </x:c>
      <x:c r="AI52" s="39" t="n">
        <x:v>0.2583539626</x:v>
      </x:c>
      <x:c r="AJ52" s="39" t="n">
        <x:v>0.0794396391</x:v>
      </x:c>
      <x:c r="AK52" s="39" t="n">
        <x:v>-0.0069547531</x:v>
      </x:c>
      <x:c r="AL52" s="39" t="n">
        <x:v>0.0414827863</x:v>
      </x:c>
      <x:c r="AM52" s="39" t="n">
        <x:v>0.1161909925</x:v>
      </x:c>
      <x:c r="AN52" s="39" t="n">
        <x:v>0.0497440726</x:v>
      </x:c>
      <x:c r="AO52" s="39" t="n">
        <x:v>0.083015994</x:v>
      </x:c>
      <x:c r="AP52" s="39" t="n">
        <x:v>0.0424559912</x:v>
      </x:c>
      <x:c r="AQ52" s="39" t="n">
        <x:v>0.0150535744</x:v>
      </x:c>
      <x:c r="AR52" s="39" t="n">
        <x:v>-0.0295901973</x:v>
      </x:c>
      <x:c r="AS52" s="39" t="n">
        <x:v>0.0692158813</x:v>
      </x:c>
    </x:row>
    <x:row r="53" ht="19" customHeight="1">
      <x:c r="A53" s="30" t="str">
        <x:v>Original</x:v>
      </x:c>
      <x:c r="B53" s="40" t="d">
        <x:v>2024-02-26T00:00:00.000Z</x:v>
      </x:c>
      <x:c r="C53" s="39" t="n">
        <x:v>0.2126232411</x:v>
      </x:c>
      <x:c r="D53" s="39" t="n">
        <x:v>0.1609037476</x:v>
      </x:c>
      <x:c r="E53" s="39" t="n">
        <x:v>0.0941091895</x:v>
      </x:c>
      <x:c r="F53" s="39" t="n">
        <x:v>0.010878826</x:v>
      </x:c>
      <x:c r="G53" s="39" t="n">
        <x:v>0.1497751613</x:v>
      </x:c>
      <x:c r="H53" s="39" t="n">
        <x:v>0.0842842725</x:v>
      </x:c>
      <x:c r="I53" s="39" t="n">
        <x:v>0.038634607</x:v>
      </x:c>
      <x:c r="J53" s="39" t="n">
        <x:v>0.323898729</x:v>
      </x:c>
      <x:c r="K53" s="39" t="n">
        <x:v>0.1102116844</x:v>
      </x:c>
      <x:c r="L53" s="39" t="n">
        <x:v>0.0407493017</x:v>
      </x:c>
      <x:c r="M53" s="39" t="n">
        <x:v>0.0862345196</x:v>
      </x:c>
      <x:c r="N53" s="39" t="n">
        <x:v>0.0255447762</x:v>
      </x:c>
      <x:c r="O53" s="39" t="n">
        <x:v>-0.0907818911</x:v>
      </x:c>
      <x:c r="P53" s="39" t="n">
        <x:v>0.105855349</x:v>
      </x:c>
      <x:c r="Q53" s="39" t="n">
        <x:v>0.091730234</x:v>
      </x:c>
      <x:c r="R53" s="39" t="n">
        <x:v>0.0757164763</x:v>
      </x:c>
      <x:c r="S53" s="39" t="n">
        <x:v>0.0627438087</x:v>
      </x:c>
      <x:c r="T53" s="39" t="n">
        <x:v>0.2001419728</x:v>
      </x:c>
      <x:c r="U53" s="39" t="n">
        <x:v>-0.0267314408</x:v>
      </x:c>
      <x:c r="V53" s="39" t="n">
        <x:v>0.2121625224</x:v>
      </x:c>
      <x:c r="W53" s="39" t="n">
        <x:v>0.0975274728</x:v>
      </x:c>
      <x:c r="X53" s="39" t="n">
        <x:v>-0.0549757039</x:v>
      </x:c>
      <x:c r="Y53" s="39" t="n">
        <x:v>0.1007710592</x:v>
      </x:c>
      <x:c r="Z53" s="39" t="n">
        <x:v>-0.078565411</x:v>
      </x:c>
      <x:c r="AA53" s="39" t="n">
        <x:v>0.0408758442</x:v>
      </x:c>
      <x:c r="AB53" s="39" t="n">
        <x:v>0.0320614389</x:v>
      </x:c>
      <x:c r="AC53" s="39" t="n">
        <x:v>-0.2289268521</x:v>
      </x:c>
      <x:c r="AD53" s="39" t="n">
        <x:v>0.0050585847</x:v>
      </x:c>
      <x:c r="AE53" s="39" t="n">
        <x:v>0.0546775343</x:v>
      </x:c>
      <x:c r="AF53" s="39" t="n">
        <x:v>0.010217095</x:v>
      </x:c>
      <x:c r="AG53" s="39" t="n">
        <x:v>-0.0483423088</x:v>
      </x:c>
      <x:c r="AH53" s="39" t="n">
        <x:v>0.0949253071</x:v>
      </x:c>
      <x:c r="AI53" s="39" t="n">
        <x:v>0.1387607775</x:v>
      </x:c>
      <x:c r="AJ53" s="39" t="n">
        <x:v>0.168753042</x:v>
      </x:c>
      <x:c r="AK53" s="39" t="n">
        <x:v>0.0627953708</x:v>
      </x:c>
      <x:c r="AL53" s="39" t="n">
        <x:v>0.0029669086</x:v>
      </x:c>
      <x:c r="AM53" s="39" t="n">
        <x:v>0.0128696385</x:v>
      </x:c>
      <x:c r="AN53" s="39" t="n">
        <x:v>-0.0395497159</x:v>
      </x:c>
      <x:c r="AO53" s="39" t="n">
        <x:v>0.0577932485</x:v>
      </x:c>
      <x:c r="AP53" s="39" t="n">
        <x:v>0.0774536267</x:v>
      </x:c>
      <x:c r="AQ53" s="39" t="n">
        <x:v>-0.0177447593</x:v>
      </x:c>
      <x:c r="AR53" s="39" t="n">
        <x:v>0.0444488204</x:v>
      </x:c>
      <x:c r="AS53" s="39" t="n">
        <x:v>0.0432605499</x:v>
      </x:c>
    </x:row>
    <x:row r="54" ht="19" customHeight="1">
      <x:c r="A54" s="30" t="str">
        <x:v>Original</x:v>
      </x:c>
      <x:c r="B54" s="40" t="d">
        <x:v>2024-03-25T00:00:00.000Z</x:v>
      </x:c>
      <x:c r="C54" s="39" t="n">
        <x:v>0.2660690986</x:v>
      </x:c>
      <x:c r="D54" s="39" t="n">
        <x:v>0.1044652682</x:v>
      </x:c>
      <x:c r="E54" s="39" t="n">
        <x:v>0.0138807898</x:v>
      </x:c>
      <x:c r="F54" s="39" t="n">
        <x:v>0.0540811076</x:v>
      </x:c>
      <x:c r="G54" s="39" t="n">
        <x:v>0.0951137921</x:v>
      </x:c>
      <x:c r="H54" s="39" t="n">
        <x:v>0.0833895269</x:v>
      </x:c>
      <x:c r="I54" s="39" t="n">
        <x:v>0.0128868705</x:v>
      </x:c>
      <x:c r="J54" s="39" t="n">
        <x:v>0.0119544127</x:v>
      </x:c>
      <x:c r="K54" s="39" t="n">
        <x:v>-0.0375505302</x:v>
      </x:c>
      <x:c r="L54" s="39" t="n">
        <x:v>0.1872518943</x:v>
      </x:c>
      <x:c r="M54" s="39" t="n">
        <x:v>0.0091668954</x:v>
      </x:c>
      <x:c r="N54" s="39" t="n">
        <x:v>0.0525113517</x:v>
      </x:c>
      <x:c r="O54" s="39" t="n">
        <x:v>-0.0255134646</x:v>
      </x:c>
      <x:c r="P54" s="39" t="n">
        <x:v>0.063617344</x:v>
      </x:c>
      <x:c r="Q54" s="39" t="n">
        <x:v>-0.0091598015</x:v>
      </x:c>
      <x:c r="R54" s="39" t="n">
        <x:v>-0.0061462317</x:v>
      </x:c>
      <x:c r="S54" s="39" t="n">
        <x:v>-0.0136878189</x:v>
      </x:c>
      <x:c r="T54" s="39" t="n">
        <x:v>-0.0336029149</x:v>
      </x:c>
      <x:c r="U54" s="39" t="n">
        <x:v>0.1221613692</x:v>
      </x:c>
      <x:c r="V54" s="39" t="n">
        <x:v>-0.0046736926</x:v>
      </x:c>
      <x:c r="W54" s="39" t="n">
        <x:v>-0.0209471941</x:v>
      </x:c>
      <x:c r="X54" s="39" t="n">
        <x:v>0.0136591512</x:v>
      </x:c>
      <x:c r="Y54" s="39" t="n">
        <x:v>0.2302692484</x:v>
      </x:c>
      <x:c r="Z54" s="39" t="n">
        <x:v>0.131642665</x:v>
      </x:c>
      <x:c r="AA54" s="39" t="n">
        <x:v>0.1030258522</x:v>
      </x:c>
      <x:c r="AB54" s="39" t="n">
        <x:v>0.0561494855</x:v>
      </x:c>
      <x:c r="AC54" s="39" t="n">
        <x:v>0.0229190178</x:v>
      </x:c>
      <x:c r="AD54" s="39" t="n">
        <x:v>0.0226543714</x:v>
      </x:c>
      <x:c r="AE54" s="39" t="n">
        <x:v>0.0690379267</x:v>
      </x:c>
      <x:c r="AF54" s="39" t="n">
        <x:v>0.1474532937</x:v>
      </x:c>
      <x:c r="AG54" s="39" t="n">
        <x:v>-0.0381663174</x:v>
      </x:c>
      <x:c r="AH54" s="39" t="n">
        <x:v>-0.0036273133</x:v>
      </x:c>
      <x:c r="AI54" s="39" t="n">
        <x:v>-0.1238254811</x:v>
      </x:c>
      <x:c r="AJ54" s="39" t="n">
        <x:v>-0.0057047625</x:v>
      </x:c>
      <x:c r="AK54" s="39" t="n">
        <x:v>0.0082745514</x:v>
      </x:c>
      <x:c r="AL54" s="39" t="n">
        <x:v>-0.0060265583</x:v>
      </x:c>
      <x:c r="AM54" s="39" t="n">
        <x:v>0.013355194</x:v>
      </x:c>
      <x:c r="AN54" s="39" t="n">
        <x:v>0.1024935222</x:v>
      </x:c>
      <x:c r="AO54" s="39" t="n">
        <x:v>-0.0242668657</x:v>
      </x:c>
      <x:c r="AP54" s="39" t="n">
        <x:v>0.0040111787</x:v>
      </x:c>
      <x:c r="AQ54" s="39" t="n">
        <x:v>0.0377681372</x:v>
      </x:c>
      <x:c r="AR54" s="39" t="n">
        <x:v>-0.0262506287</x:v>
      </x:c>
      <x:c r="AS54" s="39" t="n">
        <x:v>0.034667994</x:v>
      </x:c>
    </x:row>
    <x:row r="55" ht="19" customHeight="1">
      <x:c r="A55" s="30" t="str">
        <x:v>Original</x:v>
      </x:c>
      <x:c r="B55" s="40" t="d">
        <x:v>2024-04-22T00:00:00.000Z</x:v>
      </x:c>
      <x:c r="C55" s="39" t="n">
        <x:v>0.0464974329</x:v>
      </x:c>
      <x:c r="D55" s="39" t="n">
        <x:v>0.0426716835</x:v>
      </x:c>
      <x:c r="E55" s="39" t="n">
        <x:v>-0.0106364089</x:v>
      </x:c>
      <x:c r="F55" s="39" t="n">
        <x:v>0.0083854272</x:v>
      </x:c>
      <x:c r="G55" s="39" t="n">
        <x:v>-0.0889315117</x:v>
      </x:c>
      <x:c r="H55" s="39" t="n">
        <x:v>0.0998416355</x:v>
      </x:c>
      <x:c r="I55" s="39" t="n">
        <x:v>-0.0045807693</x:v>
      </x:c>
      <x:c r="J55" s="39" t="n">
        <x:v>-0.0550176325</x:v>
      </x:c>
      <x:c r="K55" s="39" t="n">
        <x:v>-0.0849745459</x:v>
      </x:c>
      <x:c r="L55" s="39" t="n">
        <x:v>-0.0315346227</x:v>
      </x:c>
      <x:c r="M55" s="39" t="n">
        <x:v>-0.0426811382</x:v>
      </x:c>
      <x:c r="N55" s="39" t="n">
        <x:v>-0.0357404415</x:v>
      </x:c>
      <x:c r="O55" s="39" t="n">
        <x:v>-0.0131729999</x:v>
      </x:c>
      <x:c r="P55" s="39" t="n">
        <x:v>0.048502243</x:v>
      </x:c>
      <x:c r="Q55" s="39" t="n">
        <x:v>-0.1155267545</x:v>
      </x:c>
      <x:c r="R55" s="39" t="n">
        <x:v>-0.1415451613</x:v>
      </x:c>
      <x:c r="S55" s="39" t="n">
        <x:v>-0.0221452522</x:v>
      </x:c>
      <x:c r="T55" s="39" t="n">
        <x:v>-0.103615242</x:v>
      </x:c>
      <x:c r="U55" s="39" t="n">
        <x:v>0.0142613148</x:v>
      </x:c>
      <x:c r="V55" s="39" t="n">
        <x:v>-0.0162447513</x:v>
      </x:c>
      <x:c r="W55" s="39" t="n">
        <x:v>-0.0856439151</x:v>
      </x:c>
      <x:c r="X55" s="39" t="n">
        <x:v>-0.1187677588</x:v>
      </x:c>
      <x:c r="Y55" s="39" t="n">
        <x:v>-0.0284376356</x:v>
      </x:c>
      <x:c r="Z55" s="39" t="n">
        <x:v>0.1907658647</x:v>
      </x:c>
      <x:c r="AA55" s="39" t="n">
        <x:v>0.0068455064</x:v>
      </x:c>
      <x:c r="AB55" s="39" t="n">
        <x:v>0.7703346173</x:v>
      </x:c>
      <x:c r="AC55" s="39" t="n">
        <x:v>-0.1480433739</x:v>
      </x:c>
      <x:c r="AD55" s="39" t="n">
        <x:v>0.0005445917</x:v>
      </x:c>
      <x:c r="AE55" s="39" t="n">
        <x:v>-0.0407873906</x:v>
      </x:c>
      <x:c r="AF55" s="39" t="n">
        <x:v>-0.0348193352</x:v>
      </x:c>
      <x:c r="AG55" s="39" t="n">
        <x:v>-0.1554971395</x:v>
      </x:c>
      <x:c r="AH55" s="39" t="n">
        <x:v>-0.0553601665</x:v>
      </x:c>
      <x:c r="AI55" s="39" t="n">
        <x:v>-0.1485071315</x:v>
      </x:c>
      <x:c r="AJ55" s="39" t="n">
        <x:v>-0.0638290467</x:v>
      </x:c>
      <x:c r="AK55" s="39" t="n">
        <x:v>0.0103996709</x:v>
      </x:c>
      <x:c r="AL55" s="39" t="n">
        <x:v>0.0465332262</x:v>
      </x:c>
      <x:c r="AM55" s="39" t="n">
        <x:v>-0.0377833523</x:v>
      </x:c>
      <x:c r="AN55" s="39" t="n">
        <x:v>0.1414578645</x:v>
      </x:c>
      <x:c r="AO55" s="39" t="n">
        <x:v>-0.0033811469</x:v>
      </x:c>
      <x:c r="AP55" s="39" t="n">
        <x:v>-0.1466802957</x:v>
      </x:c>
      <x:c r="AQ55" s="39" t="n">
        <x:v>0.0098852966</x:v>
      </x:c>
      <x:c r="AR55" s="39" t="n">
        <x:v>-0.0859588803</x:v>
      </x:c>
      <x:c r="AS55" s="39" t="n">
        <x:v>-0.0485941136</x:v>
      </x:c>
    </x:row>
    <x:row r="56" ht="19" customHeight="1">
      <x:c r="A56" s="30" t="str">
        <x:v>Original</x:v>
      </x:c>
      <x:c r="B56" s="40" t="d">
        <x:v>2024-05-20T00:00:00.000Z</x:v>
      </x:c>
      <x:c r="C56" s="39" t="n">
        <x:v>0.3736769925</x:v>
      </x:c>
      <x:c r="D56" s="39" t="n">
        <x:v>0.0322457287</x:v>
      </x:c>
      <x:c r="E56" s="39" t="n">
        <x:v>0.0576081839</x:v>
      </x:c>
      <x:c r="F56" s="39" t="n">
        <x:v>0.038660798</x:v>
      </x:c>
      <x:c r="G56" s="39" t="n">
        <x:v>-0.1126479602</x:v>
      </x:c>
      <x:c r="H56" s="39" t="n">
        <x:v>-0.0122693343</x:v>
      </x:c>
      <x:c r="I56" s="39" t="n">
        <x:v>0.0069004483</x:v>
      </x:c>
      <x:c r="J56" s="39" t="n">
        <x:v>0.138840749</x:v>
      </x:c>
      <x:c r="K56" s="39" t="n">
        <x:v>0.0995794635</x:v>
      </x:c>
      <x:c r="L56" s="39" t="n">
        <x:v>-0.0226628078</x:v>
      </x:c>
      <x:c r="M56" s="39" t="n">
        <x:v>-0.0273578483</x:v>
      </x:c>
      <x:c r="N56" s="39" t="n">
        <x:v>0.1247713951</x:v>
      </x:c>
      <x:c r="O56" s="39" t="n">
        <x:v>-0.018429839</x:v>
      </x:c>
      <x:c r="P56" s="39" t="n">
        <x:v>0.0519501237</x:v>
      </x:c>
      <x:c r="Q56" s="39" t="n">
        <x:v>-0.0453721984</x:v>
      </x:c>
      <x:c r="R56" s="39" t="n">
        <x:v>0.0846565247</x:v>
      </x:c>
      <x:c r="S56" s="39" t="n">
        <x:v>0.0205671709</x:v>
      </x:c>
      <x:c r="T56" s="39" t="n">
        <x:v>-0.1879557511</x:v>
      </x:c>
      <x:c r="U56" s="39" t="n">
        <x:v>0.477316092</x:v>
      </x:c>
      <x:c r="V56" s="39" t="n">
        <x:v>-0.0837873488</x:v>
      </x:c>
      <x:c r="W56" s="39" t="n">
        <x:v>0.1560556047</x:v>
      </x:c>
      <x:c r="X56" s="39" t="n">
        <x:v>-0.0008560548</x:v>
      </x:c>
      <x:c r="Y56" s="39" t="n">
        <x:v>0.1321071794</x:v>
      </x:c>
      <x:c r="Z56" s="39" t="n">
        <x:v>-0.0194842118</x:v>
      </x:c>
      <x:c r="AA56" s="39" t="n">
        <x:v>-0.0220102734</x:v>
      </x:c>
      <x:c r="AB56" s="39" t="n">
        <x:v>-0.0600029241</x:v>
      </x:c>
      <x:c r="AC56" s="39" t="n">
        <x:v>-0.0051712307</x:v>
      </x:c>
      <x:c r="AD56" s="39" t="n">
        <x:v>0.0272210292</x:v>
      </x:c>
      <x:c r="AE56" s="39" t="n">
        <x:v>-0.042294986</x:v>
      </x:c>
      <x:c r="AF56" s="39" t="n">
        <x:v>0.0767250558</x:v>
      </x:c>
      <x:c r="AG56" s="39" t="n">
        <x:v>0.0470151123</x:v>
      </x:c>
      <x:c r="AH56" s="39" t="n">
        <x:v>-0.0857700076</x:v>
      </x:c>
      <x:c r="AI56" s="39" t="n">
        <x:v>0.0609172445</x:v>
      </x:c>
      <x:c r="AJ56" s="39" t="n">
        <x:v>0.1075201435</x:v>
      </x:c>
      <x:c r="AK56" s="39" t="n">
        <x:v>0.0804302776</x:v>
      </x:c>
      <x:c r="AL56" s="39" t="n">
        <x:v>0.0586969238</x:v>
      </x:c>
      <x:c r="AM56" s="39" t="n">
        <x:v>0.0647182623</x:v>
      </x:c>
      <x:c r="AN56" s="39" t="n">
        <x:v>0.0192830449</x:v>
      </x:c>
      <x:c r="AO56" s="39" t="n">
        <x:v>0.1152906041</x:v>
      </x:c>
      <x:c r="AP56" s="39" t="n">
        <x:v>-0.0333022724</x:v>
      </x:c>
      <x:c r="AQ56" s="39" t="n">
        <x:v>0.0046238844</x:v>
      </x:c>
      <x:c r="AR56" s="39" t="n">
        <x:v>0.0150899549</x:v>
      </x:c>
      <x:c r="AS56" s="39" t="n">
        <x:v>0.0144351903</x:v>
      </x:c>
    </x:row>
    <x:row r="57" ht="19" customHeight="1">
      <x:c r="A57" s="30" t="str">
        <x:v>Original</x:v>
      </x:c>
      <x:c r="B57" s="40" t="d">
        <x:v>2024-06-17T00:00:00.000Z</x:v>
      </x:c>
      <x:c r="C57" s="39" t="n">
        <x:v>-0.1774972405</x:v>
      </x:c>
      <x:c r="D57" s="39" t="n">
        <x:v>-0.0425999075</x:v>
      </x:c>
      <x:c r="E57" s="39" t="n">
        <x:v>-0.0243458011</x:v>
      </x:c>
      <x:c r="F57" s="39" t="n">
        <x:v>-0.0345786786</x:v>
      </x:c>
      <x:c r="G57" s="39" t="n">
        <x:v>0.0055788157</x:v>
      </x:c>
      <x:c r="H57" s="39" t="n">
        <x:v>0.0206489598</x:v>
      </x:c>
      <x:c r="I57" s="39" t="n">
        <x:v>0.0502786594</x:v>
      </x:c>
      <x:c r="J57" s="39" t="n">
        <x:v>-0.0881848248</x:v>
      </x:c>
      <x:c r="K57" s="39" t="n">
        <x:v>0.1080418907</x:v>
      </x:c>
      <x:c r="L57" s="39" t="n">
        <x:v>-0.0795153878</x:v>
      </x:c>
      <x:c r="M57" s="39" t="n">
        <x:v>-0.0652171628</x:v>
      </x:c>
      <x:c r="N57" s="39" t="n">
        <x:v>-0.14755019</x:v>
      </x:c>
      <x:c r="O57" s="39" t="n">
        <x:v>0.0013699584</x:v>
      </x:c>
      <x:c r="P57" s="39" t="n">
        <x:v>0.014229149</x:v>
      </x:c>
      <x:c r="Q57" s="39" t="n">
        <x:v>-0.0221240786</x:v>
      </x:c>
      <x:c r="R57" s="39" t="n">
        <x:v>-0.0742634169</x:v>
      </x:c>
      <x:c r="S57" s="39" t="n">
        <x:v>-0.1051349246</x:v>
      </x:c>
      <x:c r="T57" s="39" t="n">
        <x:v>0.0550264692</x:v>
      </x:c>
      <x:c r="U57" s="39" t="n">
        <x:v>-0.2480755174</x:v>
      </x:c>
      <x:c r="V57" s="39" t="n">
        <x:v>0.0213603593</x:v>
      </x:c>
      <x:c r="W57" s="39" t="n">
        <x:v>0.065943326</x:v>
      </x:c>
      <x:c r="X57" s="39" t="n">
        <x:v>-0.0017387066</x:v>
      </x:c>
      <x:c r="Y57" s="39" t="n">
        <x:v>0.0834131341</x:v>
      </x:c>
      <x:c r="Z57" s="39" t="n">
        <x:v>0.0140982018</x:v>
      </x:c>
      <x:c r="AA57" s="39" t="n">
        <x:v>0.0285280319</x:v>
      </x:c>
      <x:c r="AB57" s="39" t="n">
        <x:v>0.0356350302</x:v>
      </x:c>
      <x:c r="AC57" s="39" t="n">
        <x:v>-0.084870529</x:v>
      </x:c>
      <x:c r="AD57" s="39" t="n">
        <x:v>0.0196033496</x:v>
      </x:c>
      <x:c r="AE57" s="39" t="n">
        <x:v>-0.0297598191</x:v>
      </x:c>
      <x:c r="AF57" s="39" t="n">
        <x:v>0.1493465005</x:v>
      </x:c>
      <x:c r="AG57" s="39" t="n">
        <x:v>0.0129686511</x:v>
      </x:c>
      <x:c r="AH57" s="39" t="n">
        <x:v>-0.0264237956</x:v>
      </x:c>
      <x:c r="AI57" s="39" t="n">
        <x:v>-0.0349534401</x:v>
      </x:c>
      <x:c r="AJ57" s="39" t="n">
        <x:v>0.1009525119</x:v>
      </x:c>
      <x:c r="AK57" s="39" t="n">
        <x:v>0.0159272682</x:v>
      </x:c>
      <x:c r="AL57" s="39" t="n">
        <x:v>-0.0503957729</x:v>
      </x:c>
      <x:c r="AM57" s="39" t="n">
        <x:v>0.0497722173</x:v>
      </x:c>
      <x:c r="AN57" s="39" t="n">
        <x:v>0.0304842865</x:v>
      </x:c>
      <x:c r="AO57" s="39" t="n">
        <x:v>0.0519414086</x:v>
      </x:c>
      <x:c r="AP57" s="39" t="n">
        <x:v>0.1084277952</x:v>
      </x:c>
      <x:c r="AQ57" s="39" t="n">
        <x:v>0.0223992991</x:v>
      </x:c>
      <x:c r="AR57" s="39" t="n">
        <x:v>0.0134342839</x:v>
      </x:c>
      <x:c r="AS57" s="39" t="n">
        <x:v>0.0060369965</x:v>
      </x:c>
    </x:row>
    <x:row r="58" ht="19" customHeight="1">
      <x:c r="A58" s="30" t="str">
        <x:v>Original</x:v>
      </x:c>
      <x:c r="B58" s="40" t="d">
        <x:v>2024-07-15T00:00:00.000Z</x:v>
      </x:c>
      <x:c r="C58" s="39" t="n">
        <x:v>-0.1441872539</x:v>
      </x:c>
      <x:c r="D58" s="39" t="n">
        <x:v>0.1381867874</x:v>
      </x:c>
      <x:c r="E58" s="39" t="n">
        <x:v>0.0765317938</x:v>
      </x:c>
      <x:c r="F58" s="39" t="n">
        <x:v>0.0488808641</x:v>
      </x:c>
      <x:c r="G58" s="39" t="n">
        <x:v>-0.0694653429</x:v>
      </x:c>
      <x:c r="H58" s="39" t="n">
        <x:v>-0.2056739785</x:v>
      </x:c>
      <x:c r="I58" s="39" t="n">
        <x:v>-0.0361872894</x:v>
      </x:c>
      <x:c r="J58" s="39" t="n">
        <x:v>-0.0438836679</x:v>
      </x:c>
      <x:c r="K58" s="39" t="n">
        <x:v>-0.0049516625</x:v>
      </x:c>
      <x:c r="L58" s="39" t="n">
        <x:v>-0.0142544013</x:v>
      </x:c>
      <x:c r="M58" s="39" t="n">
        <x:v>-0.021409393</x:v>
      </x:c>
      <x:c r="N58" s="39" t="n">
        <x:v>-0.0112361014</x:v>
      </x:c>
      <x:c r="O58" s="39" t="n">
        <x:v>0.048250689</x:v>
      </x:c>
      <x:c r="P58" s="39" t="n">
        <x:v>-0.0925589752</x:v>
      </x:c>
      <x:c r="Q58" s="39" t="n">
        <x:v>0.0633471665</x:v>
      </x:c>
      <x:c r="R58" s="39" t="n">
        <x:v>-0.0353072348</x:v>
      </x:c>
      <x:c r="S58" s="39" t="n">
        <x:v>0.0308270724</x:v>
      </x:c>
      <x:c r="T58" s="39" t="n">
        <x:v>0.0104072234</x:v>
      </x:c>
      <x:c r="U58" s="39" t="n">
        <x:v>-0.1091090521</x:v>
      </x:c>
      <x:c r="V58" s="39" t="n">
        <x:v>0.0653274714</x:v>
      </x:c>
      <x:c r="W58" s="39" t="n">
        <x:v>-0.0905931387</x:v>
      </x:c>
      <x:c r="X58" s="39" t="n">
        <x:v>0.0553387752</x:v>
      </x:c>
      <x:c r="Y58" s="39" t="n">
        <x:v>-0.2252238926</x:v>
      </x:c>
      <x:c r="Z58" s="39" t="n">
        <x:v>0.1203151329</x:v>
      </x:c>
      <x:c r="AA58" s="39" t="n">
        <x:v>0.0542114729</x:v>
      </x:c>
      <x:c r="AB58" s="39" t="n">
        <x:v>-0.0700290779</x:v>
      </x:c>
      <x:c r="AC58" s="39" t="n">
        <x:v>0.2830942807</x:v>
      </x:c>
      <x:c r="AD58" s="39" t="n">
        <x:v>0.0047669604</x:v>
      </x:c>
      <x:c r="AE58" s="39" t="n">
        <x:v>0.1880378843</x:v>
      </x:c>
      <x:c r="AF58" s="39" t="n">
        <x:v>-0.0240579117</x:v>
      </x:c>
      <x:c r="AG58" s="39" t="n">
        <x:v>0.0197620221</x:v>
      </x:c>
      <x:c r="AH58" s="39" t="n">
        <x:v>0.0641244756</x:v>
      </x:c>
      <x:c r="AI58" s="39" t="n">
        <x:v>-0.069851317</x:v>
      </x:c>
      <x:c r="AJ58" s="39" t="n">
        <x:v>-0.0343325686</x:v>
      </x:c>
      <x:c r="AK58" s="39" t="n">
        <x:v>0.0549455621</x:v>
      </x:c>
      <x:c r="AL58" s="39" t="n">
        <x:v>-0.0092642756</x:v>
      </x:c>
      <x:c r="AM58" s="39" t="n">
        <x:v>-0.0323391886</x:v>
      </x:c>
      <x:c r="AN58" s="39" t="n">
        <x:v>-0.0124806611</x:v>
      </x:c>
      <x:c r="AO58" s="39" t="n">
        <x:v>-0.0136638752</x:v>
      </x:c>
      <x:c r="AP58" s="39" t="n">
        <x:v>0.023795895</x:v>
      </x:c>
      <x:c r="AQ58" s="39" t="n">
        <x:v>0.0445483571</x:v>
      </x:c>
      <x:c r="AR58" s="39" t="n">
        <x:v>0.0443157468</x:v>
      </x:c>
      <x:c r="AS58" s="39" t="n">
        <x:v>0.066658206</x:v>
      </x:c>
    </x:row>
    <x:row r="59" ht="19" customHeight="1">
      <x:c r="A59" s="30" t="str">
        <x:v>Original</x:v>
      </x:c>
      <x:c r="B59" s="40" t="d">
        <x:v>2024-08-12T00:00:00.000Z</x:v>
      </x:c>
      <x:c r="C59" s="39" t="n">
        <x:v>0.0424356674</x:v>
      </x:c>
      <x:c r="D59" s="39" t="n">
        <x:v>0.036792312</x:v>
      </x:c>
      <x:c r="E59" s="39" t="n">
        <x:v>0.0562501133</x:v>
      </x:c>
      <x:c r="F59" s="39" t="n">
        <x:v>0.082778378</x:v>
      </x:c>
      <x:c r="G59" s="39" t="n">
        <x:v>-0.0799297605</x:v>
      </x:c>
      <x:c r="H59" s="39" t="n">
        <x:v>-0.0231720791</x:v>
      </x:c>
      <x:c r="I59" s="39" t="n">
        <x:v>-0.0386911931</x:v>
      </x:c>
      <x:c r="J59" s="39" t="n">
        <x:v>0.0964291007</x:v>
      </x:c>
      <x:c r="K59" s="39" t="n">
        <x:v>-0.0101102506</x:v>
      </x:c>
      <x:c r="L59" s="39" t="n">
        <x:v>0.0190924039</x:v>
      </x:c>
      <x:c r="M59" s="39" t="n">
        <x:v>0.1460713242</x:v>
      </x:c>
      <x:c r="N59" s="39" t="n">
        <x:v>-0.0885121476</x:v>
      </x:c>
      <x:c r="O59" s="39" t="n">
        <x:v>0.0237722918</x:v>
      </x:c>
      <x:c r="P59" s="39" t="n">
        <x:v>-0.0990091212</x:v>
      </x:c>
      <x:c r="Q59" s="39" t="n">
        <x:v>0.0304098597</x:v>
      </x:c>
      <x:c r="R59" s="39" t="n">
        <x:v>0.1545405061</x:v>
      </x:c>
      <x:c r="S59" s="39" t="n">
        <x:v>0.0452180847</x:v>
      </x:c>
      <x:c r="T59" s="39" t="n">
        <x:v>0.053039465</x:v>
      </x:c>
      <x:c r="U59" s="39" t="n">
        <x:v>-0.3820943538</x:v>
      </x:c>
      <x:c r="V59" s="39" t="n">
        <x:v>0.2202334351</x:v>
      </x:c>
      <x:c r="W59" s="39" t="n">
        <x:v>0.0715412309</x:v>
      </x:c>
      <x:c r="X59" s="39" t="n">
        <x:v>-0.0132498801</x:v>
      </x:c>
      <x:c r="Y59" s="39" t="n">
        <x:v>-0.0647821626</x:v>
      </x:c>
      <x:c r="Z59" s="39" t="n">
        <x:v>0.0758343427</x:v>
      </x:c>
      <x:c r="AA59" s="39" t="n">
        <x:v>0.0833961913</x:v>
      </x:c>
      <x:c r="AB59" s="39" t="n">
        <x:v>-0.1252097225</x:v>
      </x:c>
      <x:c r="AC59" s="39" t="n">
        <x:v>0.3226516972</x:v>
      </x:c>
      <x:c r="AD59" s="39" t="n">
        <x:v>-0.0004784203</x:v>
      </x:c>
      <x:c r="AE59" s="39" t="n">
        <x:v>-0.3097397541</x:v>
      </x:c>
      <x:c r="AF59" s="39" t="n">
        <x:v>-0.1062110854</x:v>
      </x:c>
      <x:c r="AG59" s="39" t="n">
        <x:v>0.0020425906</x:v>
      </x:c>
      <x:c r="AH59" s="39" t="n">
        <x:v>0.0307405952</x:v>
      </x:c>
      <x:c r="AI59" s="39" t="n">
        <x:v>-0.0230999894</x:v>
      </x:c>
      <x:c r="AJ59" s="39" t="n">
        <x:v>0.0850387321</x:v>
      </x:c>
      <x:c r="AK59" s="39" t="n">
        <x:v>0.0940892737</x:v>
      </x:c>
      <x:c r="AL59" s="39" t="n">
        <x:v>0.1263898277</x:v>
      </x:c>
      <x:c r="AM59" s="39" t="n">
        <x:v>-0.0479557355</x:v>
      </x:c>
      <x:c r="AN59" s="39" t="n">
        <x:v>-0.0991358257</x:v>
      </x:c>
      <x:c r="AO59" s="39" t="n">
        <x:v>0.0452486747</x:v>
      </x:c>
      <x:c r="AP59" s="39" t="n">
        <x:v>-0.0041138645</x:v>
      </x:c>
      <x:c r="AQ59" s="39" t="n">
        <x:v>0.0664293378</x:v>
      </x:c>
      <x:c r="AR59" s="39" t="n">
        <x:v>0.0343560634</x:v>
      </x:c>
      <x:c r="AS59" s="39" t="n">
        <x:v>0.0262233043</x:v>
      </x:c>
    </x:row>
    <x:row r="60" ht="19" customHeight="1">
      <x:c r="A60" s="30" t="str">
        <x:v>Original</x:v>
      </x:c>
      <x:c r="B60" s="40" t="d">
        <x:v>2024-09-09T00:00:00.000Z</x:v>
      </x:c>
      <x:c r="C60" s="39" t="n">
        <x:v>0.0875815923</x:v>
      </x:c>
      <x:c r="D60" s="39" t="n">
        <x:v>-0.0572900424</x:v>
      </x:c>
      <x:c r="E60" s="39" t="n">
        <x:v>0.0837391279</x:v>
      </x:c>
      <x:c r="F60" s="39" t="n">
        <x:v>0.0903451188</x:v>
      </x:c>
      <x:c r="G60" s="39" t="n">
        <x:v>0.0161823844</x:v>
      </x:c>
      <x:c r="H60" s="39" t="n">
        <x:v>0.0782893926</x:v>
      </x:c>
      <x:c r="I60" s="39" t="n">
        <x:v>0.0604062481</x:v>
      </x:c>
      <x:c r="J60" s="39" t="n">
        <x:v>0.0587034623</x:v>
      </x:c>
      <x:c r="K60" s="39" t="n">
        <x:v>0.00456846</x:v>
      </x:c>
      <x:c r="L60" s="39" t="n">
        <x:v>-0.1276557691</x:v>
      </x:c>
      <x:c r="M60" s="39" t="n">
        <x:v>-0.0264655831</x:v>
      </x:c>
      <x:c r="N60" s="39" t="n">
        <x:v>-0.0009958363</x:v>
      </x:c>
      <x:c r="O60" s="39" t="n">
        <x:v>-0.0077088614</x:v>
      </x:c>
      <x:c r="P60" s="39" t="n">
        <x:v>0.0174982956</x:v>
      </x:c>
      <x:c r="Q60" s="39" t="n">
        <x:v>-0.1773591642</x:v>
      </x:c>
      <x:c r="R60" s="39" t="n">
        <x:v>0.083145805</x:v>
      </x:c>
      <x:c r="S60" s="39" t="n">
        <x:v>0.0560177484</x:v>
      </x:c>
      <x:c r="T60" s="39" t="n">
        <x:v>-0.0548291088</x:v>
      </x:c>
      <x:c r="U60" s="39" t="n">
        <x:v>-0.2799188064</x:v>
      </x:c>
      <x:c r="V60" s="39" t="n">
        <x:v>0.0182977615</x:v>
      </x:c>
      <x:c r="W60" s="39" t="n">
        <x:v>0.0390425571</x:v>
      </x:c>
      <x:c r="X60" s="39" t="n">
        <x:v>-0.0020584718</x:v>
      </x:c>
      <x:c r="Y60" s="39" t="n">
        <x:v>-0.1964659928</x:v>
      </x:c>
      <x:c r="Z60" s="39" t="n">
        <x:v>0.0840986319</x:v>
      </x:c>
      <x:c r="AA60" s="39" t="n">
        <x:v>0.0928319164</x:v>
      </x:c>
      <x:c r="AB60" s="39" t="n">
        <x:v>0.311968602</x:v>
      </x:c>
      <x:c r="AC60" s="39" t="n">
        <x:v>0.037957721</x:v>
      </x:c>
      <x:c r="AD60" s="39" t="n">
        <x:v>0.0421489722</x:v>
      </x:c>
      <x:c r="AE60" s="39" t="n">
        <x:v>0.0197689307</x:v>
      </x:c>
      <x:c r="AF60" s="39" t="n">
        <x:v>-0.0988588814</x:v>
      </x:c>
      <x:c r="AG60" s="39" t="n">
        <x:v>-0.1607932915</x:v>
      </x:c>
      <x:c r="AH60" s="39" t="n">
        <x:v>-0.0341080449</x:v>
      </x:c>
      <x:c r="AI60" s="39" t="n">
        <x:v>0.0290209355</x:v>
      </x:c>
      <x:c r="AJ60" s="39" t="n">
        <x:v>0.0020056816</x:v>
      </x:c>
      <x:c r="AK60" s="39" t="n">
        <x:v>0.1312096277</x:v>
      </x:c>
      <x:c r="AL60" s="39" t="n">
        <x:v>0.0452150768</x:v>
      </x:c>
      <x:c r="AM60" s="39" t="n">
        <x:v>0.0332377336</x:v>
      </x:c>
      <x:c r="AN60" s="39" t="n">
        <x:v>-0.0384251106</x:v>
      </x:c>
      <x:c r="AO60" s="39" t="n">
        <x:v>0.059191121</x:v>
      </x:c>
      <x:c r="AP60" s="39" t="n">
        <x:v>0.0633179919</x:v>
      </x:c>
      <x:c r="AQ60" s="39" t="n">
        <x:v>0.0448874711</x:v>
      </x:c>
      <x:c r="AR60" s="39" t="n">
        <x:v>0.0527353193</x:v>
      </x:c>
      <x:c r="AS60" s="39" t="n">
        <x:v>0.0080904611</x:v>
      </x:c>
    </x:row>
    <x:row r="61" ht="19" customHeight="1">
      <x:c r="A61" s="30" t="str">
        <x:v>Original</x:v>
      </x:c>
      <x:c r="B61" s="40" t="d">
        <x:v>2024-10-07T00:00:00.000Z</x:v>
      </x:c>
      <x:c r="C61" s="39" t="n">
        <x:v>0.4532663342</x:v>
      </x:c>
      <x:c r="D61" s="39" t="n">
        <x:v>0.0478584521</x:v>
      </x:c>
      <x:c r="E61" s="39" t="n">
        <x:v>-0.069079886</x:v>
      </x:c>
      <x:c r="F61" s="39" t="n">
        <x:v>0.0325275596</x:v>
      </x:c>
      <x:c r="G61" s="39" t="n">
        <x:v>0.0457800302</x:v>
      </x:c>
      <x:c r="H61" s="39" t="n">
        <x:v>0.0520622051</x:v>
      </x:c>
      <x:c r="I61" s="39" t="n">
        <x:v>0.01465991</x:v>
      </x:c>
      <x:c r="J61" s="39" t="n">
        <x:v>0.2107092553</x:v>
      </x:c>
      <x:c r="K61" s="39" t="n">
        <x:v>0.0935219972</x:v>
      </x:c>
      <x:c r="L61" s="39" t="n">
        <x:v>0.0689989253</x:v>
      </x:c>
      <x:c r="M61" s="39" t="n">
        <x:v>0.1225899876</x:v>
      </x:c>
      <x:c r="N61" s="39" t="n">
        <x:v>0.0701311523</x:v>
      </x:c>
      <x:c r="O61" s="39" t="n">
        <x:v>0.0166493824</x:v>
      </x:c>
      <x:c r="P61" s="39" t="n">
        <x:v>-0.002544963</x:v>
      </x:c>
      <x:c r="Q61" s="39" t="n">
        <x:v>0.091895992</x:v>
      </x:c>
      <x:c r="R61" s="39" t="n">
        <x:v>0.101755655</x:v>
      </x:c>
      <x:c r="S61" s="39" t="n">
        <x:v>0.0254601056</x:v>
      </x:c>
      <x:c r="T61" s="39" t="n">
        <x:v>0.2047241152</x:v>
      </x:c>
      <x:c r="U61" s="39" t="n">
        <x:v>-0.1867663018</x:v>
      </x:c>
      <x:c r="V61" s="39" t="n">
        <x:v>0.1607553618</x:v>
      </x:c>
      <x:c r="W61" s="39" t="n">
        <x:v>0.0427960956</x:v>
      </x:c>
      <x:c r="X61" s="39" t="n">
        <x:v>0.0587851142</x:v>
      </x:c>
      <x:c r="Y61" s="39" t="n">
        <x:v>0.1888274378</x:v>
      </x:c>
      <x:c r="Z61" s="39" t="n">
        <x:v>0.0128988831</x:v>
      </x:c>
      <x:c r="AA61" s="39" t="n">
        <x:v>-0.005884793</x:v>
      </x:c>
      <x:c r="AB61" s="39" t="n">
        <x:v>0.0533283537</x:v>
      </x:c>
      <x:c r="AC61" s="39" t="n">
        <x:v>0.2505361613</x:v>
      </x:c>
      <x:c r="AD61" s="39" t="n">
        <x:v>-0.0204555989</x:v>
      </x:c>
      <x:c r="AE61" s="39" t="n">
        <x:v>0.0033089085</x:v>
      </x:c>
      <x:c r="AF61" s="39" t="n">
        <x:v>0.2288314718</x:v>
      </x:c>
      <x:c r="AG61" s="39" t="n">
        <x:v>-0.0441187776</x:v>
      </x:c>
      <x:c r="AH61" s="39" t="n">
        <x:v>-0.0097909316</x:v>
      </x:c>
      <x:c r="AI61" s="39" t="n">
        <x:v>0.1149870359</x:v>
      </x:c>
      <x:c r="AJ61" s="39" t="n">
        <x:v>0.0106247272</x:v>
      </x:c>
      <x:c r="AK61" s="39" t="n">
        <x:v>-0.0423350847</x:v>
      </x:c>
      <x:c r="AL61" s="39" t="n">
        <x:v>0.0441425881</x:v>
      </x:c>
      <x:c r="AM61" s="39" t="n">
        <x:v>-0.0397911846</x:v>
      </x:c>
      <x:c r="AN61" s="39" t="n">
        <x:v>0.042563358</x:v>
      </x:c>
      <x:c r="AO61" s="39" t="n">
        <x:v>-0.035284921</x:v>
      </x:c>
      <x:c r="AP61" s="39" t="n">
        <x:v>0.0952045258</x:v>
      </x:c>
      <x:c r="AQ61" s="39" t="n">
        <x:v>-0.030821026</x:v>
      </x:c>
      <x:c r="AR61" s="39" t="n">
        <x:v>-0.0293216618</x:v>
      </x:c>
      <x:c r="AS61" s="39" t="n">
        <x:v>0.0327761941</x:v>
      </x:c>
    </x:row>
    <x:row r="62" ht="19" customHeight="1">
      <x:c r="A62" s="30" t="str">
        <x:v>Original</x:v>
      </x:c>
      <x:c r="B62" s="40" t="d">
        <x:v>2024-11-04T00:00:00.000Z</x:v>
      </x:c>
      <x:c r="C62" s="39" t="n">
        <x:v>0.1490706633</x:v>
      </x:c>
      <x:c r="D62" s="39" t="n">
        <x:v>-0.0422363323</x:v>
      </x:c>
      <x:c r="E62" s="39" t="n">
        <x:v>-0.0111455082</x:v>
      </x:c>
      <x:c r="F62" s="39" t="n">
        <x:v>0.1573032157</x:v>
      </x:c>
      <x:c r="G62" s="39" t="n">
        <x:v>0.0606442126</x:v>
      </x:c>
      <x:c r="H62" s="39" t="n">
        <x:v>0.0032622146</x:v>
      </x:c>
      <x:c r="I62" s="39" t="n">
        <x:v>0.1168804394</x:v>
      </x:c>
      <x:c r="J62" s="39" t="n">
        <x:v>0.1266926021</x:v>
      </x:c>
      <x:c r="K62" s="39" t="n">
        <x:v>-0.0561462968</x:v>
      </x:c>
      <x:c r="L62" s="39" t="n">
        <x:v>-0.0484996258</x:v>
      </x:c>
      <x:c r="M62" s="39" t="n">
        <x:v>-0.0572578386</x:v>
      </x:c>
      <x:c r="N62" s="39" t="n">
        <x:v>-0.0179551</x:v>
      </x:c>
      <x:c r="O62" s="39" t="n">
        <x:v>0.0409640637</x:v>
      </x:c>
      <x:c r="P62" s="39" t="n">
        <x:v>0.0842621001</x:v>
      </x:c>
      <x:c r="Q62" s="39" t="n">
        <x:v>-0.0429458063</x:v>
      </x:c>
      <x:c r="R62" s="39" t="n">
        <x:v>-0.1588063417</x:v>
      </x:c>
      <x:c r="S62" s="39" t="n">
        <x:v>0.021091818</x:v>
      </x:c>
      <x:c r="T62" s="39" t="n">
        <x:v>-0.0287834534</x:v>
      </x:c>
      <x:c r="U62" s="39" t="n">
        <x:v>-0.2621267668</x:v>
      </x:c>
      <x:c r="V62" s="39" t="n">
        <x:v>0.3914608248</x:v>
      </x:c>
      <x:c r="W62" s="39" t="n">
        <x:v>0.1140842444</x:v>
      </x:c>
      <x:c r="X62" s="39" t="n">
        <x:v>0.0745386502</x:v>
      </x:c>
      <x:c r="Y62" s="39" t="n">
        <x:v>0.0545130426</x:v>
      </x:c>
      <x:c r="Z62" s="39" t="n">
        <x:v>-0.2238886542</x:v>
      </x:c>
      <x:c r="AA62" s="39" t="n">
        <x:v>0.0345130241</x:v>
      </x:c>
      <x:c r="AB62" s="39" t="n">
        <x:v>0.0290742273</x:v>
      </x:c>
      <x:c r="AC62" s="39" t="n">
        <x:v>0.6512574116</x:v>
      </x:c>
      <x:c r="AD62" s="39" t="n">
        <x:v>-0.0168732248</x:v>
      </x:c>
      <x:c r="AE62" s="39" t="n">
        <x:v>0.0437644624</x:v>
      </x:c>
      <x:c r="AF62" s="39" t="n">
        <x:v>0.0768461422</x:v>
      </x:c>
      <x:c r="AG62" s="39" t="n">
        <x:v>0.0052216442</x:v>
      </x:c>
      <x:c r="AH62" s="39" t="n">
        <x:v>-0.2955311892</x:v>
      </x:c>
      <x:c r="AI62" s="39" t="n">
        <x:v>-0.1513975276</x:v>
      </x:c>
      <x:c r="AJ62" s="39" t="n">
        <x:v>-0.1366488016</x:v>
      </x:c>
      <x:c r="AK62" s="39" t="n">
        <x:v>0.118485499</x:v>
      </x:c>
      <x:c r="AL62" s="39" t="n">
        <x:v>0.059354992</x:v>
      </x:c>
      <x:c r="AM62" s="39" t="n">
        <x:v>0.0177578671</x:v>
      </x:c>
      <x:c r="AN62" s="39" t="n">
        <x:v>0.1060047048</x:v>
      </x:c>
      <x:c r="AO62" s="39" t="n">
        <x:v>0.0731768811</x:v>
      </x:c>
      <x:c r="AP62" s="39" t="n">
        <x:v>-0.0175709363</x:v>
      </x:c>
      <x:c r="AQ62" s="39" t="n">
        <x:v>-0.1014241351</x:v>
      </x:c>
      <x:c r="AR62" s="39" t="n">
        <x:v>-0.0452687556</x:v>
      </x:c>
      <x:c r="AS62" s="39" t="n">
        <x:v>0.0082974137</x:v>
      </x:c>
    </x:row>
    <x:row r="63" ht="19" customHeight="1">
      <x:c r="A63" s="30" t="str">
        <x:v>Original</x:v>
      </x:c>
      <x:c r="B63" s="40" t="d">
        <x:v>2024-12-02T00:00:00.000Z</x:v>
      </x:c>
      <x:c r="C63" s="39" t="n">
        <x:v>0.145643113</x:v>
      </x:c>
      <x:c r="D63" s="39" t="n">
        <x:v>0.1828642773</x:v>
      </x:c>
      <x:c r="E63" s="39" t="n">
        <x:v>-0.0069486324</x:v>
      </x:c>
      <x:c r="F63" s="39" t="n">
        <x:v>0.0306564655</x:v>
      </x:c>
      <x:c r="G63" s="39" t="n">
        <x:v>0.199826129</x:v>
      </x:c>
      <x:c r="H63" s="39" t="n">
        <x:v>0.1289860156</x:v>
      </x:c>
      <x:c r="I63" s="39" t="n">
        <x:v>0.105266508</x:v>
      </x:c>
      <x:c r="J63" s="39" t="n">
        <x:v>0.0894795271</x:v>
      </x:c>
      <x:c r="K63" s="39" t="n">
        <x:v>-0.0749366343</x:v>
      </x:c>
      <x:c r="L63" s="39" t="n">
        <x:v>-0.0376396998</x:v>
      </x:c>
      <x:c r="M63" s="39" t="n">
        <x:v>0.0738556799</x:v>
      </x:c>
      <x:c r="N63" s="39" t="n">
        <x:v>-0.0098417118</x:v>
      </x:c>
      <x:c r="O63" s="39" t="n">
        <x:v>0.0352941855</x:v>
      </x:c>
      <x:c r="P63" s="39" t="n">
        <x:v>0.0252083045</x:v>
      </x:c>
      <x:c r="Q63" s="39" t="n">
        <x:v>0.0818650965</x:v>
      </x:c>
      <x:c r="R63" s="39" t="n">
        <x:v>0.0515677147</x:v>
      </x:c>
      <x:c r="S63" s="39" t="n">
        <x:v>0.0716797275</x:v>
      </x:c>
      <x:c r="T63" s="39" t="n">
        <x:v>0.2591987038</x:v>
      </x:c>
      <x:c r="U63" s="39" t="n">
        <x:v>-0.0636173406</x:v>
      </x:c>
      <x:c r="V63" s="39" t="n">
        <x:v>0.1592403213</x:v>
      </x:c>
      <x:c r="W63" s="39" t="n">
        <x:v>0.196588571</x:v>
      </x:c>
      <x:c r="X63" s="39" t="n">
        <x:v>-0.021203712</x:v>
      </x:c>
      <x:c r="Y63" s="39" t="n">
        <x:v>-0.1224195885</x:v>
      </x:c>
      <x:c r="Z63" s="39" t="n">
        <x:v>-0.1036705042</x:v>
      </x:c>
      <x:c r="AA63" s="39" t="n">
        <x:v>-0.0327586547</x:v>
      </x:c>
      <x:c r="AB63" s="39" t="n">
        <x:v>-0.2792153847</x:v>
      </x:c>
      <x:c r="AC63" s="39" t="n">
        <x:v>-0.0589827864</x:v>
      </x:c>
      <x:c r="AD63" s="39" t="n">
        <x:v>0.0434573879</x:v>
      </x:c>
      <x:c r="AE63" s="39" t="n">
        <x:v>-0.0520229978</x:v>
      </x:c>
      <x:c r="AF63" s="39" t="n">
        <x:v>0.1009314758</x:v>
      </x:c>
      <x:c r="AG63" s="39" t="n">
        <x:v>0.0178825154</x:v>
      </x:c>
      <x:c r="AH63" s="39" t="n">
        <x:v>-0.0832611508</x:v>
      </x:c>
      <x:c r="AI63" s="39" t="n">
        <x:v>-0.0793690086</x:v>
      </x:c>
      <x:c r="AJ63" s="39" t="n">
        <x:v>-0.0050648751</x:v>
      </x:c>
      <x:c r="AK63" s="39" t="n">
        <x:v>-0.0555536002</x:v>
      </x:c>
      <x:c r="AL63" s="39" t="n">
        <x:v>-0.0856959732</x:v>
      </x:c>
      <x:c r="AM63" s="39" t="n">
        <x:v>0.0614155274</x:v>
      </x:c>
      <x:c r="AN63" s="39" t="n">
        <x:v>-0.0250421203</x:v>
      </x:c>
      <x:c r="AO63" s="39" t="n">
        <x:v>0.0612363493</x:v>
      </x:c>
      <x:c r="AP63" s="39" t="n">
        <x:v>0.0802884988</x:v>
      </x:c>
      <x:c r="AQ63" s="39" t="n">
        <x:v>-0.0175241795</x:v>
      </x:c>
      <x:c r="AR63" s="39" t="n">
        <x:v>-0.0393917829</x:v>
      </x:c>
      <x:c r="AS63" s="39" t="n">
        <x:v>0.0184397535</x:v>
      </x:c>
    </x:row>
    <x:row r="64" ht="19" customHeight="1">
      <x:c r="A64" s="30" t="str">
        <x:v>Original</x:v>
      </x:c>
      <x:c r="B64" s="40" t="d">
        <x:v>2024-12-30T00:00:00.000Z</x:v>
      </x:c>
      <x:c r="C64" s="39" t="n">
        <x:v>0.0201833873</x:v>
      </x:c>
      <x:c r="D64" s="39" t="n">
        <x:v>-0.0269870268</x:v>
      </x:c>
      <x:c r="E64" s="39" t="n">
        <x:v>-0.0498247688</x:v>
      </x:c>
      <x:c r="F64" s="39" t="n">
        <x:v>0.0145417574</x:v>
      </x:c>
      <x:c r="G64" s="39" t="n">
        <x:v>-0.0547750951</x:v>
      </x:c>
      <x:c r="H64" s="39" t="n">
        <x:v>-0.1123174597</x:v>
      </x:c>
      <x:c r="I64" s="39" t="n">
        <x:v>-0.015504724</x:v>
      </x:c>
      <x:c r="J64" s="39" t="n">
        <x:v>-0.1263334547</x:v>
      </x:c>
      <x:c r="K64" s="39" t="n">
        <x:v>-0.1138524532</x:v>
      </x:c>
      <x:c r="L64" s="39" t="n">
        <x:v>-0.0699383844</x:v>
      </x:c>
      <x:c r="M64" s="39" t="n">
        <x:v>0.0009745108</x:v>
      </x:c>
      <x:c r="N64" s="39" t="n">
        <x:v>-0.0134493932</x:v>
      </x:c>
      <x:c r="O64" s="39" t="n">
        <x:v>-0.1137133124</x:v>
      </x:c>
      <x:c r="P64" s="39" t="n">
        <x:v>-0.1277122364</x:v>
      </x:c>
      <x:c r="Q64" s="39" t="n">
        <x:v>0.0666910903</x:v>
      </x:c>
      <x:c r="R64" s="39" t="n">
        <x:v>-0.1446113991</x:v>
      </x:c>
      <x:c r="S64" s="39" t="n">
        <x:v>0.0002448284</x:v>
      </x:c>
      <x:c r="T64" s="39" t="n">
        <x:v>0.0191499644</x:v>
      </x:c>
      <x:c r="U64" s="39" t="n">
        <x:v>-0.0642861455</x:v>
      </x:c>
      <x:c r="V64" s="39" t="n">
        <x:v>-0.1658379577</x:v>
      </x:c>
      <x:c r="W64" s="39" t="n">
        <x:v>-0.0728589504</x:v>
      </x:c>
      <x:c r="X64" s="39" t="n">
        <x:v>-0.167285017</x:v>
      </x:c>
      <x:c r="Y64" s="39" t="n">
        <x:v>-0.1442788074</x:v>
      </x:c>
      <x:c r="Z64" s="39" t="n">
        <x:v>-0.0933303113</x:v>
      </x:c>
      <x:c r="AA64" s="39" t="n">
        <x:v>-0.0612025311</x:v>
      </x:c>
      <x:c r="AB64" s="39" t="n">
        <x:v>-0.022869397</x:v>
      </x:c>
      <x:c r="AC64" s="39" t="n">
        <x:v>-0.2287837283</x:v>
      </x:c>
      <x:c r="AD64" s="39" t="n">
        <x:v>-0.0631696519</x:v>
      </x:c>
      <x:c r="AE64" s="39" t="n">
        <x:v>-0.0761358315</x:v>
      </x:c>
      <x:c r="AF64" s="39" t="n">
        <x:v>-0.1070318533</x:v>
      </x:c>
      <x:c r="AG64" s="39" t="n">
        <x:v>0.1215819783</x:v>
      </x:c>
      <x:c r="AH64" s="39" t="n">
        <x:v>0.0008516519</x:v>
      </x:c>
      <x:c r="AI64" s="39" t="n">
        <x:v>-0.1234768408</x:v>
      </x:c>
      <x:c r="AJ64" s="39" t="n">
        <x:v>-0.0685121992</x:v>
      </x:c>
      <x:c r="AK64" s="39" t="n">
        <x:v>-0.0531659616</x:v>
      </x:c>
      <x:c r="AL64" s="39" t="n">
        <x:v>0.0678163629</x:v>
      </x:c>
      <x:c r="AM64" s="39" t="n">
        <x:v>-0.057465775</x:v>
      </x:c>
      <x:c r="AN64" s="39" t="n">
        <x:v>0.1162940085</x:v>
      </x:c>
      <x:c r="AO64" s="39" t="n">
        <x:v>-0.0981509447</x:v>
      </x:c>
      <x:c r="AP64" s="39" t="n">
        <x:v>-0.1267699825</x:v>
      </x:c>
      <x:c r="AQ64" s="39" t="n">
        <x:v>-0.015460551</x:v>
      </x:c>
      <x:c r="AR64" s="39" t="n">
        <x:v>-0.0429768267</x:v>
      </x:c>
      <x:c r="AS64" s="39" t="n">
        <x:v>-0.0451638363</x:v>
      </x:c>
    </x:row>
    <x:row r="65" ht="19" customHeight="1">
      <x:c r="A65" s="30" t="str">
        <x:v>Original</x:v>
      </x:c>
      <x:c r="B65" s="40" t="d">
        <x:v>2025-01-27T00:00:00.000Z</x:v>
      </x:c>
      <x:c r="C65" s="39" t="n">
        <x:v>0.0428795193</x:v>
      </x:c>
      <x:c r="D65" s="39" t="n">
        <x:v>-0.0050835147</x:v>
      </x:c>
      <x:c r="E65" s="39" t="n">
        <x:v>0.0828228407</x:v>
      </x:c>
      <x:c r="F65" s="39" t="n">
        <x:v>0.0696980512</x:v>
      </x:c>
      <x:c r="G65" s="39" t="n">
        <x:v>0.0211710296</x:v>
      </x:c>
      <x:c r="H65" s="39" t="n">
        <x:v>-0.0285719185</x:v>
      </x:c>
      <x:c r="I65" s="39" t="n">
        <x:v>0.0729906749</x:v>
      </x:c>
      <x:c r="J65" s="39" t="n">
        <x:v>-0.0333020262</x:v>
      </x:c>
      <x:c r="K65" s="39" t="n">
        <x:v>0.0971491499</x:v>
      </x:c>
      <x:c r="L65" s="39" t="n">
        <x:v>0.0950712859</x:v>
      </x:c>
      <x:c r="M65" s="39" t="n">
        <x:v>0.0511574144</x:v>
      </x:c>
      <x:c r="N65" s="39" t="n">
        <x:v>0.1218927545</x:v>
      </x:c>
      <x:c r="O65" s="39" t="n">
        <x:v>0.1576476641</x:v>
      </x:c>
      <x:c r="P65" s="39" t="n">
        <x:v>0.0204979009</x:v>
      </x:c>
      <x:c r="Q65" s="39" t="n">
        <x:v>-0.0898115242</x:v>
      </x:c>
      <x:c r="R65" s="39" t="n">
        <x:v>0.1867518194</x:v>
      </x:c>
      <x:c r="S65" s="39" t="n">
        <x:v>0.021414035</x:v>
      </x:c>
      <x:c r="T65" s="39" t="n">
        <x:v>0.2343025772</x:v>
      </x:c>
      <x:c r="U65" s="39" t="n">
        <x:v>-0.0845350705</x:v>
      </x:c>
      <x:c r="V65" s="39" t="n">
        <x:v>0.1019646312</x:v>
      </x:c>
      <x:c r="W65" s="39" t="n">
        <x:v>0.128822754</x:v>
      </x:c>
      <x:c r="X65" s="39" t="n">
        <x:v>-0.1301399023</x:v>
      </x:c>
      <x:c r="Y65" s="39" t="n">
        <x:v>0.0188989376</x:v>
      </x:c>
      <x:c r="Z65" s="39" t="n">
        <x:v>0.142643389</x:v>
      </x:c>
      <x:c r="AA65" s="39" t="n">
        <x:v>0.0453909945</x:v>
      </x:c>
      <x:c r="AB65" s="39" t="n">
        <x:v>-0.5452064138</x:v>
      </x:c>
      <x:c r="AC65" s="39" t="n">
        <x:v>0.0128966789</x:v>
      </x:c>
      <x:c r="AD65" s="39" t="n">
        <x:v>0.0140827853</x:v>
      </x:c>
      <x:c r="AE65" s="39" t="n">
        <x:v>0.0250342509</x:v>
      </x:c>
      <x:c r="AF65" s="39" t="n">
        <x:v>-0.0365979481</x:v>
      </x:c>
      <x:c r="AG65" s="39" t="n">
        <x:v>0.047748589</x:v>
      </x:c>
      <x:c r="AH65" s="39" t="n">
        <x:v>0.0595295672</x:v>
      </x:c>
      <x:c r="AI65" s="39" t="n">
        <x:v>-0.0975731981</x:v>
      </x:c>
      <x:c r="AJ65" s="39" t="n">
        <x:v>0.0456417036</x:v>
      </x:c>
      <x:c r="AK65" s="39" t="n">
        <x:v>0.1015897426</x:v>
      </x:c>
      <x:c r="AL65" s="39" t="n">
        <x:v>0.0330197486</x:v>
      </x:c>
      <x:c r="AM65" s="39" t="n">
        <x:v>-0.024703866</x:v>
      </x:c>
      <x:c r="AN65" s="39" t="n">
        <x:v>0.0772201712</x:v>
      </x:c>
      <x:c r="AO65" s="39" t="n">
        <x:v>0.0834206066</x:v>
      </x:c>
      <x:c r="AP65" s="39" t="n">
        <x:v>0.0711189905</x:v>
      </x:c>
      <x:c r="AQ65" s="39" t="n">
        <x:v>0.0345155712</x:v>
      </x:c>
      <x:c r="AR65" s="39" t="n">
        <x:v>0.0671241245</x:v>
      </x:c>
      <x:c r="AS65" s="39" t="n">
        <x:v>0.0409370448</x:v>
      </x:c>
    </x:row>
    <x:row r="66" ht="19" customHeight="1">
      <x:c r="A66" s="30" t="str">
        <x:v>Original</x:v>
      </x:c>
      <x:c r="B66" s="40" t="d">
        <x:v>2025-02-24T00:00:00.000Z</x:v>
      </x:c>
      <x:c r="C66" s="39" t="n">
        <x:v>-0.2899232366</x:v>
      </x:c>
      <x:c r="D66" s="39" t="n">
        <x:v>-0.0767178023</x:v>
      </x:c>
      <x:c r="E66" s="39" t="n">
        <x:v>0.1071643417</x:v>
      </x:c>
      <x:c r="F66" s="39" t="n">
        <x:v>0.1030463009</x:v>
      </x:c>
      <x:c r="G66" s="39" t="n">
        <x:v>0.0082651546</x:v>
      </x:c>
      <x:c r="H66" s="39" t="n">
        <x:v>-0.0988580563</x:v>
      </x:c>
      <x:c r="I66" s="39" t="n">
        <x:v>-0.1431847245</x:v>
      </x:c>
      <x:c r="J66" s="39" t="n">
        <x:v>-0.2331734418</x:v>
      </x:c>
      <x:c r="K66" s="39" t="n">
        <x:v>0.0709454702</x:v>
      </x:c>
      <x:c r="L66" s="39" t="n">
        <x:v>-0.0218098367</x:v>
      </x:c>
      <x:c r="M66" s="39" t="n">
        <x:v>-0.1561028139</x:v>
      </x:c>
      <x:c r="N66" s="39" t="n">
        <x:v>0.0177874384</x:v>
      </x:c>
      <x:c r="O66" s="39" t="n">
        <x:v>-0.0161941939</x:v>
      </x:c>
      <x:c r="P66" s="39" t="n">
        <x:v>-0.0077188365</x:v>
      </x:c>
      <x:c r="Q66" s="39" t="n">
        <x:v>0.2292704415</x:v>
      </x:c>
      <x:c r="R66" s="39" t="n">
        <x:v>0.0411672056</x:v>
      </x:c>
      <x:c r="S66" s="39" t="n">
        <x:v>0.0891846746</x:v>
      </x:c>
      <x:c r="T66" s="39" t="n">
        <x:v>0.0616383536</x:v>
      </x:c>
      <x:c r="U66" s="39" t="n">
        <x:v>-0.306056108</x:v>
      </x:c>
      <x:c r="V66" s="39" t="n">
        <x:v>-0.2665224162</x:v>
      </x:c>
      <x:c r="W66" s="39" t="n">
        <x:v>0.0049191969</x:v>
      </x:c>
      <x:c r="X66" s="39" t="n">
        <x:v>0.0809171361</x:v>
      </x:c>
      <x:c r="Y66" s="39" t="n">
        <x:v>0.0327589334</x:v>
      </x:c>
      <x:c r="Z66" s="39" t="n">
        <x:v>0.003553688</x:v>
      </x:c>
      <x:c r="AA66" s="39" t="n">
        <x:v>0.170764625</x:v>
      </x:c>
      <x:c r="AB66" s="39" t="n">
        <x:v>-0.3566414444</x:v>
      </x:c>
      <x:c r="AC66" s="39" t="n">
        <x:v>0.037118538</x:v>
      </x:c>
      <x:c r="AD66" s="39" t="n">
        <x:v>0.0585410271</x:v>
      </x:c>
      <x:c r="AE66" s="39" t="n">
        <x:v>-0.0276882779</x:v>
      </x:c>
      <x:c r="AF66" s="39" t="n">
        <x:v>-0.0853166164</x:v>
      </x:c>
      <x:c r="AG66" s="39" t="n">
        <x:v>-0.0136379223</x:v>
      </x:c>
      <x:c r="AH66" s="39" t="n">
        <x:v>-0.1376515257</x:v>
      </x:c>
      <x:c r="AI66" s="39" t="n">
        <x:v>-0.1892631504</x:v>
      </x:c>
      <x:c r="AJ66" s="39" t="n">
        <x:v>0.1626880389</x:v>
      </x:c>
      <x:c r="AK66" s="39" t="n">
        <x:v>0.1546200799</x:v>
      </x:c>
      <x:c r="AL66" s="39" t="n">
        <x:v>0.0624486422</x:v>
      </x:c>
      <x:c r="AM66" s="39" t="n">
        <x:v>-0.0538548579</x:v>
      </x:c>
      <x:c r="AN66" s="39" t="n">
        <x:v>-0.2290240495</x:v>
      </x:c>
      <x:c r="AO66" s="39" t="n">
        <x:v>0.0872834199</x:v>
      </x:c>
      <x:c r="AP66" s="39" t="n">
        <x:v>-0.04820159</x:v>
      </x:c>
      <x:c r="AQ66" s="39" t="n">
        <x:v>0.1455784897</x:v>
      </x:c>
      <x:c r="AR66" s="39" t="n">
        <x:v>0.1129733314</x:v>
      </x:c>
      <x:c r="AS66" s="39" t="n">
        <x:v>0.1165473929</x:v>
      </x:c>
    </x:row>
    <x:row r="67" ht="19" customHeight="1">
      <x:c r="A67" s="30" t="str">
        <x:v>Original</x:v>
      </x:c>
      <x:c r="B67" s="40" t="d">
        <x:v>2025-03-24T00:00:00.000Z</x:v>
      </x:c>
      <x:c r="C67" s="39" t="n">
        <x:v>-0.1465156714</x:v>
      </x:c>
      <x:c r="D67" s="39" t="n">
        <x:v>-0.0857961864</x:v>
      </x:c>
      <x:c r="E67" s="39" t="n">
        <x:v>0.0109784565</x:v>
      </x:c>
      <x:c r="F67" s="39" t="n">
        <x:v>-0.0434024164</x:v>
      </x:c>
      <x:c r="G67" s="39" t="n">
        <x:v>-0.1911425805</x:v>
      </x:c>
      <x:c r="H67" s="39" t="n">
        <x:v>-0.1004878692</x:v>
      </x:c>
      <x:c r="I67" s="39" t="n">
        <x:v>-0.1242080967</x:v>
      </x:c>
      <x:c r="J67" s="39" t="n">
        <x:v>-0.1451858668</x:v>
      </x:c>
      <x:c r="K67" s="39" t="n">
        <x:v>-0.22386043</x:v>
      </x:c>
      <x:c r="L67" s="39" t="n">
        <x:v>0.0073502252</x:v>
      </x:c>
      <x:c r="M67" s="39" t="n">
        <x:v>-0.0588977273</x:v>
      </x:c>
      <x:c r="N67" s="39" t="n">
        <x:v>-0.05669227</x:v>
      </x:c>
      <x:c r="O67" s="39" t="n">
        <x:v>-0.0537209707</x:v>
      </x:c>
      <x:c r="P67" s="39" t="n">
        <x:v>-0.2391581092</x:v>
      </x:c>
      <x:c r="Q67" s="39" t="n">
        <x:v>-0.0156868559</x:v>
      </x:c>
      <x:c r="R67" s="39" t="n">
        <x:v>-0.2908460718</x:v>
      </x:c>
      <x:c r="S67" s="39" t="n">
        <x:v>0.048425377</x:v>
      </x:c>
      <x:c r="T67" s="39" t="n">
        <x:v>-0.3013909298</x:v>
      </x:c>
      <x:c r="U67" s="39" t="n">
        <x:v>0.0066232649</x:v>
      </x:c>
      <x:c r="V67" s="39" t="n">
        <x:v>0.0157079758</x:v>
      </x:c>
      <x:c r="W67" s="39" t="n">
        <x:v>-0.0627132076</x:v>
      </x:c>
      <x:c r="X67" s="39" t="n">
        <x:v>0.0262304711</x:v>
      </x:c>
      <x:c r="Y67" s="39" t="n">
        <x:v>-0.0732730679</x:v>
      </x:c>
      <x:c r="Z67" s="39" t="n">
        <x:v>0.155875248</x:v>
      </x:c>
      <x:c r="AA67" s="39" t="n">
        <x:v>-0.0143872488</x:v>
      </x:c>
      <x:c r="AB67" s="39" t="n">
        <x:v>0.2675860791</x:v>
      </x:c>
      <x:c r="AC67" s="39" t="n">
        <x:v>-0.4413056163</x:v>
      </x:c>
      <x:c r="AD67" s="39" t="n">
        <x:v>-0.0436771268</x:v>
      </x:c>
      <x:c r="AE67" s="39" t="n">
        <x:v>0.0226712659</x:v>
      </x:c>
      <x:c r="AF67" s="39" t="n">
        <x:v>-0.2810942217</x:v>
      </x:c>
      <x:c r="AG67" s="39" t="n">
        <x:v>-0.009749272</x:v>
      </x:c>
      <x:c r="AH67" s="39" t="n">
        <x:v>0.2010542091</x:v>
      </x:c>
      <x:c r="AI67" s="39" t="n">
        <x:v>0.0425216349</x:v>
      </x:c>
      <x:c r="AJ67" s="39" t="n">
        <x:v>-0.1448046283</x:v>
      </x:c>
      <x:c r="AK67" s="39" t="n">
        <x:v>-0.0007534821</x:v>
      </x:c>
      <x:c r="AL67" s="39" t="n">
        <x:v>0.1053151107</x:v>
      </x:c>
      <x:c r="AM67" s="39" t="n">
        <x:v>-0.060265151</x:v>
      </x:c>
      <x:c r="AN67" s="39" t="n">
        <x:v>-0.1248916986</x:v>
      </x:c>
      <x:c r="AO67" s="39" t="n">
        <x:v>-0.1547038444</x:v>
      </x:c>
      <x:c r="AP67" s="39" t="n">
        <x:v>-0.1229008596</x:v>
      </x:c>
      <x:c r="AQ67" s="39" t="n">
        <x:v>-0.0057998194</x:v>
      </x:c>
      <x:c r="AR67" s="39" t="n">
        <x:v>-0.01024054</x:v>
      </x:c>
      <x:c r="AS67" s="39" t="n">
        <x:v>0.0308347951</x:v>
      </x:c>
    </x:row>
    <x:row r="68" ht="19" customHeight="1">
      <x:c r="A68" s="30" t="str">
        <x:v>Original</x:v>
      </x:c>
      <x:c r="B68" s="40" t="d">
        <x:v>2025-04-21T00:00:00.000Z</x:v>
      </x:c>
      <x:c r="C68" s="39" t="n">
        <x:v>0.080540274</x:v>
      </x:c>
      <x:c r="D68" s="39" t="n">
        <x:v>0.0144597492</x:v>
      </x:c>
      <x:c r="E68" s="39" t="n">
        <x:v>-0.0026830917</x:v>
      </x:c>
      <x:c r="F68" s="39" t="n">
        <x:v>0.0030837883</x:v>
      </x:c>
      <x:c r="G68" s="39" t="n">
        <x:v>-0.1078551336</x:v>
      </x:c>
      <x:c r="H68" s="39" t="n">
        <x:v>0.0479328538</x:v>
      </x:c>
      <x:c r="I68" s="39" t="n">
        <x:v>-0.0254688785</x:v>
      </x:c>
      <x:c r="J68" s="39" t="n">
        <x:v>0.2657570686</x:v>
      </x:c>
      <x:c r="K68" s="39" t="n">
        <x:v>-0.0345205228</x:v>
      </x:c>
      <x:c r="L68" s="39" t="n">
        <x:v>-0.1873878546</x:v>
      </x:c>
      <x:c r="M68" s="39" t="n">
        <x:v>0.0180599246</x:v>
      </x:c>
      <x:c r="N68" s="39" t="n">
        <x:v>0.1131470556</x:v>
      </x:c>
      <x:c r="O68" s="39" t="n">
        <x:v>0.0200032758</x:v>
      </x:c>
      <x:c r="P68" s="39" t="n">
        <x:v>0.0051229803</x:v>
      </x:c>
      <x:c r="Q68" s="39" t="n">
        <x:v>0.0774354537</x:v>
      </x:c>
      <x:c r="R68" s="39" t="n">
        <x:v>-0.1374266054</x:v>
      </x:c>
      <x:c r="S68" s="39" t="n">
        <x:v>0.0201198209</x:v>
      </x:c>
      <x:c r="T68" s="39" t="n">
        <x:v>0.0671825275</x:v>
      </x:c>
      <x:c r="U68" s="39" t="n">
        <x:v>-0.1744888778</x:v>
      </x:c>
      <x:c r="V68" s="39" t="n">
        <x:v>0.1577277295</x:v>
      </x:c>
      <x:c r="W68" s="39" t="n">
        <x:v>0.2152000235</x:v>
      </x:c>
      <x:c r="X68" s="39" t="n">
        <x:v>-0.0888117054</x:v>
      </x:c>
      <x:c r="Y68" s="39" t="n">
        <x:v>-0.1325951182</x:v>
      </x:c>
      <x:c r="Z68" s="39" t="n">
        <x:v>0.1498689352</x:v>
      </x:c>
      <x:c r="AA68" s="39" t="n">
        <x:v>-0.0659216889</x:v>
      </x:c>
      <x:c r="AB68" s="39" t="n">
        <x:v>-0.2791115586</x:v>
      </x:c>
      <x:c r="AC68" s="39" t="n">
        <x:v>0.0377511937</x:v>
      </x:c>
      <x:c r="AD68" s="39" t="n">
        <x:v>-0.0474341591</x:v>
      </x:c>
      <x:c r="AE68" s="39" t="n">
        <x:v>0.0422106436</x:v>
      </x:c>
      <x:c r="AF68" s="39" t="n">
        <x:v>0.0366189572</x:v>
      </x:c>
      <x:c r="AG68" s="39" t="n">
        <x:v>0.0344298955</x:v>
      </x:c>
      <x:c r="AH68" s="39" t="n">
        <x:v>0.1253443443</x:v>
      </x:c>
      <x:c r="AI68" s="39" t="n">
        <x:v>-0.0857028837</x:v>
      </x:c>
      <x:c r="AJ68" s="39" t="n">
        <x:v>0.094747337</x:v>
      </x:c>
      <x:c r="AK68" s="39" t="n">
        <x:v>-0.0560594225</x:v>
      </x:c>
      <x:c r="AL68" s="39" t="n">
        <x:v>-0.0562227298</x:v>
      </x:c>
      <x:c r="AM68" s="39" t="n">
        <x:v>0.0441382706</x:v>
      </x:c>
      <x:c r="AN68" s="39" t="n">
        <x:v>0.0628844542</x:v>
      </x:c>
      <x:c r="AO68" s="39" t="n">
        <x:v>0.0649373481</x:v>
      </x:c>
      <x:c r="AP68" s="39" t="n">
        <x:v>-0.0020755714</x:v>
      </x:c>
      <x:c r="AQ68" s="39" t="n">
        <x:v>0.0282109438</x:v>
      </x:c>
      <x:c r="AR68" s="39" t="n">
        <x:v>-0.0747805456</x:v>
      </x:c>
      <x:c r="AS68" s="39" t="n">
        <x:v>0.0114628689</x:v>
      </x:c>
    </x:row>
    <x:row r="69" ht="19" customHeight="1">
      <x:c r="A69" s="30" t="str">
        <x:v>Original</x:v>
      </x:c>
      <x:c r="B69" s="40" t="d">
        <x:v>2025-05-19T00:00:00.000Z</x:v>
      </x:c>
      <x:c r="C69" s="39" t="n">
        <x:v>0.293747019</x:v>
      </x:c>
      <x:c r="D69" s="39" t="n">
        <x:v>0.0472982903</x:v>
      </x:c>
      <x:c r="E69" s="39" t="n">
        <x:v>-0.0369429239</x:v>
      </x:c>
      <x:c r="F69" s="39" t="n">
        <x:v>-0.0187145081</x:v>
      </x:c>
      <x:c r="G69" s="39" t="n">
        <x:v>0.2577412466</x:v>
      </x:c>
      <x:c r="H69" s="39" t="n">
        <x:v>-0.0296836403</x:v>
      </x:c>
      <x:c r="I69" s="39" t="n">
        <x:v>0.081361757</x:v>
      </x:c>
      <x:c r="J69" s="39" t="n">
        <x:v>0.2271533367</x:v>
      </x:c>
      <x:c r="K69" s="39" t="n">
        <x:v>0.4095307648</x:v>
      </x:c>
      <x:c r="L69" s="39" t="n">
        <x:v>0.1714280134</x:v>
      </x:c>
      <x:c r="M69" s="39" t="n">
        <x:v>0.172495835</x:v>
      </x:c>
      <x:c r="N69" s="39" t="n">
        <x:v>0.1307365912</x:v>
      </x:c>
      <x:c r="O69" s="39" t="n">
        <x:v>0.0956950607</x:v>
      </x:c>
      <x:c r="P69" s="39" t="n">
        <x:v>0.2741415759</x:v>
      </x:c>
      <x:c r="Q69" s="39" t="n">
        <x:v>-0.0174249057</x:v>
      </x:c>
      <x:c r="R69" s="39" t="n">
        <x:v>-0.1242909142</x:v>
      </x:c>
      <x:c r="S69" s="39" t="n">
        <x:v>0.0853746288</x:v>
      </x:c>
      <x:c r="T69" s="39" t="n">
        <x:v>0.35295489</x:v>
      </x:c>
      <x:c r="U69" s="39" t="n">
        <x:v>-0.0474537318</x:v>
      </x:c>
      <x:c r="V69" s="39" t="n">
        <x:v>0.2533716511</x:v>
      </x:c>
      <x:c r="W69" s="39" t="n">
        <x:v>0.096971258</x:v>
      </x:c>
      <x:c r="X69" s="39" t="n">
        <x:v>0.0239533188</x:v>
      </x:c>
      <x:c r="Y69" s="39" t="n">
        <x:v>0.207891027</x:v>
      </x:c>
      <x:c r="Z69" s="39" t="n">
        <x:v>-0.0071247884</x:v>
      </x:c>
      <x:c r="AA69" s="39" t="n">
        <x:v>0.0599133428</x:v>
      </x:c>
      <x:c r="AB69" s="39" t="n">
        <x:v>0.1081032808</x:v>
      </x:c>
      <x:c r="AC69" s="39" t="n">
        <x:v>-0.0962746805</x:v>
      </x:c>
      <x:c r="AD69" s="39" t="n">
        <x:v>0.0391408264</x:v>
      </x:c>
      <x:c r="AE69" s="39" t="n">
        <x:v>0.0606120069</x:v>
      </x:c>
      <x:c r="AF69" s="39" t="n">
        <x:v>0.0927023056</x:v>
      </x:c>
      <x:c r="AG69" s="39" t="n">
        <x:v>0.1698915754</x:v>
      </x:c>
      <x:c r="AH69" s="39" t="n">
        <x:v>-0.0076814064</x:v>
      </x:c>
      <x:c r="AI69" s="39" t="n">
        <x:v>0.1747190667</x:v>
      </x:c>
      <x:c r="AJ69" s="39" t="n">
        <x:v>-0.2809064427</x:v>
      </x:c>
      <x:c r="AK69" s="39" t="n">
        <x:v>0.0258362473</x:v>
      </x:c>
      <x:c r="AL69" s="39" t="n">
        <x:v>0.1016638988</x:v>
      </x:c>
      <x:c r="AM69" s="39" t="n">
        <x:v>0.1858265044</x:v>
      </x:c>
      <x:c r="AN69" s="39" t="n">
        <x:v>0.0520838008</x:v>
      </x:c>
      <x:c r="AO69" s="39" t="n">
        <x:v>0.0434438886</x:v>
      </x:c>
      <x:c r="AP69" s="39" t="n">
        <x:v>0.0188262189</x:v>
      </x:c>
      <x:c r="AQ69" s="39" t="n">
        <x:v>-0.002575788</x:v>
      </x:c>
      <x:c r="AR69" s="39" t="n">
        <x:v>-0.0140968183</x:v>
      </x:c>
      <x:c r="AS69" s="39" t="n">
        <x:v>-0.0702882775</x:v>
      </x:c>
    </x:row>
    <x:row r="70" ht="19" customHeight="1">
      <x:c r="A70" s="30" t="str">
        <x:v>Original</x:v>
      </x:c>
      <x:c r="B70" s="40" t="d">
        <x:v>2025-06-16T00:00:00.000Z</x:v>
      </x:c>
      <x:c r="C70" s="39" t="n">
        <x:v>0.2125294656</x:v>
      </x:c>
      <x:c r="D70" s="39" t="n">
        <x:v>0.0348178165</x:v>
      </x:c>
      <x:c r="E70" s="39" t="n">
        <x:v>-0.0148040454</x:v>
      </x:c>
      <x:c r="F70" s="39" t="n">
        <x:v>-0.0302808818</x:v>
      </x:c>
      <x:c r="G70" s="39" t="n">
        <x:v>0.0933091147</x:v>
      </x:c>
      <x:c r="H70" s="39" t="n">
        <x:v>0.0557449368</x:v>
      </x:c>
      <x:c r="I70" s="39" t="n">
        <x:v>0.0567999426</x:v>
      </x:c>
      <x:c r="J70" s="39" t="n">
        <x:v>0.0787208482</x:v>
      </x:c>
      <x:c r="K70" s="39" t="n">
        <x:v>0.2008038839</x:v>
      </x:c>
      <x:c r="L70" s="39" t="n">
        <x:v>0.1248603276</x:v>
      </x:c>
      <x:c r="M70" s="39" t="n">
        <x:v>0.162677732</x:v>
      </x:c>
      <x:c r="N70" s="39" t="n">
        <x:v>0.0282296787</x:v>
      </x:c>
      <x:c r="O70" s="39" t="n">
        <x:v>-0.0215440434</x:v>
      </x:c>
      <x:c r="P70" s="39" t="n">
        <x:v>0.2261078117</x:v>
      </x:c>
      <x:c r="Q70" s="39" t="n">
        <x:v>0.1179402303</x:v>
      </x:c>
      <x:c r="R70" s="39" t="n">
        <x:v>-0.0305146559</x:v>
      </x:c>
      <x:c r="S70" s="39" t="n">
        <x:v>-0.0423042285</x:v>
      </x:c>
      <x:c r="T70" s="39" t="n">
        <x:v>0.1691760874</x:v>
      </x:c>
      <x:c r="U70" s="39" t="n">
        <x:v>-0.0185029055</x:v>
      </x:c>
      <x:c r="V70" s="39" t="n">
        <x:v>0.0816746606</x:v>
      </x:c>
      <x:c r="W70" s="39" t="n">
        <x:v>0.0510535012</x:v>
      </x:c>
      <x:c r="X70" s="39" t="n">
        <x:v>0.000388322</x:v>
      </x:c>
      <x:c r="Y70" s="39" t="n">
        <x:v>0.3759585418</x:v>
      </x:c>
      <x:c r="Z70" s="39" t="n">
        <x:v>0.1160660183</x:v>
      </x:c>
      <x:c r="AA70" s="39" t="n">
        <x:v>-0.0760243785</x:v>
      </x:c>
      <x:c r="AB70" s="39" t="n">
        <x:v>0.0865080825</x:v>
      </x:c>
      <x:c r="AC70" s="39" t="n">
        <x:v>0.3326785289</x:v>
      </x:c>
      <x:c r="AD70" s="39" t="n">
        <x:v>-0.0559442943</x:v>
      </x:c>
      <x:c r="AE70" s="39" t="n">
        <x:v>0.029432643</x:v>
      </x:c>
      <x:c r="AF70" s="39" t="n">
        <x:v>0.050690276</x:v>
      </x:c>
      <x:c r="AG70" s="39" t="n">
        <x:v>-0.024128087</x:v>
      </x:c>
      <x:c r="AH70" s="39" t="n">
        <x:v>0.0653255426</x:v>
      </x:c>
      <x:c r="AI70" s="39" t="n">
        <x:v>0.201877667</x:v>
      </x:c>
      <x:c r="AJ70" s="39" t="n">
        <x:v>0.0890398801</x:v>
      </x:c>
      <x:c r="AK70" s="39" t="n">
        <x:v>0.0184726243</x:v>
      </x:c>
      <x:c r="AL70" s="39" t="n">
        <x:v>-0.0537772032</x:v>
      </x:c>
      <x:c r="AM70" s="39" t="n">
        <x:v>0.0786916599</x:v>
      </x:c>
      <x:c r="AN70" s="39" t="n">
        <x:v>-0.0130180251</x:v>
      </x:c>
      <x:c r="AO70" s="39" t="n">
        <x:v>-0.0380286406</x:v>
      </x:c>
      <x:c r="AP70" s="39" t="n">
        <x:v>-0.040964916</x:v>
      </x:c>
      <x:c r="AQ70" s="39" t="n">
        <x:v>-0.0463737736</x:v>
      </x:c>
      <x:c r="AR70" s="39" t="n">
        <x:v>-0.0164536919</x:v>
      </x:c>
      <x:c r="AS70" s="39" t="n">
        <x:v>-0.0504860693</x:v>
      </x:c>
    </x:row>
    <x:row r="71" ht="19" customHeight="1">
      <x:c r="A71" s="30" t="str">
        <x:v>Original</x:v>
      </x:c>
      <x:c r="B71" s="40" t="d">
        <x:v>2025-07-14T00:00:00.000Z</x:v>
      </x:c>
      <x:c r="C71" s="39" t="n">
        <x:v>0.056886716</x:v>
      </x:c>
      <x:c r="D71" s="39" t="n">
        <x:v>-0.1859065377</x:v>
      </x:c>
      <x:c r="E71" s="39" t="n">
        <x:v>0.0734660686</x:v>
      </x:c>
      <x:c r="F71" s="39" t="n">
        <x:v>0.0882399685</x:v>
      </x:c>
      <x:c r="G71" s="39" t="n">
        <x:v>0.0488947918</x:v>
      </x:c>
      <x:c r="H71" s="39" t="n">
        <x:v>0.0293022236</x:v>
      </x:c>
      <x:c r="I71" s="39" t="n">
        <x:v>0.1026103805</x:v>
      </x:c>
      <x:c r="J71" s="39" t="n">
        <x:v>0.139806996</x:v>
      </x:c>
      <x:c r="K71" s="39" t="n">
        <x:v>0.1832799797</x:v>
      </x:c>
      <x:c r="L71" s="39" t="n">
        <x:v>0.0478041218</x:v>
      </x:c>
      <x:c r="M71" s="39" t="n">
        <x:v>-0.1089604003</x:v>
      </x:c>
      <x:c r="N71" s="39" t="n">
        <x:v>-0.008098458</x:v>
      </x:c>
      <x:c r="O71" s="39" t="n">
        <x:v>0.0139449151</x:v>
      </x:c>
      <x:c r="P71" s="39" t="n">
        <x:v>0.1863346448</x:v>
      </x:c>
      <x:c r="Q71" s="39" t="n">
        <x:v>-0.0548868643</x:v>
      </x:c>
      <x:c r="R71" s="39" t="n">
        <x:v>0.1032983729</x:v>
      </x:c>
      <x:c r="S71" s="39" t="n">
        <x:v>0.0035183049</x:v>
      </x:c>
      <x:c r="T71" s="39" t="n">
        <x:v>0.1303954851</x:v>
      </x:c>
      <x:c r="U71" s="39" t="n">
        <x:v>0.2557059901</x:v>
      </x:c>
      <x:c r="V71" s="39" t="n">
        <x:v>-0.0376451913</x:v>
      </x:c>
      <x:c r="W71" s="39" t="n">
        <x:v>-0.0246979929</x:v>
      </x:c>
      <x:c r="X71" s="39" t="n">
        <x:v>0.0127984531</x:v>
      </x:c>
      <x:c r="Y71" s="39" t="n">
        <x:v>-0.1039919499</x:v>
      </x:c>
      <x:c r="Z71" s="39" t="n">
        <x:v>-0.0009341734</x:v>
      </x:c>
      <x:c r="AA71" s="39" t="n">
        <x:v>-0.0829228749</x:v>
      </x:c>
      <x:c r="AB71" s="39" t="n">
        <x:v>0.29775227</x:v>
      </x:c>
      <x:c r="AC71" s="39" t="n">
        <x:v>0.4087815875</x:v>
      </x:c>
      <x:c r="AD71" s="39" t="n">
        <x:v>-0.0251793885</x:v>
      </x:c>
      <x:c r="AE71" s="39" t="n">
        <x:v>0.071269889</x:v>
      </x:c>
      <x:c r="AF71" s="39" t="n">
        <x:v>0.2196857047</x:v>
      </x:c>
      <x:c r="AG71" s="39" t="n">
        <x:v>0.1946146963</x:v>
      </x:c>
      <x:c r="AH71" s="39" t="n">
        <x:v>0.1109786688</x:v>
      </x:c>
      <x:c r="AI71" s="39" t="n">
        <x:v>0.2749858787</x:v>
      </x:c>
      <x:c r="AJ71" s="39" t="n">
        <x:v>0.0159120243</x:v>
      </x:c>
      <x:c r="AK71" s="39" t="n">
        <x:v>0.0684486561</x:v>
      </x:c>
      <x:c r="AL71" s="39" t="n">
        <x:v>-0.1046240914</x:v>
      </x:c>
      <x:c r="AM71" s="39" t="n">
        <x:v>0.0899325576</x:v>
      </x:c>
      <x:c r="AN71" s="39" t="n">
        <x:v>0.1425296808</x:v>
      </x:c>
      <x:c r="AO71" s="39" t="n">
        <x:v>-0.0413092105</x:v>
      </x:c>
      <x:c r="AP71" s="39" t="n">
        <x:v>0.0375059705</x:v>
      </x:c>
      <x:c r="AQ71" s="39" t="n">
        <x:v>0.0198002399</x:v>
      </x:c>
      <x:c r="AR71" s="39" t="n">
        <x:v>0.1207200377</x:v>
      </x:c>
      <x:c r="AS71" s="39" t="n">
        <x:v>-0.0313409836</x:v>
      </x:c>
    </x:row>
    <x:row r="72" ht="19" customHeight="1">
      <x:c r="A72" s="30" t="str">
        <x:v>Original</x:v>
      </x:c>
      <x:c r="B72" s="40" t="d">
        <x:v>2025-08-11T00:00:00.000Z</x:v>
      </x:c>
      <x:c r="C72" s="39" t="n">
        <x:v>0.0305192617</x:v>
      </x:c>
      <x:c r="D72" s="39" t="n">
        <x:v>-0.0980882405</x:v>
      </x:c>
      <x:c r="E72" s="39" t="n">
        <x:v>0.0690202664</x:v>
      </x:c>
      <x:c r="F72" s="39" t="n">
        <x:v>0.0518674874</x:v>
      </x:c>
      <x:c r="G72" s="39" t="n">
        <x:v>-0.0702302518</x:v>
      </x:c>
      <x:c r="H72" s="39" t="n">
        <x:v>-0.2793177395</x:v>
      </x:c>
      <x:c r="I72" s="39" t="n">
        <x:v>0.0295568054</x:v>
      </x:c>
      <x:c r="J72" s="39" t="n">
        <x:v>0.2848201961</x:v>
      </x:c>
      <x:c r="K72" s="39" t="n">
        <x:v>0.0487037013</x:v>
      </x:c>
      <x:c r="L72" s="39" t="n">
        <x:v>-0.0799291632</x:v>
      </x:c>
      <x:c r="M72" s="39" t="n">
        <x:v>-0.0958890351</x:v>
      </x:c>
      <x:c r="N72" s="39" t="n">
        <x:v>-0.0678091458</x:v>
      </x:c>
      <x:c r="O72" s="39" t="n">
        <x:v>0.0165346306</x:v>
      </x:c>
      <x:c r="P72" s="39" t="n">
        <x:v>0.1361922585</x:v>
      </x:c>
      <x:c r="Q72" s="39" t="n">
        <x:v>0.2132529577</x:v>
      </x:c>
      <x:c r="R72" s="39" t="n">
        <x:v>0.069224944</x:v>
      </x:c>
      <x:c r="S72" s="39" t="n">
        <x:v>-0.0039204644</x:v>
      </x:c>
      <x:c r="T72" s="39" t="n">
        <x:v>0.0246495001</x:v>
      </x:c>
      <x:c r="U72" s="39" t="n">
        <x:v>-0.1508632085</x:v>
      </x:c>
      <x:c r="V72" s="39" t="n">
        <x:v>-0.0033777091</x:v>
      </x:c>
      <x:c r="W72" s="39" t="n">
        <x:v>0.0334650428</x:v>
      </x:c>
      <x:c r="X72" s="39" t="n">
        <x:v>-0.0442112592</x:v>
      </x:c>
      <x:c r="Y72" s="39" t="n">
        <x:v>0.075971389</x:v>
      </x:c>
      <x:c r="Z72" s="39" t="n">
        <x:v>0.2415066541</x:v>
      </x:c>
      <x:c r="AA72" s="39" t="n">
        <x:v>0.0041341501</x:v>
      </x:c>
      <x:c r="AB72" s="39" t="n">
        <x:v>0.0765396911</x:v>
      </x:c>
      <x:c r="AC72" s="39" t="n">
        <x:v>-0.277162391</x:v>
      </x:c>
      <x:c r="AD72" s="39" t="n">
        <x:v>-0.006593713</x:v>
      </x:c>
      <x:c r="AE72" s="39" t="n">
        <x:v>0.0525569946</x:v>
      </x:c>
      <x:c r="AF72" s="39" t="n">
        <x:v>0.0032616649</x:v>
      </x:c>
      <x:c r="AG72" s="39" t="n">
        <x:v>0.0351381935</x:v>
      </x:c>
      <x:c r="AH72" s="39" t="n">
        <x:v>0.0622834264</x:v>
      </x:c>
      <x:c r="AI72" s="39" t="n">
        <x:v>0.169371458</x:v>
      </x:c>
      <x:c r="AJ72" s="39" t="n">
        <x:v>-0.1290214338</x:v>
      </x:c>
      <x:c r="AK72" s="39" t="n">
        <x:v>0.0390620624</x:v>
      </x:c>
      <x:c r="AL72" s="39" t="n">
        <x:v>-0.1543723066</x:v>
      </x:c>
      <x:c r="AM72" s="39" t="n">
        <x:v>0.0270880521</x:v>
      </x:c>
      <x:c r="AN72" s="39" t="n">
        <x:v>0.1336686132</x:v>
      </x:c>
      <x:c r="AO72" s="39" t="n">
        <x:v>0.032152153</x:v>
      </x:c>
      <x:c r="AP72" s="39" t="n">
        <x:v>0.1454261421</x:v>
      </x:c>
      <x:c r="AQ72" s="39" t="n">
        <x:v>0.001381102</x:v>
      </x:c>
      <x:c r="AR72" s="39" t="n">
        <x:v>0.1048927304</x:v>
      </x:c>
      <x:c r="AS72" s="39" t="n">
        <x:v>0.009858638</x:v>
      </x:c>
    </x:row>
    <x:row r="73" ht="19" customHeight="1">
      <x:c r="A73" s="30" t="str">
        <x:v>Original</x:v>
      </x:c>
      <x:c r="B73" s="40" t="d">
        <x:v>2025-09-08T00:00:00.000Z</x:v>
      </x:c>
      <x:c r="C73" s="39" t="n">
        <x:v>0.0850183949</x:v>
      </x:c>
      <x:c r="D73" s="39" t="n">
        <x:v>-0.2101153598</x:v>
      </x:c>
      <x:c r="E73" s="39" t="n">
        <x:v>-0.0319520334</x:v>
      </x:c>
      <x:c r="F73" s="39" t="n">
        <x:v>0.0182381207</x:v>
      </x:c>
      <x:c r="G73" s="39" t="n">
        <x:v>0.0068903142</x:v>
      </x:c>
      <x:c r="H73" s="39" t="n">
        <x:v>-0.1832766126</x:v>
      </x:c>
      <x:c r="I73" s="39" t="n">
        <x:v>-0.0175409292</x:v>
      </x:c>
      <x:c r="J73" s="39" t="n">
        <x:v>0.1421035906</x:v>
      </x:c>
      <x:c r="K73" s="39" t="n">
        <x:v>0.3332516422</x:v>
      </x:c>
      <x:c r="L73" s="39" t="n">
        <x:v>0.1900885677</x:v>
      </x:c>
      <x:c r="M73" s="39" t="n">
        <x:v>-0.0044021232</x:v>
      </x:c>
      <x:c r="N73" s="39" t="n">
        <x:v>-0.0044126544</x:v>
      </x:c>
      <x:c r="O73" s="39" t="n">
        <x:v>0.0105632774</x:v>
      </x:c>
      <x:c r="P73" s="39" t="n">
        <x:v>0.3696709112</x:v>
      </x:c>
      <x:c r="Q73" s="39" t="n">
        <x:v>-0.0194540076</x:v>
      </x:c>
      <x:c r="R73" s="39" t="n">
        <x:v>0.1951967974</x:v>
      </x:c>
      <x:c r="S73" s="39" t="n">
        <x:v>-0.0539408535</x:v>
      </x:c>
      <x:c r="T73" s="39" t="n">
        <x:v>0.135291098</x:v>
      </x:c>
      <x:c r="U73" s="39" t="n">
        <x:v>-0.2453949702</x:v>
      </x:c>
      <x:c r="V73" s="39" t="n">
        <x:v>0.0034996022</x:v>
      </x:c>
      <x:c r="W73" s="39" t="n">
        <x:v>-0.0582018379</x:v>
      </x:c>
      <x:c r="X73" s="39" t="n">
        <x:v>-0.0163991258</x:v>
      </x:c>
      <x:c r="Y73" s="39" t="n">
        <x:v>0.3677499986</x:v>
      </x:c>
      <x:c r="Z73" s="39" t="n">
        <x:v>0.1916396712</x:v>
      </x:c>
      <x:c r="AA73" s="39" t="n">
        <x:v>0.0063788839</x:v>
      </x:c>
      <x:c r="AB73" s="39" t="n">
        <x:v>0.0027266329</x:v>
      </x:c>
      <x:c r="AC73" s="39" t="n">
        <x:v>-0.0222116137</x:v>
      </x:c>
      <x:c r="AD73" s="39" t="n">
        <x:v>0.0317060429</x:v>
      </x:c>
      <x:c r="AE73" s="39" t="n">
        <x:v>0.0290319442</x:v>
      </x:c>
      <x:c r="AF73" s="39" t="n">
        <x:v>0.2180044066</x:v>
      </x:c>
      <x:c r="AG73" s="39" t="n">
        <x:v>-0.1198229821</x:v>
      </x:c>
      <x:c r="AH73" s="39" t="n">
        <x:v>0.0506147505</x:v>
      </x:c>
      <x:c r="AI73" s="39" t="n">
        <x:v>-0.1577734943</x:v>
      </x:c>
      <x:c r="AJ73" s="39" t="n">
        <x:v>0.1040326654</x:v>
      </x:c>
      <x:c r="AK73" s="39" t="n">
        <x:v>0.0524806098</x:v>
      </x:c>
      <x:c r="AL73" s="39" t="n">
        <x:v>0.0995781926</x:v>
      </x:c>
      <x:c r="AM73" s="39" t="n">
        <x:v>-0.0255870645</x:v>
      </x:c>
      <x:c r="AN73" s="39" t="n">
        <x:v>0.2338425644</x:v>
      </x:c>
      <x:c r="AO73" s="39" t="n">
        <x:v>-0.0059681667</x:v>
      </x:c>
      <x:c r="AP73" s="39" t="n">
        <x:v>0.0872313568</x:v>
      </x:c>
      <x:c r="AQ73" s="39" t="n">
        <x:v>-0.0594421251</x:v>
      </x:c>
      <x:c r="AR73" s="39" t="n">
        <x:v>0.0214221609</x:v>
      </x:c>
      <x:c r="AS73" s="39" t="n">
        <x:v>0.0476454225</x:v>
      </x:c>
    </x:row>
    <x:row r="74" ht="19" customHeight="1">
      <x:c r="A74" s="30" t="str">
        <x:v>Original</x:v>
      </x:c>
      <x:c r="B74" s="40" t="d">
        <x:v>2025-10-06T00:00:00.000Z</x:v>
      </x:c>
      <x:c r="C74" s="39" t="n">
        <x:v>-0.0880816772</x:v>
      </x:c>
      <x:c r="D74" s="39" t="n">
        <x:v>0.0564464347</x:v>
      </x:c>
      <x:c r="E74" s="39" t="n">
        <x:v>0.0949559307</x:v>
      </x:c>
      <x:c r="F74" s="39" t="n">
        <x:v>0.0759904748</x:v>
      </x:c>
      <x:c r="G74" s="39" t="n">
        <x:v>-0.085311389</x:v>
      </x:c>
      <x:c r="H74" s="39" t="n">
        <x:v>0.0430275423</x:v>
      </x:c>
      <x:c r="I74" s="39" t="n">
        <x:v>-0.0751822581</x:v>
      </x:c>
      <x:c r="J74" s="39" t="n">
        <x:v>0.1127717782</x:v>
      </x:c>
      <x:c r="K74" s="39" t="n">
        <x:v>0.131654336</x:v>
      </x:c>
      <x:c r="L74" s="39" t="n">
        <x:v>0.011715451</x:v>
      </x:c>
      <x:c r="M74" s="39" t="n">
        <x:v>0.0280412966</x:v>
      </x:c>
      <x:c r="N74" s="39" t="n">
        <x:v>0.0702005936</x:v>
      </x:c>
      <x:c r="O74" s="39" t="n">
        <x:v>-0.0698994719</x:v>
      </x:c>
      <x:c r="P74" s="39" t="n">
        <x:v>0.2369564485</x:v>
      </x:c>
      <x:c r="Q74" s="39" t="n">
        <x:v>0.0978439499</x:v>
      </x:c>
      <x:c r="R74" s="39" t="n">
        <x:v>0.0621936525</x:v>
      </x:c>
      <x:c r="S74" s="39" t="n">
        <x:v>0.048628088</x:v>
      </x:c>
      <x:c r="T74" s="39" t="n">
        <x:v>-0.0488916813</x:v>
      </x:c>
      <x:c r="U74" s="39" t="n">
        <x:v>0.1873334839</x:v>
      </x:c>
      <x:c r="V74" s="39" t="n">
        <x:v>-0.1032625713</x:v>
      </x:c>
      <x:c r="W74" s="39" t="n">
        <x:v>0.0372624249</x:v>
      </x:c>
      <x:c r="X74" s="39" t="n">
        <x:v>-0.1485285483</x:v>
      </x:c>
      <x:c r="Y74" s="39" t="n">
        <x:v>0.2052423242</x:v>
      </x:c>
      <x:c r="Z74" s="39" t="n">
        <x:v>0.1016682403</x:v>
      </x:c>
      <x:c r="AA74" s="39" t="n">
        <x:v>-0.0475264707</x:v>
      </x:c>
      <x:c r="AB74" s="39" t="n">
        <x:v>0.6578875083</x:v>
      </x:c>
      <x:c r="AC74" s="39" t="n">
        <x:v>-0.3704156364</x:v>
      </x:c>
      <x:c r="AD74" s="39" t="n">
        <x:v>-0.0757241589</x:v>
      </x:c>
      <x:c r="AE74" s="39" t="n">
        <x:v>-0.0331681651</x:v>
      </x:c>
      <x:c r="AF74" s="39" t="n">
        <x:v>-0.0115770774</x:v>
      </x:c>
      <x:c r="AG74" s="39" t="n">
        <x:v>-0.0346359802</x:v>
      </x:c>
      <x:c r="AH74" s="39" t="n">
        <x:v>0.0421132421</x:v>
      </x:c>
      <x:c r="AI74" s="39" t="n">
        <x:v>0.4310919035</x:v>
      </x:c>
      <x:c r="AJ74" s="39" t="n">
        <x:v>0.1395306169</x:v>
      </x:c>
      <x:c r="AK74" s="39" t="n">
        <x:v>-0.0270041725</x:v>
      </x:c>
      <x:c r="AL74" s="39" t="n">
        <x:v>0.2342486051</x:v>
      </x:c>
      <x:c r="AM74" s="39" t="n">
        <x:v>0.0029450427</x:v>
      </x:c>
      <x:c r="AN74" s="39" t="n">
        <x:v>-0.0251338578</x:v>
      </x:c>
      <x:c r="AO74" s="39" t="n">
        <x:v>-0.0566326083</x:v>
      </x:c>
      <x:c r="AP74" s="39" t="n">
        <x:v>-0.1669405149</x:v>
      </x:c>
      <x:c r="AQ74" s="39" t="n">
        <x:v>0.0114693276</x:v>
      </x:c>
      <x:c r="AR74" s="39" t="n">
        <x:v>0.0974085706</x:v>
      </x:c>
      <x:c r="AS74" s="39" t="n">
        <x:v>-0.013303514</x:v>
      </x:c>
    </x:row>
    <x:row r="75" ht="19" customHeight="1">
      <x:c r="A75" s="30" t="str">
        <x:v>Original</x:v>
      </x:c>
      <x:c r="B75" s="40" t="d">
        <x:v>2025-11-03T00:00:00.000Z</x:v>
      </x:c>
      <x:c r="C75" s="39" t="n">
        <x:v>-0.0434647777</x:v>
      </x:c>
      <x:c r="D75" s="39" t="n">
        <x:v>0.3711550596</x:v>
      </x:c>
      <x:c r="E75" s="39" t="n">
        <x:v>0.0529618985</x:v>
      </x:c>
      <x:c r="F75" s="39" t="n">
        <x:v>0.0288493178</x:v>
      </x:c>
      <x:c r="G75" s="39" t="n">
        <x:v>0.0202738184</x:v>
      </x:c>
      <x:c r="H75" s="39" t="n">
        <x:v>-0.379277047</x:v>
      </x:c>
      <x:c r="I75" s="39" t="n">
        <x:v>0.1752686622</x:v>
      </x:c>
      <x:c r="J75" s="39" t="n">
        <x:v>0.22651007</x:v>
      </x:c>
      <x:c r="K75" s="39" t="n">
        <x:v>0.3807428495</x:v>
      </x:c>
      <x:c r="L75" s="39" t="n">
        <x:v>0.1518871187</x:v>
      </x:c>
      <x:c r="M75" s="39" t="n">
        <x:v>-0.0902158889</x:v>
      </x:c>
      <x:c r="N75" s="39" t="n">
        <x:v>-0.0729663907</x:v>
      </x:c>
      <x:c r="O75" s="39" t="n">
        <x:v>-0.259573691</x:v>
      </x:c>
      <x:c r="P75" s="39" t="n">
        <x:v>0.4961125826</x:v>
      </x:c>
      <x:c r="Q75" s="39" t="n">
        <x:v>-0.0834354511</x:v>
      </x:c>
      <x:c r="R75" s="39" t="n">
        <x:v>0.4068166639</x:v>
      </x:c>
      <x:c r="S75" s="39" t="n">
        <x:v>0.0265120717</x:v>
      </x:c>
      <x:c r="T75" s="39" t="n">
        <x:v>0.1223831318</x:v>
      </x:c>
      <x:c r="U75" s="39" t="n">
        <x:v>-0.1283206222</x:v>
      </x:c>
      <x:c r="V75" s="39" t="n">
        <x:v>-0.2219246707</x:v>
      </x:c>
      <x:c r="W75" s="39" t="n">
        <x:v>-0.1442403762</x:v>
      </x:c>
      <x:c r="X75" s="39" t="n">
        <x:v>-0.1068908623</x:v>
      </x:c>
      <x:c r="Y75" s="39" t="n">
        <x:v>0.3885280289</x:v>
      </x:c>
      <x:c r="Z75" s="39" t="n">
        <x:v>-0.0298718364</x:v>
      </x:c>
      <x:c r="AA75" s="39" t="n">
        <x:v>-0.143109129</x:v>
      </x:c>
      <x:c r="AB75" s="39" t="n">
        <x:v>0.1797471359</x:v>
      </x:c>
      <x:c r="AC75" s="39" t="n">
        <x:v>-0.330753606</x:v>
      </x:c>
      <x:c r="AD75" s="39" t="n">
        <x:v>-0.0162548886</x:v>
      </x:c>
      <x:c r="AE75" s="39" t="n">
        <x:v>0.2272284794</x:v>
      </x:c>
      <x:c r="AF75" s="39" t="n">
        <x:v>-0.0571189479</x:v>
      </x:c>
      <x:c r="AG75" s="39" t="n">
        <x:v>-0.1144609549</x:v>
      </x:c>
      <x:c r="AH75" s="39" t="n">
        <x:v>0.1290748963</x:v>
      </x:c>
      <x:c r="AI75" s="39" t="n">
        <x:v>0.1196395229</x:v>
      </x:c>
      <x:c r="AJ75" s="39" t="n">
        <x:v>0.148851844</x:v>
      </x:c>
      <x:c r="AK75" s="39" t="n">
        <x:v>0.1966355423</x:v>
      </x:c>
      <x:c r="AL75" s="39" t="n">
        <x:v>0.3614682978</x:v>
      </x:c>
      <x:c r="AM75" s="39" t="n">
        <x:v>-0.0403639469</x:v>
      </x:c>
      <x:c r="AN75" s="39" t="n">
        <x:v>0.2363979339</x:v>
      </x:c>
      <x:c r="AO75" s="39" t="n">
        <x:v>-0.0092543677</x:v>
      </x:c>
      <x:c r="AP75" s="39" t="n">
        <x:v>-0.017871826</x:v>
      </x:c>
      <x:c r="AQ75" s="39" t="n">
        <x:v>0.073400176</x:v>
      </x:c>
      <x:c r="AR75" s="39" t="n">
        <x:v>-0.0316426295</x:v>
      </x:c>
      <x:c r="AS75" s="39" t="n">
        <x:v>0.0289071912</x:v>
      </x:c>
    </x:row>
    <x:row r="76" ht="19" customHeight="1">
      <x:c r="A76" s="30" t="str">
        <x:v>Original</x:v>
      </x:c>
      <x:c r="B76" s="40" t="d">
        <x:v>2025-12-01T00:00:00.000Z</x:v>
      </x:c>
      <x:c r="C76" s="39" t="n">
        <x:v>-0.1943939573</x:v>
      </x:c>
      <x:c r="D76" s="39" t="n">
        <x:v>0.0819630064</x:v>
      </x:c>
      <x:c r="E76" s="39" t="n">
        <x:v>-0.0360381877</x:v>
      </x:c>
      <x:c r="F76" s="39" t="n">
        <x:v>-0.035569581</x:v>
      </x:c>
      <x:c r="G76" s="39" t="n">
        <x:v>-0.0734787367</x:v>
      </x:c>
      <x:c r="H76" s="39" t="n">
        <x:v>0.151593104</x:v>
      </x:c>
      <x:c r="I76" s="39" t="n">
        <x:v>-0.0916280316</x:v>
      </x:c>
      <x:c r="J76" s="39" t="n">
        <x:v>0.0698257255</x:v>
      </x:c>
      <x:c r="K76" s="39" t="n">
        <x:v>-0.0029271015</x:v>
      </x:c>
      <x:c r="L76" s="39" t="n">
        <x:v>-0.0031757738</x:v>
      </x:c>
      <x:c r="M76" s="39" t="n">
        <x:v>-0.0670567345</x:v>
      </x:c>
      <x:c r="N76" s="39" t="n">
        <x:v>0.0861403017</x:v>
      </x:c>
      <x:c r="O76" s="39" t="n">
        <x:v>0.1064564067</x:v>
      </x:c>
      <x:c r="P76" s="39" t="n">
        <x:v>0.0533115963</x:v>
      </x:c>
      <x:c r="Q76" s="39" t="n">
        <x:v>0.0557250238</x:v>
      </x:c>
      <x:c r="R76" s="39" t="n">
        <x:v>-0.0352094358</x:v>
      </x:c>
      <x:c r="S76" s="39" t="n">
        <x:v>-0.0300087935</x:v>
      </x:c>
      <x:c r="T76" s="39" t="n">
        <x:v>-0.2146767513</x:v>
      </x:c>
      <x:c r="U76" s="39" t="n">
        <x:v>0.1766933934</x:v>
      </x:c>
      <x:c r="V76" s="39" t="n">
        <x:v>-0.1304985656</x:v>
      </x:c>
      <x:c r="W76" s="39" t="n">
        <x:v>-0.1403809088</x:v>
      </x:c>
      <x:c r="X76" s="39" t="n">
        <x:v>-0.0021349378</x:v>
      </x:c>
      <x:c r="Y76" s="39" t="n">
        <x:v>-0.004298126</x:v>
      </x:c>
      <x:c r="Z76" s="39" t="n">
        <x:v>0.1116124672</x:v>
      </x:c>
      <x:c r="AA76" s="39" t="n">
        <x:v>0.0372524666</x:v>
      </x:c>
      <x:c r="AB76" s="39" t="n">
        <x:v>0.1540082663</x:v>
      </x:c>
      <x:c r="AC76" s="39" t="n">
        <x:v>0.2794378935</x:v>
      </x:c>
      <x:c r="AD76" s="39" t="n">
        <x:v>-0.0354617872</x:v>
      </x:c>
      <x:c r="AE76" s="39" t="n">
        <x:v>-0.0200135981</x:v>
      </x:c>
      <x:c r="AF76" s="39" t="n">
        <x:v>-0.0074838746</x:v>
      </x:c>
      <x:c r="AG76" s="39" t="n">
        <x:v>0.053572611</x:v>
      </x:c>
      <x:c r="AH76" s="39" t="n">
        <x:v>-0.0172394491</x:v>
      </x:c>
      <x:c r="AI76" s="39" t="n">
        <x:v>-0.1006466097</x:v>
      </x:c>
      <x:c r="AJ76" s="39" t="n">
        <x:v>0.1318222539</x:v>
      </x:c>
      <x:c r="AK76" s="39" t="n">
        <x:v>0.1096917877</x:v>
      </x:c>
      <x:c r="AL76" s="39" t="n">
        <x:v>-0.1742152337</x:v>
      </x:c>
      <x:c r="AM76" s="39" t="n">
        <x:v>-0.037941813</x:v>
      </x:c>
      <x:c r="AN76" s="39" t="n">
        <x:v>0.2066729935</x:v>
      </x:c>
      <x:c r="AO76" s="39" t="n">
        <x:v>-0.0450476273</x:v>
      </x:c>
      <x:c r="AP76" s="39" t="n">
        <x:v>-0.0569386325</x:v>
      </x:c>
      <x:c r="AQ76" s="39" t="n">
        <x:v>-0.0012068158</x:v>
      </x:c>
      <x:c r="AR76" s="39" t="n">
        <x:v>0.1246395819</x:v>
      </x:c>
      <x:c r="AS76" s="39" t="n">
        <x:v>0.0153521649</x:v>
      </x:c>
    </x:row>
    <x:row r="77" ht="19" customHeight="1">
      <x:c r="A77" s="30" t="str">
        <x:v>Original</x:v>
      </x:c>
      <x:c r="B77" s="40" t="d">
        <x:v>2025-12-29T00:00:00.000Z</x:v>
      </x:c>
      <x:c r="C77" s="39" t="n">
        <x:v>-0.0152080045</x:v>
      </x:c>
      <x:c r="D77" s="39" t="n">
        <x:v>-0.061448329</x:v>
      </x:c>
      <x:c r="E77" s="39" t="n">
        <x:v>-0.0219368003</x:v>
      </x:c>
      <x:c r="F77" s="39" t="n">
        <x:v>-0.0056636164</x:v>
      </x:c>
      <x:c r="G77" s="39" t="n">
        <x:v>0.0992535516</x:v>
      </x:c>
      <x:c r="H77" s="39" t="n">
        <x:v>0.1471753239</x:v>
      </x:c>
      <x:c r="I77" s="39" t="n">
        <x:v>-0.0196600404</x:v>
      </x:c>
      <x:c r="J77" s="39" t="n">
        <x:v>0.0031874521</x:v>
      </x:c>
      <x:c r="K77" s="39" t="n">
        <x:v>0.0495959688</x:v>
      </x:c>
      <x:c r="L77" s="39" t="n">
        <x:v>-0.0769860592</x:v>
      </x:c>
      <x:c r="M77" s="39" t="n">
        <x:v>0.0421363419</x:v>
      </x:c>
      <x:c r="N77" s="39" t="n">
        <x:v>0.0675752627</x:v>
      </x:c>
      <x:c r="O77" s="39" t="n">
        <x:v>0.0279835723</x:v>
      </x:c>
      <x:c r="P77" s="39" t="n">
        <x:v>0.1562254996</x:v>
      </x:c>
      <x:c r="Q77" s="39" t="n">
        <x:v>0.0554772516</x:v>
      </x:c>
      <x:c r="R77" s="39" t="n">
        <x:v>0.0203813531</x:v>
      </x:c>
      <x:c r="S77" s="39" t="n">
        <x:v>0.0002905191</x:v>
      </x:c>
      <x:c r="T77" s="39" t="n">
        <x:v>-0.036748523</x:v>
      </x:c>
      <x:c r="U77" s="39" t="n">
        <x:v>0.1598221714</x:v>
      </x:c>
      <x:c r="V77" s="39" t="n">
        <x:v>0.0331906753</x:v>
      </x:c>
      <x:c r="W77" s="39" t="n">
        <x:v>-0.1432365165</x:v>
      </x:c>
      <x:c r="X77" s="39" t="n">
        <x:v>0.1161251649</x:v>
      </x:c>
      <x:c r="Y77" s="39" t="n">
        <x:v>0.4221168928</x:v>
      </x:c>
      <x:c r="Z77" s="39" t="n">
        <x:v>0.1777655617</x:v>
      </x:c>
      <x:c r="AA77" s="39" t="n">
        <x:v>0.0178330825</x:v>
      </x:c>
      <x:c r="AB77" s="39" t="n">
        <x:v>-0.1287285757</x:v>
      </x:c>
      <x:c r="AC77" s="39" t="n">
        <x:v>-0.029081727</x:v>
      </x:c>
      <x:c r="AD77" s="39" t="n">
        <x:v>-0.0172197701</x:v>
      </x:c>
      <x:c r="AE77" s="39" t="n">
        <x:v>0.0347857738</x:v>
      </x:c>
      <x:c r="AF77" s="39" t="n">
        <x:v>0.0612020618</x:v>
      </x:c>
      <x:c r="AG77" s="39" t="n">
        <x:v>0.178440918</x:v>
      </x:c>
      <x:c r="AH77" s="39" t="n">
        <x:v>0.2045848148</x:v>
      </x:c>
      <x:c r="AI77" s="39" t="n">
        <x:v>0.036867395</x:v>
      </x:c>
      <x:c r="AJ77" s="39" t="n">
        <x:v>0.0991778149</x:v>
      </x:c>
      <x:c r="AK77" s="39" t="n">
        <x:v>-0.1314498761</x:v>
      </x:c>
      <x:c r="AL77" s="39" t="n">
        <x:v>0.1035328672</x:v>
      </x:c>
      <x:c r="AM77" s="39" t="n">
        <x:v>-0.0316295788</x:v>
      </x:c>
      <x:c r="AN77" s="39" t="n">
        <x:v>-0.0274870876</x:v>
      </x:c>
      <x:c r="AO77" s="39" t="n">
        <x:v>-0.067980006</x:v>
      </x:c>
      <x:c r="AP77" s="39" t="n">
        <x:v>-0.0371343199</x:v>
      </x:c>
      <x:c r="AQ77" s="39" t="n">
        <x:v>-0.0187163649</x:v>
      </x:c>
      <x:c r="AR77" s="39" t="n">
        <x:v>0.0391861651</x:v>
      </x:c>
      <x:c r="AS77" s="39" t="n">
        <x:v>-0.0221361365</x:v>
      </x:c>
    </x:row>
    <x:row r="78" ht="19" customHeight="1">
      <x:c r="A78" s="30" t="str">
        <x:v>Original</x:v>
      </x:c>
      <x:c r="B78" s="40" t="d">
        <x:v>2026-01-26T00:00:00.000Z</x:v>
      </x:c>
      <x:c r="C78" s="39" t="n">
        <x:v>-0.0638151392</x:v>
      </x:c>
      <x:c r="D78" s="39" t="n">
        <x:v>0.3219112191</x:v>
      </x:c>
      <x:c r="E78" s="39" t="n">
        <x:v>0.050573981</x:v>
      </x:c>
      <x:c r="F78" s="39" t="n">
        <x:v>0.0321057662</x:v>
      </x:c>
      <x:c r="G78" s="39" t="n">
        <x:v>0.0126903452</x:v>
      </x:c>
      <x:c r="H78" s="39" t="n">
        <x:v>0.0542389965</x:v>
      </x:c>
      <x:c r="I78" s="39" t="n">
        <x:v>0.0824844337</x:v>
      </x:c>
      <x:c r="J78" s="39" t="n">
        <x:v>0.1939113642</x:v>
      </x:c>
      <x:c r="K78" s="39" t="n">
        <x:v>0.5238753567</x:v>
      </x:c>
      <x:c r="L78" s="39" t="n">
        <x:v>0.1396131378</x:v>
      </x:c>
      <x:c r="M78" s="39" t="n">
        <x:v>0.2271974453</x:v>
      </x:c>
      <x:c r="N78" s="39" t="n">
        <x:v>0.1302990107</x:v>
      </x:c>
      <x:c r="O78" s="39" t="n">
        <x:v>0.0501780291</x:v>
      </x:c>
      <x:c r="P78" s="39" t="n">
        <x:v>0.4314331684</x:v>
      </x:c>
      <x:c r="Q78" s="39" t="n">
        <x:v>0.0875133976</x:v>
      </x:c>
      <x:c r="R78" s="39" t="n">
        <x:v>0.1810451952</x:v>
      </x:c>
      <x:c r="S78" s="39" t="n">
        <x:v>0.1041285043</x:v>
      </x:c>
      <x:c r="T78" s="39" t="n">
        <x:v>-0.1501824779</x:v>
      </x:c>
      <x:c r="U78" s="39" t="n">
        <x:v>0.5346386106</x:v>
      </x:c>
      <x:c r="V78" s="39" t="n">
        <x:v>-0.2293619004</x:v>
      </x:c>
      <x:c r="W78" s="39" t="n">
        <x:v>-0.1290729919</x:v>
      </x:c>
      <x:c r="X78" s="39" t="n">
        <x:v>0.1254220633</x:v>
      </x:c>
      <x:c r="Y78" s="39" t="n">
        <x:v>0.4112501076</x:v>
      </x:c>
      <x:c r="Z78" s="39" t="n">
        <x:v>0.1565310765</x:v>
      </x:c>
      <x:c r="AA78" s="39" t="n">
        <x:v>-0.0294298891</x:v>
      </x:c>
      <x:c r="AB78" s="39" t="n">
        <x:v>0.2870383166</x:v>
      </x:c>
      <x:c r="AC78" s="39" t="n">
        <x:v>-0.2328785771</x:v>
      </x:c>
      <x:c r="AD78" s="39" t="n">
        <x:v>0.1126749654</x:v>
      </x:c>
      <x:c r="AE78" s="39" t="n">
        <x:v>0.059540886</x:v>
      </x:c>
      <x:c r="AF78" s="39" t="n">
        <x:v>-0.1742466422</x:v>
      </x:c>
      <x:c r="AG78" s="39" t="n">
        <x:v>0.0386928365</x:v>
      </x:c>
      <x:c r="AH78" s="39" t="n">
        <x:v>0.2764578433</x:v>
      </x:c>
      <x:c r="AI78" s="39" t="n">
        <x:v>0.0864906223</x:v>
      </x:c>
      <x:c r="AJ78" s="39" t="n">
        <x:v>-0.0612451696</x:v>
      </x:c>
      <x:c r="AK78" s="39" t="n">
        <x:v>0.0113545131</x:v>
      </x:c>
      <x:c r="AL78" s="39" t="n">
        <x:v>-0.0185530569</x:v>
      </x:c>
      <x:c r="AM78" s="39" t="n">
        <x:v>-0.1418063201</x:v>
      </x:c>
      <x:c r="AN78" s="39" t="n">
        <x:v>0.1050275256</x:v>
      </x:c>
      <x:c r="AO78" s="39" t="n">
        <x:v>0.1455356308</x:v>
      </x:c>
      <x:c r="AP78" s="39" t="n">
        <x:v>0.1199066443</x:v>
      </x:c>
      <x:c r="AQ78" s="39" t="n">
        <x:v>0.1186966558</x:v>
      </x:c>
      <x:c r="AR78" s="39" t="n">
        <x:v>0.1375051579</x:v>
      </x:c>
      <x:c r="AS78" s="39" t="n">
        <x:v>-0.0501128758</x:v>
      </x:c>
    </x:row>
    <x:row r="79" ht="19" customHeight="1">
      <x:c r="A79" s="30" t="str">
        <x:v>Original</x:v>
      </x:c>
      <x:c r="B79" s="40" t="d">
        <x:v>2026-02-23T00:00:00.000Z</x:v>
      </x:c>
      <x:c r="C79" s="39" t="n">
        <x:v>0.1424594139</x:v>
      </x:c>
      <x:c r="D79" s="39" t="n">
        <x:v>-0.0708041111</x:v>
      </x:c>
      <x:c r="E79" s="39" t="n">
        <x:v>0.1806547237</x:v>
      </x:c>
      <x:c r="F79" s="39" t="n">
        <x:v>0.1783640917</x:v>
      </x:c>
      <x:c r="G79" s="39" t="n">
        <x:v>-0.0940445832</x:v>
      </x:c>
      <x:c r="H79" s="39" t="n">
        <x:v>-0.0660083669</x:v>
      </x:c>
      <x:c r="I79" s="39" t="n">
        <x:v>-0.1987573346</x:v>
      </x:c>
      <x:c r="J79" s="39" t="n">
        <x:v>0.3414289766</x:v>
      </x:c>
      <x:c r="K79" s="39" t="n">
        <x:v>0.0005596526</x:v>
      </x:c>
      <x:c r="L79" s="39" t="n">
        <x:v>0.1924712913</x:v>
      </x:c>
      <x:c r="M79" s="39" t="n">
        <x:v>0.1077619836</x:v>
      </x:c>
      <x:c r="N79" s="39" t="n">
        <x:v>0.1307339573</x:v>
      </x:c>
      <x:c r="O79" s="39" t="n">
        <x:v>0.1146338313</x:v>
      </x:c>
      <x:c r="P79" s="39" t="n">
        <x:v>0.1694281758</x:v>
      </x:c>
      <x:c r="Q79" s="39" t="n">
        <x:v>0.0490076653</x:v>
      </x:c>
      <x:c r="R79" s="39" t="n">
        <x:v>0.022147993</x:v>
      </x:c>
      <x:c r="S79" s="39" t="n">
        <x:v>0.1523628883</x:v>
      </x:c>
      <x:c r="T79" s="39" t="n">
        <x:v>-0.0449324203</x:v>
      </x:c>
      <x:c r="U79" s="39" t="n">
        <x:v>0.2970619718</x:v>
      </x:c>
      <x:c r="V79" s="39" t="n">
        <x:v>0.1746779297</x:v>
      </x:c>
      <x:c r="W79" s="39" t="n">
        <x:v>0.2162693028</x:v>
      </x:c>
      <x:c r="X79" s="39" t="n">
        <x:v>0.0606676196</x:v>
      </x:c>
      <x:c r="Y79" s="39" t="n">
        <x:v>-0.0092344447</x:v>
      </x:c>
      <x:c r="Z79" s="39" t="n">
        <x:v>0.2220478519</x:v>
      </x:c>
      <x:c r="AA79" s="39" t="n">
        <x:v>0.0408559892</x:v>
      </x:c>
      <x:c r="AB79" s="39" t="n">
        <x:v>0.007981272</x:v>
      </x:c>
      <x:c r="AC79" s="39" t="n">
        <x:v>-0.556403086</x:v>
      </x:c>
      <x:c r="AD79" s="39" t="n">
        <x:v>0.1473431337</x:v>
      </x:c>
      <x:c r="AE79" s="39" t="n">
        <x:v>0.0392436538</x:v>
      </x:c>
      <x:c r="AF79" s="39" t="n">
        <x:v>-0.0035398006</x:v>
      </x:c>
      <x:c r="AG79" s="39" t="n">
        <x:v>-0.0408465762</x:v>
      </x:c>
      <x:c r="AH79" s="39" t="n">
        <x:v>0.0892461033</x:v>
      </x:c>
      <x:c r="AI79" s="39" t="n">
        <x:v>-0.2549754412</x:v>
      </x:c>
      <x:c r="AJ79" s="39" t="n">
        <x:v>0.024157368</x:v>
      </x:c>
      <x:c r="AK79" s="39" t="n">
        <x:v>0.1498704505</x:v>
      </x:c>
      <x:c r="AL79" s="39" t="n">
        <x:v>0.2782376819</x:v>
      </x:c>
      <x:c r="AM79" s="39" t="n">
        <x:v>-0.1354847145</x:v>
      </x:c>
      <x:c r="AN79" s="39" t="n">
        <x:v>-0.1229765421</x:v>
      </x:c>
      <x:c r="AO79" s="39" t="n">
        <x:v>0.1100864362</x:v>
      </x:c>
      <x:c r="AP79" s="39" t="n">
        <x:v>0.0247013621</x:v>
      </x:c>
      <x:c r="AQ79" s="39" t="n">
        <x:v>0.1314606147</x:v>
      </x:c>
      <x:c r="AR79" s="39" t="n">
        <x:v>0.143672804</x:v>
      </x:c>
      <x:c r="AS79" s="39" t="n">
        <x:v>0.0754331316</x:v>
      </x:c>
    </x:row>
    <x:row r="80" ht="19" customHeight="1">
      <x:c r="A80" s="30" t="str">
        <x:v>Original</x:v>
      </x:c>
      <x:c r="B80" s="40" t="d">
        <x:v>2026-03-23T00:00:00.000Z</x:v>
      </x:c>
      <x:c r="C80" s="39" t="n">
        <x:v>-0.170607414</x:v>
      </x:c>
      <x:c r="D80" s="39" t="n">
        <x:v>0.387305066</x:v>
      </x:c>
      <x:c r="E80" s="39" t="n">
        <x:v>-0.043510789</x:v>
      </x:c>
      <x:c r="F80" s="39" t="n">
        <x:v>0.0394058562</x:v>
      </x:c>
      <x:c r="G80" s="39" t="n">
        <x:v>-0.2121708276</x:v>
      </x:c>
      <x:c r="H80" s="39" t="n">
        <x:v>-0.2892038192</x:v>
      </x:c>
      <x:c r="I80" s="39" t="n">
        <x:v>-0.0804025102</x:v>
      </x:c>
      <x:c r="J80" s="39" t="n">
        <x:v>-0.0683155596</x:v>
      </x:c>
      <x:c r="K80" s="39" t="n">
        <x:v>-0.1061471855</x:v>
      </x:c>
      <x:c r="L80" s="39" t="n">
        <x:v>0.3354362564</x:v>
      </x:c>
      <x:c r="M80" s="39" t="n">
        <x:v>0.4867748597</x:v>
      </x:c>
      <x:c r="N80" s="39" t="n">
        <x:v>0.0118783054</x:v>
      </x:c>
      <x:c r="O80" s="39" t="n">
        <x:v>-0.2079545788</x:v>
      </x:c>
      <x:c r="P80" s="39" t="n">
        <x:v>-0.0235092267</x:v>
      </x:c>
      <x:c r="Q80" s="39" t="n">
        <x:v>-0.1134606461</x:v>
      </x:c>
      <x:c r="R80" s="39" t="n">
        <x:v>0.5759807236</x:v>
      </x:c>
      <x:c r="S80" s="39" t="n">
        <x:v>-0.0930672454</x:v>
      </x:c>
      <x:c r="T80" s="39" t="n">
        <x:v>0.2542012104</x:v>
      </x:c>
      <x:c r="U80" s="39" t="n">
        <x:v>-0.1200815843</x:v>
      </x:c>
      <x:c r="V80" s="39" t="n">
        <x:v>-0.3586130359</x:v>
      </x:c>
      <x:c r="W80" s="39" t="n">
        <x:v>-0.0457338022</x:v>
      </x:c>
      <x:c r="X80" s="39" t="n">
        <x:v>-0.1370115452</x:v>
      </x:c>
      <x:c r="Y80" s="39" t="n">
        <x:v>-0.2215793403</x:v>
      </x:c>
      <x:c r="Z80" s="39" t="n">
        <x:v>-0.3697282315</x:v>
      </x:c>
      <x:c r="AA80" s="39" t="n">
        <x:v>-0.1109455224</x:v>
      </x:c>
      <x:c r="AB80" s="39" t="n">
        <x:v>0.3961697262</x:v>
      </x:c>
      <x:c r="AC80" s="39" t="n">
        <x:v>-0.1461349623</x:v>
      </x:c>
      <x:c r="AD80" s="39" t="n">
        <x:v>-0.2444317638</x:v>
      </x:c>
      <x:c r="AE80" s="39" t="n">
        <x:v>-0.3310313314</x:v>
      </x:c>
      <x:c r="AF80" s="39" t="n">
        <x:v>0.1779829794</x:v>
      </x:c>
      <x:c r="AG80" s="39" t="n">
        <x:v>-0.2739854473</x:v>
      </x:c>
      <x:c r="AH80" s="39" t="n">
        <x:v>-0.2347831089</x:v>
      </x:c>
      <x:c r="AI80" s="39" t="n">
        <x:v>0.0136608804</x:v>
      </x:c>
      <x:c r="AJ80" s="39" t="n">
        <x:v>-0.2786063582</x:v>
      </x:c>
      <x:c r="AK80" s="39" t="n">
        <x:v>-0.0869806338</x:v>
      </x:c>
      <x:c r="AL80" s="39" t="n">
        <x:v>0.0511224924</x:v>
      </x:c>
      <x:c r="AM80" s="39" t="n">
        <x:v>-0.1482500041</x:v>
      </x:c>
      <x:c r="AN80" s="39" t="n">
        <x:v>-0.1962567947</x:v>
      </x:c>
      <x:c r="AO80" s="39" t="n">
        <x:v>-0.0416768431</x:v>
      </x:c>
      <x:c r="AP80" s="39" t="n">
        <x:v>-0.2499274343</x:v>
      </x:c>
      <x:c r="AQ80" s="39" t="n">
        <x:v>-0.1042947081</x:v>
      </x:c>
      <x:c r="AR80" s="39" t="n">
        <x:v>-0.0503892101</x:v>
      </x:c>
      <x:c r="AS80" s="39" t="n">
        <x:v>-0.115666921</x:v>
      </x:c>
    </x:row>
    <x:row r="81" ht="19" customHeight="1">
      <x:c r="A81" s="30" t="str">
        <x:v>Original</x:v>
      </x:c>
      <x:c r="B81" s="40" t="d">
        <x:v>2026-04-20T00:00:00.000Z</x:v>
      </x:c>
      <x:c r="C81" s="39" t="n">
        <x:v>0.0868435644</x:v>
      </x:c>
      <x:c r="D81" s="39" t="n">
        <x:v>-0.0716420091</x:v>
      </x:c>
      <x:c r="E81" s="39" t="n">
        <x:v>0.0547364759</x:v>
      </x:c>
      <x:c r="F81" s="39" t="n">
        <x:v>0.0526664131</x:v>
      </x:c>
      <x:c r="G81" s="39" t="n">
        <x:v>0.1635629787</x:v>
      </x:c>
      <x:c r="H81" s="39" t="n">
        <x:v>0.1613129597</x:v>
      </x:c>
      <x:c r="I81" s="39" t="n">
        <x:v>0.4396853229</x:v>
      </x:c>
      <x:c r="J81" s="39" t="n">
        <x:v>0.3653761703</x:v>
      </x:c>
      <x:c r="K81" s="39" t="n">
        <x:v>0.6783768658</x:v>
      </x:c>
      <x:c r="L81" s="39" t="n">
        <x:v>-0.1180177782</x:v>
      </x:c>
      <x:c r="M81" s="39" t="n">
        <x:v>-0.1890015744</x:v>
      </x:c>
      <x:c r="N81" s="39" t="n">
        <x:v>-0.0754942737</x:v>
      </x:c>
      <x:c r="O81" s="39" t="n">
        <x:v>-0.1220459214</x:v>
      </x:c>
      <x:c r="P81" s="39" t="n">
        <x:v>0.6001402255</x:v>
      </x:c>
      <x:c r="Q81" s="39" t="n">
        <x:v>0.0864557012</x:v>
      </x:c>
      <x:c r="R81" s="39" t="n">
        <x:v>0.2449096406</x:v>
      </x:c>
      <x:c r="S81" s="39" t="n">
        <x:v>-0.0471641768</x:v>
      </x:c>
      <x:c r="T81" s="39" t="n">
        <x:v>0.0309180143</x:v>
      </x:c>
      <x:c r="U81" s="39" t="n">
        <x:v>0.0365231784</x:v>
      </x:c>
      <x:c r="V81" s="39" t="n">
        <x:v>-0.1242942654</x:v>
      </x:c>
      <x:c r="W81" s="39" t="n">
        <x:v>-0.0166744061</x:v>
      </x:c>
      <x:c r="X81" s="39" t="n">
        <x:v>-0.0250366783</x:v>
      </x:c>
      <x:c r="Y81" s="39" t="n">
        <x:v>0.5166896263</x:v>
      </x:c>
      <x:c r="Z81" s="39" t="n">
        <x:v>0.2619577046</x:v>
      </x:c>
      <x:c r="AA81" s="39" t="n">
        <x:v>0.016864858</x:v>
      </x:c>
      <x:c r="AB81" s="39" t="n">
        <x:v>0.6879418269</x:v>
      </x:c>
      <x:c r="AC81" s="39" t="n">
        <x:v>0.4721090733</x:v>
      </x:c>
      <x:c r="AD81" s="39" t="n">
        <x:v>0.0706174342</x:v>
      </x:c>
      <x:c r="AE81" s="39" t="n">
        <x:v>0.1332113546</x:v>
      </x:c>
      <x:c r="AF81" s="39" t="n">
        <x:v>0.2541256054</x:v>
      </x:c>
      <x:c r="AG81" s="39" t="n">
        <x:v>0.3112944509</x:v>
      </x:c>
      <x:c r="AH81" s="39" t="n">
        <x:v>-0.095076334</x:v>
      </x:c>
      <x:c r="AI81" s="39" t="n">
        <x:v>0.8506314282</x:v>
      </x:c>
      <x:c r="AJ81" s="39" t="n">
        <x:v>0.0101616843</x:v>
      </x:c>
      <x:c r="AK81" s="39" t="n">
        <x:v>0.1004859236</x:v>
      </x:c>
      <x:c r="AL81" s="39" t="n">
        <x:v>0.4235954497</x:v>
      </x:c>
      <x:c r="AM81" s="39" t="n">
        <x:v>0.2725199786</x:v>
      </x:c>
      <x:c r="AN81" s="39" t="n">
        <x:v>0.3559996166</x:v>
      </x:c>
      <x:c r="AO81" s="39" t="n">
        <x:v>0.0428259562</x:v>
      </x:c>
      <x:c r="AP81" s="39" t="n">
        <x:v>0.0678074755</x:v>
      </x:c>
      <x:c r="AQ81" s="39" t="n">
        <x:v>0.018906195</x:v>
      </x:c>
      <x:c r="AR81" s="39" t="n">
        <x:v>-0.0866567878</x:v>
      </x:c>
      <x:c r="AS81" s="39" t="n">
        <x:v>0.0027707262</x:v>
      </x:c>
    </x:row>
    <x:row r="82" ht="19" customHeight="1">
      <x:c r="A82" s="30" t="str">
        <x:v>Original</x:v>
      </x:c>
      <x:c r="B82" s="40" t="d">
        <x:v>2026-05-18T00:00:00.000Z</x:v>
      </x:c>
      <x:c r="C82" s="39" t="n">
        <x:v>-0.0800308211</x:v>
      </x:c>
      <x:c r="D82" s="39" t="n">
        <x:v>0.0981244305</x:v>
      </x:c>
      <x:c r="E82" s="39" t="n">
        <x:v>-0.0259484905</x:v>
      </x:c>
      <x:c r="F82" s="39" t="n">
        <x:v>-0.0087771024</x:v>
      </x:c>
      <x:c r="G82" s="39" t="n">
        <x:v>0.0061770458</x:v>
      </x:c>
      <x:c r="H82" s="39" t="n">
        <x:v>-0.0624671587</x:v>
      </x:c>
      <x:c r="I82" s="39" t="n">
        <x:v>0.0139500732</x:v>
      </x:c>
      <x:c r="J82" s="39" t="n">
        <x:v>0.091876543</x:v>
      </x:c>
      <x:c r="K82" s="39" t="n">
        <x:v>0.5185618138</x:v>
      </x:c>
      <x:c r="L82" s="39" t="n">
        <x:v>0.080598002</x:v>
      </x:c>
      <x:c r="M82" s="39" t="n">
        <x:v>0.0165440327</x:v>
      </x:c>
      <x:c r="N82" s="39" t="n">
        <x:v>-0.0322665678</x:v>
      </x:c>
      <x:c r="O82" s="39" t="n">
        <x:v>0.0098942251</x:v>
      </x:c>
      <x:c r="P82" s="39" t="n">
        <x:v>0.2877320825</x:v>
      </x:c>
      <x:c r="Q82" s="39" t="n">
        <x:v>0.1185711781</x:v>
      </x:c>
      <x:c r="R82" s="39" t="n">
        <x:v>0.8087011623</x:v>
      </x:c>
      <x:c r="S82" s="39" t="n">
        <x:v>0.0339942336</x:v>
      </x:c>
      <x:c r="T82" s="39" t="n">
        <x:v>0.0682756085</x:v>
      </x:c>
      <x:c r="U82" s="39" t="n">
        <x:v>-0.125295654</x:v>
      </x:c>
      <x:c r="V82" s="39" t="n">
        <x:v>-0.045086848</x:v>
      </x:c>
      <x:c r="W82" s="39" t="n">
        <x:v>-0.0673545085</x:v>
      </x:c>
      <x:c r="X82" s="39" t="n">
        <x:v>-0.1414857793</x:v>
      </x:c>
      <x:c r="Y82" s="39" t="n">
        <x:v>0.6562404537</x:v>
      </x:c>
      <x:c r="Z82" s="39" t="n">
        <x:v>-0.1817941198</x:v>
      </x:c>
      <x:c r="AA82" s="39" t="n">
        <x:v>-0.0109428762</x:v>
      </x:c>
      <x:c r="AB82" s="39" t="n">
        <x:v>-0.2065043331</x:v>
      </x:c>
      <x:c r="AC82" s="39" t="n">
        <x:v>-0.2527936012</x:v>
      </x:c>
      <x:c r="AD82" s="39" t="n">
        <x:v>-0.0405821228</x:v>
      </x:c>
      <x:c r="AE82" s="39" t="n">
        <x:v>0.3172092635</x:v>
      </x:c>
      <x:c r="AF82" s="39" t="n">
        <x:v>0.4581048376</x:v>
      </x:c>
      <x:c r="AG82" s="39" t="n">
        <x:v>-0.0944072916</x:v>
      </x:c>
      <x:c r="AH82" s="39" t="n">
        <x:v>-0.1807244067</x:v>
      </x:c>
      <x:c r="AI82" s="39" t="n">
        <x:v>0.4695267301</x:v>
      </x:c>
      <x:c r="AJ82" s="39" t="n">
        <x:v>0.2985110499</x:v>
      </x:c>
      <x:c r="AK82" s="39" t="n">
        <x:v>0.0608581888</x:v>
      </x:c>
      <x:c r="AL82" s="39" t="n">
        <x:v>0.6212599068</x:v>
      </x:c>
      <x:c r="AM82" s="39" t="n">
        <x:v>-0.0193467817</x:v>
      </x:c>
      <x:c r="AN82" s="39" t="n">
        <x:v>0.1685181077</x:v>
      </x:c>
      <x:c r="AO82" s="39" t="n">
        <x:v>0.0289088796</x:v>
      </x:c>
      <x:c r="AP82" s="39" t="n">
        <x:v>-0.1116918726</x:v>
      </x:c>
      <x:c r="AQ82" s="39" t="n">
        <x:v>0.0974234003</x:v>
      </x:c>
      <x:c r="AR82" s="39" t="n">
        <x:v>0.0470263332</x:v>
      </x:c>
      <x:c r="AS82" s="39" t="n">
        <x:v>0.056682358</x:v>
      </x:c>
    </x:row>
    <x:row r="83" ht="19" customHeight="1">
      <x:c r="A83" s="30" t="str">
        <x:v>Original</x:v>
      </x:c>
      <x:c r="B83" s="40" t="d">
        <x:v>2026-06-15T00:00:00.000Z</x:v>
      </x:c>
      <x:c r="C83" s="39" t="n">
        <x:v>0.0752784602</x:v>
      </x:c>
      <x:c r="D83" s="39" t="n">
        <x:v>-0.1535602554</x:v>
      </x:c>
      <x:c r="E83" s="39" t="n">
        <x:v>-0.0484390383</x:v>
      </x:c>
      <x:c r="F83" s="39" t="n">
        <x:v>-0.0185851604</x:v>
      </x:c>
      <x:c r="G83" s="39" t="n">
        <x:v>0.013852259</x:v>
      </x:c>
      <x:c r="H83" s="39" t="n">
        <x:v>-0.0197008737</x:v>
      </x:c>
      <x:c r="I83" s="39" t="n">
        <x:v>-0.138356334</x:v>
      </x:c>
      <x:c r="J83" s="39" t="n">
        <x:v>0.1181107498</x:v>
      </x:c>
      <x:c r="K83" s="39" t="n">
        <x:v>0.443132093</x:v>
      </x:c>
      <x:c r="L83" s="39" t="n">
        <x:v>-0.0710419278</x:v>
      </x:c>
      <x:c r="M83" s="39" t="n">
        <x:v>-0.2696980396</x:v>
      </x:c>
      <x:c r="N83" s="39" t="n">
        <x:v>-0.1762040489</x:v>
      </x:c>
      <x:c r="O83" s="39" t="n">
        <x:v>0.1398707553</x:v>
      </x:c>
      <x:c r="P83" s="39" t="n">
        <x:v>0.696554973</x:v>
      </x:c>
      <x:c r="Q83" s="39" t="n">
        <x:v>-0.1093368014</x:v>
      </x:c>
      <x:c r="R83" s="39" t="n">
        <x:v>0.1438555084</x:v>
      </x:c>
      <x:c r="S83" s="39" t="n">
        <x:v>-0.2609345326</x:v>
      </x:c>
      <x:c r="T83" s="39" t="n">
        <x:v>0.0577180075</x:v>
      </x:c>
      <x:c r="U83" s="39" t="n">
        <x:v>0.5001867706</x:v>
      </x:c>
      <x:c r="V83" s="39" t="n">
        <x:v>0.1488967409</x:v>
      </x:c>
      <x:c r="W83" s="39" t="n">
        <x:v>-0.2180055072</x:v>
      </x:c>
      <x:c r="X83" s="39" t="n">
        <x:v>-0.1881195906</x:v>
      </x:c>
      <x:c r="Y83" s="39" t="n">
        <x:v>0.6634857721</x:v>
      </x:c>
      <x:c r="Z83" s="39" t="n">
        <x:v>-0.0548871155</x:v>
      </x:c>
      <x:c r="AA83" s="39" t="n">
        <x:v>0.042684209</x:v>
      </x:c>
      <x:c r="AB83" s="39" t="n">
        <x:v>0.284844421</x:v>
      </x:c>
      <x:c r="AC83" s="39" t="n">
        <x:v>0.2045991365</x:v>
      </x:c>
      <x:c r="AD83" s="39" t="n">
        <x:v>0.064886648</x:v>
      </x:c>
      <x:c r="AE83" s="39" t="n">
        <x:v>-0.0966649438</x:v>
      </x:c>
      <x:c r="AF83" s="39" t="n">
        <x:v>0.3788150144</x:v>
      </x:c>
      <x:c r="AG83" s="39" t="n">
        <x:v>0.0269719456</x:v>
      </x:c>
      <x:c r="AH83" s="39" t="n">
        <x:v>-0.1802948443</x:v>
      </x:c>
      <x:c r="AI83" s="39" t="n">
        <x:v>0.2242244189</x:v>
      </x:c>
      <x:c r="AJ83" s="39" t="n">
        <x:v>0.0499667706</x:v>
      </x:c>
      <x:c r="AK83" s="39" t="n">
        <x:v>-0.0725141598</x:v>
      </x:c>
      <x:c r="AL83" s="39" t="n">
        <x:v>-0.2205018821</x:v>
      </x:c>
      <x:c r="AM83" s="39" t="n">
        <x:v>-0.158191833</x:v>
      </x:c>
      <x:c r="AN83" s="39" t="n">
        <x:v>-0.0631058793</x:v>
      </x:c>
      <x:c r="AO83" s="39" t="n">
        <x:v>-0.1249662774</x:v>
      </x:c>
      <x:c r="AP83" s="39" t="n">
        <x:v>0.1175730616</x:v>
      </x:c>
      <x:c r="AQ83" s="39" t="n">
        <x:v>-0.0314758051</x:v>
      </x:c>
      <x:c r="AR83" s="39" t="n">
        <x:v>-0.0321747952</x:v>
      </x:c>
      <x:c r="AS83" s="39" t="n">
        <x:v>0.0101634027</x:v>
      </x:c>
    </x:row>
    <x:row r="84" ht="19" customHeight="1">
      <x:c r="A84" s="30" t="str">
        <x:v>Original</x:v>
      </x:c>
      <x:c r="B84" s="40" t="d">
        <x:v>2026-07-13T00:00:00.000Z</x:v>
      </x:c>
      <x:c r="C84" s="39" t="n">
        <x:v>-0.0827582749</x:v>
      </x:c>
      <x:c r="D84" s="39" t="n">
        <x:v>-0.1116383088</x:v>
      </x:c>
      <x:c r="E84" s="39" t="n">
        <x:v>0.0559374692</x:v>
      </x:c>
      <x:c r="F84" s="39" t="n">
        <x:v>0.031006744</x:v>
      </x:c>
      <x:c r="G84" s="39" t="n">
        <x:v>-0.0883481659</x:v>
      </x:c>
      <x:c r="H84" s="39" t="n">
        <x:v>0.0951758144</x:v>
      </x:c>
      <x:c r="I84" s="39" t="n">
        <x:v>0.0188661656</x:v>
      </x:c>
      <x:c r="J84" s="39" t="n">
        <x:v>-0.2636586143</x:v>
      </x:c>
      <x:c r="K84" s="39" t="n">
        <x:v>-0.499422883</x:v>
      </x:c>
      <x:c r="L84" s="39" t="n">
        <x:v>0.4414398616</x:v>
      </x:c>
      <x:c r="M84" s="39" t="n">
        <x:v>0.2697662126</x:v>
      </x:c>
      <x:c r="N84" s="39" t="n">
        <x:v>0.1257066985</x:v>
      </x:c>
      <x:c r="O84" s="39" t="n">
        <x:v>-0.0495531747</x:v>
      </x:c>
      <x:c r="P84" s="39" t="n">
        <x:v>-0.7299996911</x:v>
      </x:c>
      <x:c r="Q84" s="39" t="n">
        <x:v>0.2005840793</x:v>
      </x:c>
      <x:c r="R84" s="39" t="n">
        <x:v>-0.6147623806</x:v>
      </x:c>
      <x:c r="S84" s="39" t="n">
        <x:v>-0.0088386004</x:v>
      </x:c>
      <x:c r="T84" s="39" t="n">
        <x:v>0.3502308926</x:v>
      </x:c>
      <x:c r="U84" s="39" t="n">
        <x:v>-0.055569251</x:v>
      </x:c>
      <x:c r="V84" s="39" t="n">
        <x:v>0.3047688179</x:v>
      </x:c>
      <x:c r="W84" s="39" t="n">
        <x:v>-0.1883501414</x:v>
      </x:c>
      <x:c r="X84" s="39" t="n">
        <x:v>0.1182208653</x:v>
      </x:c>
      <x:c r="Y84" s="39" t="n">
        <x:v>-0.4724700925</x:v>
      </x:c>
      <x:c r="Z84" s="39" t="n">
        <x:v>-0.2382389158</x:v>
      </x:c>
      <x:c r="AA84" s="39" t="n">
        <x:v>0.0250913018</x:v>
      </x:c>
      <x:c r="AB84" s="39" t="n">
        <x:v>0.4049458529</x:v>
      </x:c>
      <x:c r="AC84" s="39" t="n">
        <x:v>-0.154072193</x:v>
      </x:c>
      <x:c r="AD84" s="39" t="n">
        <x:v>-0.0043493341</x:v>
      </x:c>
      <x:c r="AE84" s="39" t="n">
        <x:v>0.0196250937</x:v>
      </x:c>
      <x:c r="AF84" s="39" t="n">
        <x:v>-0.0557023776</x:v>
      </x:c>
      <x:c r="AG84" s="39" t="n">
        <x:v>-0.0649882549</x:v>
      </x:c>
      <x:c r="AH84" s="39" t="n">
        <x:v>-0.0960184555</x:v>
      </x:c>
      <x:c r="AI84" s="39" t="n">
        <x:v>-0.1316037153</x:v>
      </x:c>
      <x:c r="AJ84" s="39" t="n">
        <x:v>0.1155289701</x:v>
      </x:c>
      <x:c r="AK84" s="39" t="n">
        <x:v>0.2662666193</x:v>
      </x:c>
      <x:c r="AL84" s="39" t="n">
        <x:v>-0.4693536771</x:v>
      </x:c>
      <x:c r="AM84" s="39" t="n">
        <x:v>0.0609120728</x:v>
      </x:c>
      <x:c r="AN84" s="39" t="n">
        <x:v>-0.0971621903</x:v>
      </x:c>
      <x:c r="AO84" s="39" t="n">
        <x:v>-0.0182594331</x:v>
      </x:c>
      <x:c r="AP84" s="39" t="n">
        <x:v>0.0222688894</x:v>
      </x:c>
      <x:c r="AQ84" s="39" t="n">
        <x:v>0.0440335761</x:v>
      </x:c>
      <x:c r="AR84" s="39" t="n">
        <x:v>0.167361</x:v>
      </x:c>
      <x:c r="AS84" s="39" t="n">
        <x:v>0.0048302825</x:v>
      </x:c>
    </x:row>
    <x:row r="85" ht="19" customHeight="1">
      <x:c r="A85" s="30" t="str">
        <x:v>Original</x:v>
      </x:c>
      <x:c r="B85" s="40" t="d">
        <x:v>2026-08-10T00:00:00.000Z</x:v>
      </x:c>
      <x:c r="C85" s="39" t="n">
        <x:v>-0.0797728912</x:v>
      </x:c>
      <x:c r="D85" s="39" t="n">
        <x:v>0.1074150071</x:v>
      </x:c>
      <x:c r="E85" s="39" t="n">
        <x:v>-0.0715017669</x:v>
      </x:c>
      <x:c r="F85" s="39" t="n">
        <x:v>-0.0710610298</x:v>
      </x:c>
      <x:c r="G85" s="39" t="n">
        <x:v>0.1487690153</x:v>
      </x:c>
      <x:c r="H85" s="39" t="n">
        <x:v>-0.0458292821</x:v>
      </x:c>
      <x:c r="I85" s="39" t="n">
        <x:v>0.1001987869</x:v>
      </x:c>
      <x:c r="J85" s="39" t="n">
        <x:v>0.0969418172</x:v>
      </x:c>
      <x:c r="K85" s="39" t="n">
        <x:v>0.3507094502</x:v>
      </x:c>
      <x:c r="L85" s="39" t="n">
        <x:v>0.1693516199</x:v>
      </x:c>
      <x:c r="M85" s="39" t="n">
        <x:v>-0.0346000359</x:v>
      </x:c>
      <x:c r="N85" s="39" t="n">
        <x:v>0.0234631584</x:v>
      </x:c>
      <x:c r="O85" s="39" t="n">
        <x:v>-0.0067504251</x:v>
      </x:c>
      <x:c r="P85" s="39" t="n">
        <x:v>0.1061178556</x:v>
      </x:c>
      <x:c r="Q85" s="39" t="n">
        <x:v>-0.0812768077</x:v>
      </x:c>
      <x:c r="R85" s="39" t="n">
        <x:v>0.1466498678</x:v>
      </x:c>
      <x:c r="S85" s="39" t="n">
        <x:v>0.1593465578</x:v>
      </x:c>
      <x:c r="T85" s="39" t="n">
        <x:v>0.2130532066</x:v>
      </x:c>
      <x:c r="U85" s="39" t="n">
        <x:v>0.0397035707</x:v>
      </x:c>
      <x:c r="V85" s="39" t="n">
        <x:v>0.303276271</x:v>
      </x:c>
      <x:c r="W85" s="39" t="n">
        <x:v>0.2076346271</x:v>
      </x:c>
      <x:c r="X85" s="39" t="n">
        <x:v>0.1585380729</x:v>
      </x:c>
      <x:c r="Y85" s="39" t="n">
        <x:v>0.2235813074</x:v>
      </x:c>
      <x:c r="Z85" s="39" t="n">
        <x:v>0.4507509107</x:v>
      </x:c>
      <x:c r="AA85" s="39" t="n">
        <x:v>0.0130886371</x:v>
      </x:c>
      <x:c r="AB85" s="39" t="n">
        <x:v>0.2989605974</x:v>
      </x:c>
      <x:c r="AC85" s="39" t="n">
        <x:v>0.0508415618</x:v>
      </x:c>
      <x:c r="AD85" s="39" t="n">
        <x:v>-0.0487537759</x:v>
      </x:c>
      <x:c r="AE85" s="39" t="n">
        <x:v>0.0340531353</x:v>
      </x:c>
      <x:c r="AF85" s="39" t="n">
        <x:v>0.4105268767</x:v>
      </x:c>
      <x:c r="AG85" s="39" t="n">
        <x:v>0.1311585201</x:v>
      </x:c>
      <x:c r="AH85" s="39" t="n">
        <x:v>0.3261411175</x:v>
      </x:c>
      <x:c r="AI85" s="39" t="n">
        <x:v>0.0610927946</x:v>
      </x:c>
      <x:c r="AJ85" s="39" t="n">
        <x:v>0.0038456525</x:v>
      </x:c>
      <x:c r="AK85" s="39" t="n">
        <x:v>-0.0472414825</x:v>
      </x:c>
      <x:c r="AL85" s="39" t="n">
        <x:v>0.1015545597</x:v>
      </x:c>
      <x:c r="AM85" s="39" t="n">
        <x:v>0.3800253133</x:v>
      </x:c>
      <x:c r="AN85" s="39" t="n">
        <x:v>-0.004160151</x:v>
      </x:c>
      <x:c r="AO85" s="39" t="n">
        <x:v>0.0378616985</x:v>
      </x:c>
      <x:c r="AP85" s="39" t="n">
        <x:v>-0.0000489794</x:v>
      </x:c>
      <x:c r="AQ85" s="39" t="n">
        <x:v>0.1203927656</x:v>
      </x:c>
      <x:c r="AR85" s="39" t="n">
        <x:v>0.047164254</x:v>
      </x:c>
      <x:c r="AS85" s="39" t="n">
        <x:v>0.0436792941</x:v>
      </x:c>
    </x:row>
    <x:row r="86" ht="19" customHeight="1">
      <x:c r="A86" s="30" t="str">
        <x:v>Home FX</x:v>
      </x:c>
      <x:c r="B86" s="40" t="d">
        <x:v>2020-07-20T00:00:00.000Z</x:v>
      </x:c>
      <x:c r="C86" s="39" t="n">
        <x:v>0.0220390063</x:v>
      </x:c>
      <x:c r="D86" s="39" t="n">
        <x:v>0.0541093915</x:v>
      </x:c>
      <x:c r="E86" s="39" t="n">
        <x:v>0.065894395</x:v>
      </x:c>
      <x:c r="F86" s="39" t="n">
        <x:v>0.0616212415</x:v>
      </x:c>
      <x:c r="G86" s="39" t="n">
        <x:v>0.0408369218</x:v>
      </x:c>
      <x:c r="H86" s="39" t="n">
        <x:v>0.0488435173</x:v>
      </x:c>
      <x:c r="I86" s="39" t="n">
        <x:v>0.060334672</x:v>
      </x:c>
      <x:c r="J86" s="39" t="n">
        <x:v>0.0400888818</x:v>
      </x:c>
      <x:c r="K86" s="39" t="n">
        <x:v>-0.0511783034</x:v>
      </x:c>
      <x:c r="L86" s="39" t="n">
        <x:v>0.0157935009</x:v>
      </x:c>
      <x:c r="M86" s="39" t="n">
        <x:v>0.0587088521</x:v>
      </x:c>
      <x:c r="N86" s="39" t="n">
        <x:v>-0.0088807484</x:v>
      </x:c>
      <x:c r="O86" s="39" t="n">
        <x:v>0.0942125819</x:v>
      </x:c>
      <x:c r="P86" s="39" t="n">
        <x:v>0.0257220611</x:v>
      </x:c>
      <x:c r="Q86" s="39" t="n">
        <x:v>-0.0657486741</x:v>
      </x:c>
      <x:c r="R86" s="39"/>
      <x:c r="S86" s="39" t="n">
        <x:v>0.0206868203</x:v>
      </x:c>
      <x:c r="T86" s="39" t="n">
        <x:v>0.0028997815</x:v>
      </x:c>
      <x:c r="U86" s="39" t="n">
        <x:v>0.0967126786</x:v>
      </x:c>
      <x:c r="V86" s="39" t="n">
        <x:v>-0.0625549678</x:v>
      </x:c>
      <x:c r="W86" s="39" t="n">
        <x:v>0.043632435</x:v>
      </x:c>
      <x:c r="X86" s="39" t="n">
        <x:v>0.0656159276</x:v>
      </x:c>
      <x:c r="Y86" s="39" t="n">
        <x:v>0.0168902307</x:v>
      </x:c>
      <x:c r="Z86" s="39" t="n">
        <x:v>0.0639776961</x:v>
      </x:c>
      <x:c r="AA86" s="39" t="n">
        <x:v>0.0661737627</x:v>
      </x:c>
      <x:c r="AB86" s="39" t="n">
        <x:v>0.0047416266</x:v>
      </x:c>
      <x:c r="AC86" s="39"/>
      <x:c r="AD86" s="39" t="n">
        <x:v>0.0518281507</x:v>
      </x:c>
      <x:c r="AE86" s="39" t="n">
        <x:v>0.0826279046</x:v>
      </x:c>
      <x:c r="AF86" s="39" t="n">
        <x:v>0.0068247691</x:v>
      </x:c>
      <x:c r="AG86" s="39" t="n">
        <x:v>0.0118623428</x:v>
      </x:c>
      <x:c r="AH86" s="39" t="n">
        <x:v>0.0190614606</x:v>
      </x:c>
      <x:c r="AI86" s="39" t="n">
        <x:v>0.1771735437</x:v>
      </x:c>
      <x:c r="AJ86" s="39" t="n">
        <x:v>-0.0110980307</x:v>
      </x:c>
      <x:c r="AK86" s="39" t="n">
        <x:v>0.018060508</x:v>
      </x:c>
      <x:c r="AL86" s="39" t="n">
        <x:v>-0.0305591206</x:v>
      </x:c>
      <x:c r="AM86" s="39" t="n">
        <x:v>0.0135922784</x:v>
      </x:c>
      <x:c r="AN86" s="39" t="n">
        <x:v>0.0552254293</x:v>
      </x:c>
      <x:c r="AO86" s="39" t="n">
        <x:v>0.0510931372</x:v>
      </x:c>
      <x:c r="AP86" s="39" t="n">
        <x:v>0.0522281853</x:v>
      </x:c>
      <x:c r="AQ86" s="39" t="n">
        <x:v>0.058169789</x:v>
      </x:c>
      <x:c r="AR86" s="39" t="n">
        <x:v>0.0392262159</x:v>
      </x:c>
      <x:c r="AS86" s="39" t="n">
        <x:v>0.0563475197</x:v>
      </x:c>
    </x:row>
    <x:row r="87" ht="19" customHeight="1">
      <x:c r="A87" s="30" t="str">
        <x:v>Home FX</x:v>
      </x:c>
      <x:c r="B87" s="40" t="d">
        <x:v>2020-08-17T00:00:00.000Z</x:v>
      </x:c>
      <x:c r="C87" s="39" t="n">
        <x:v>0.0063881766</x:v>
      </x:c>
      <x:c r="D87" s="39" t="n">
        <x:v>-0.1398069985</x:v>
      </x:c>
      <x:c r="E87" s="39" t="n">
        <x:v>-0.054707001</x:v>
      </x:c>
      <x:c r="F87" s="39" t="n">
        <x:v>-0.0198401839</x:v>
      </x:c>
      <x:c r="G87" s="39" t="n">
        <x:v>0.0442634235</x:v>
      </x:c>
      <x:c r="H87" s="39" t="n">
        <x:v>0.056953218</x:v>
      </x:c>
      <x:c r="I87" s="39" t="n">
        <x:v>0.0483615256</x:v>
      </x:c>
      <x:c r="J87" s="39" t="n">
        <x:v>0.1346319383</x:v>
      </x:c>
      <x:c r="K87" s="39" t="n">
        <x:v>-0.1032226603</x:v>
      </x:c>
      <x:c r="L87" s="39" t="n">
        <x:v>-0.0437937152</x:v>
      </x:c>
      <x:c r="M87" s="39" t="n">
        <x:v>0.0361204319</x:v>
      </x:c>
      <x:c r="N87" s="39" t="n">
        <x:v>0.039943998</x:v>
      </x:c>
      <x:c r="O87" s="39" t="n">
        <x:v>0.0148283943</x:v>
      </x:c>
      <x:c r="P87" s="39" t="n">
        <x:v>-0.1322918813</x:v>
      </x:c>
      <x:c r="Q87" s="39" t="n">
        <x:v>-0.0050074948</x:v>
      </x:c>
      <x:c r="R87" s="39"/>
      <x:c r="S87" s="39" t="n">
        <x:v>0.0164500421</x:v>
      </x:c>
      <x:c r="T87" s="39" t="n">
        <x:v>0.047310469</x:v>
      </x:c>
      <x:c r="U87" s="39" t="n">
        <x:v>-0.0534228852</x:v>
      </x:c>
      <x:c r="V87" s="39" t="n">
        <x:v>-0.0197343452</x:v>
      </x:c>
      <x:c r="W87" s="39" t="n">
        <x:v>0.0134466419</x:v>
      </x:c>
      <x:c r="X87" s="39" t="n">
        <x:v>-0.0035730158</x:v>
      </x:c>
      <x:c r="Y87" s="39" t="n">
        <x:v>-0.0877648255</x:v>
      </x:c>
      <x:c r="Z87" s="39" t="n">
        <x:v>-0.009834991</x:v>
      </x:c>
      <x:c r="AA87" s="39" t="n">
        <x:v>0.0243095959</x:v>
      </x:c>
      <x:c r="AB87" s="39" t="n">
        <x:v>-0.1178831828</x:v>
      </x:c>
      <x:c r="AC87" s="39"/>
      <x:c r="AD87" s="39" t="n">
        <x:v>0.0480966262</x:v>
      </x:c>
      <x:c r="AE87" s="39" t="n">
        <x:v>-0.0179207832</x:v>
      </x:c>
      <x:c r="AF87" s="39" t="n">
        <x:v>-0.0168786529</x:v>
      </x:c>
      <x:c r="AG87" s="39" t="n">
        <x:v>-0.0202325356</x:v>
      </x:c>
      <x:c r="AH87" s="39" t="n">
        <x:v>-0.0606088716</x:v>
      </x:c>
      <x:c r="AI87" s="39" t="n">
        <x:v>0.1040340046</x:v>
      </x:c>
      <x:c r="AJ87" s="39" t="n">
        <x:v>-0.0340459869</x:v>
      </x:c>
      <x:c r="AK87" s="39" t="n">
        <x:v>0.0542875197</x:v>
      </x:c>
      <x:c r="AL87" s="39" t="n">
        <x:v>0.0595657306</x:v>
      </x:c>
      <x:c r="AM87" s="39" t="n">
        <x:v>0.0325361308</x:v>
      </x:c>
      <x:c r="AN87" s="39" t="n">
        <x:v>0.0240934181</x:v>
      </x:c>
      <x:c r="AO87" s="39" t="n">
        <x:v>0.0321694834</x:v>
      </x:c>
      <x:c r="AP87" s="39" t="n">
        <x:v>0.0360409485</x:v>
      </x:c>
      <x:c r="AQ87" s="39" t="n">
        <x:v>-0.0139345064</x:v>
      </x:c>
      <x:c r="AR87" s="39" t="n">
        <x:v>0.0170088631</x:v>
      </x:c>
      <x:c r="AS87" s="39" t="n">
        <x:v>0.0354336791</x:v>
      </x:c>
    </x:row>
    <x:row r="88" ht="19" customHeight="1">
      <x:c r="A88" s="30" t="str">
        <x:v>Home FX</x:v>
      </x:c>
      <x:c r="B88" s="40" t="d">
        <x:v>2020-09-14T00:00:00.000Z</x:v>
      </x:c>
      <x:c r="C88" s="39" t="n">
        <x:v>-0.0257498283</x:v>
      </x:c>
      <x:c r="D88" s="39" t="n">
        <x:v>-0.1741197306</x:v>
      </x:c>
      <x:c r="E88" s="39" t="n">
        <x:v>-0.0021259424</x:v>
      </x:c>
      <x:c r="F88" s="39" t="n">
        <x:v>-0.015603049</x:v>
      </x:c>
      <x:c r="G88" s="39" t="n">
        <x:v>0.0051979195</x:v>
      </x:c>
      <x:c r="H88" s="39" t="n">
        <x:v>-0.0171092034</x:v>
      </x:c>
      <x:c r="I88" s="39" t="n">
        <x:v>-0.0591760379</x:v>
      </x:c>
      <x:c r="J88" s="39" t="n">
        <x:v>0.0034086916</x:v>
      </x:c>
      <x:c r="K88" s="39" t="n">
        <x:v>-0.0184741768</x:v>
      </x:c>
      <x:c r="L88" s="39" t="n">
        <x:v>-0.0431806512</x:v>
      </x:c>
      <x:c r="M88" s="39" t="n">
        <x:v>0.0276395004</x:v>
      </x:c>
      <x:c r="N88" s="39" t="n">
        <x:v>0.0468681878</x:v>
      </x:c>
      <x:c r="O88" s="39" t="n">
        <x:v>-0.0199823524</x:v>
      </x:c>
      <x:c r="P88" s="39" t="n">
        <x:v>0.0552443752</x:v>
      </x:c>
      <x:c r="Q88" s="39" t="n">
        <x:v>0.0122279211</x:v>
      </x:c>
      <x:c r="R88" s="39"/>
      <x:c r="S88" s="39" t="n">
        <x:v>-0.0128365967</x:v>
      </x:c>
      <x:c r="T88" s="39" t="n">
        <x:v>-0.0267832065</x:v>
      </x:c>
      <x:c r="U88" s="39" t="n">
        <x:v>0.0280669042</x:v>
      </x:c>
      <x:c r="V88" s="39" t="n">
        <x:v>-0.0004063168</x:v>
      </x:c>
      <x:c r="W88" s="39" t="n">
        <x:v>-0.0259833372</x:v>
      </x:c>
      <x:c r="X88" s="39" t="n">
        <x:v>0.0277369343</x:v>
      </x:c>
      <x:c r="Y88" s="39" t="n">
        <x:v>0.0970034891</x:v>
      </x:c>
      <x:c r="Z88" s="39" t="n">
        <x:v>-0.0052538016</x:v>
      </x:c>
      <x:c r="AA88" s="39" t="n">
        <x:v>0.029884206</x:v>
      </x:c>
      <x:c r="AB88" s="39" t="n">
        <x:v>-0.0415990982</x:v>
      </x:c>
      <x:c r="AC88" s="39"/>
      <x:c r="AD88" s="39" t="n">
        <x:v>-0.0002848656</x:v>
      </x:c>
      <x:c r="AE88" s="39" t="n">
        <x:v>0.0459253507</x:v>
      </x:c>
      <x:c r="AF88" s="39" t="n">
        <x:v>0.0171404607</x:v>
      </x:c>
      <x:c r="AG88" s="39" t="n">
        <x:v>-0.021648463</x:v>
      </x:c>
      <x:c r="AH88" s="39" t="n">
        <x:v>-0.0305939002</x:v>
      </x:c>
      <x:c r="AI88" s="39" t="n">
        <x:v>-0.0626348729</x:v>
      </x:c>
      <x:c r="AJ88" s="39" t="n">
        <x:v>0.0181008022</x:v>
      </x:c>
      <x:c r="AK88" s="39" t="n">
        <x:v>0.0031793305</x:v>
      </x:c>
      <x:c r="AL88" s="39" t="n">
        <x:v>-0.127463694</x:v>
      </x:c>
      <x:c r="AM88" s="39" t="n">
        <x:v>-0.0341817785</x:v>
      </x:c>
      <x:c r="AN88" s="39" t="n">
        <x:v>-0.0460273269</x:v>
      </x:c>
      <x:c r="AO88" s="39" t="n">
        <x:v>-0.014216778</x:v>
      </x:c>
      <x:c r="AP88" s="39" t="n">
        <x:v>-0.0131632859</x:v>
      </x:c>
      <x:c r="AQ88" s="39" t="n">
        <x:v>0.0408015462</x:v>
      </x:c>
      <x:c r="AR88" s="39" t="n">
        <x:v>-0.0095525896</x:v>
      </x:c>
      <x:c r="AS88" s="39" t="n">
        <x:v>0.028333869</x:v>
      </x:c>
    </x:row>
    <x:row r="89" ht="19" customHeight="1">
      <x:c r="A89" s="30" t="str">
        <x:v>Home FX</x:v>
      </x:c>
      <x:c r="B89" s="40" t="d">
        <x:v>2020-10-12T00:00:00.000Z</x:v>
      </x:c>
      <x:c r="C89" s="39" t="n">
        <x:v>0.0278073665</x:v>
      </x:c>
      <x:c r="D89" s="39" t="n">
        <x:v>-0.0601423679</x:v>
      </x:c>
      <x:c r="E89" s="39" t="n">
        <x:v>0.0850209842</x:v>
      </x:c>
      <x:c r="F89" s="39" t="n">
        <x:v>0.0631550189</x:v>
      </x:c>
      <x:c r="G89" s="39" t="n">
        <x:v>-0.0080826207</x:v>
      </x:c>
      <x:c r="H89" s="39" t="n">
        <x:v>0.0551829524</x:v>
      </x:c>
      <x:c r="I89" s="39" t="n">
        <x:v>0.0579386511</x:v>
      </x:c>
      <x:c r="J89" s="39" t="n">
        <x:v>0.0355883897</x:v>
      </x:c>
      <x:c r="K89" s="39" t="n">
        <x:v>-0.011775645</x:v>
      </x:c>
      <x:c r="L89" s="39" t="n">
        <x:v>-0.1086282583</x:v>
      </x:c>
      <x:c r="M89" s="39" t="n">
        <x:v>-0.0849366935</x:v>
      </x:c>
      <x:c r="N89" s="39" t="n">
        <x:v>-0.0278392664</x:v>
      </x:c>
      <x:c r="O89" s="39" t="n">
        <x:v>0.0476446093</x:v>
      </x:c>
      <x:c r="P89" s="39" t="n">
        <x:v>0.0110196293</x:v>
      </x:c>
      <x:c r="Q89" s="39" t="n">
        <x:v>0.0369047041</x:v>
      </x:c>
      <x:c r="R89" s="39"/>
      <x:c r="S89" s="39" t="n">
        <x:v>-0.0035673623</x:v>
      </x:c>
      <x:c r="T89" s="39" t="n">
        <x:v>0.2562645494</x:v>
      </x:c>
      <x:c r="U89" s="39" t="n">
        <x:v>0.0321129687</x:v>
      </x:c>
      <x:c r="V89" s="39" t="n">
        <x:v>0.1584790836</x:v>
      </x:c>
      <x:c r="W89" s="39" t="n">
        <x:v>0.0690378347</x:v>
      </x:c>
      <x:c r="X89" s="39" t="n">
        <x:v>0.0066019239</x:v>
      </x:c>
      <x:c r="Y89" s="39" t="n">
        <x:v>0.0096428433</x:v>
      </x:c>
      <x:c r="Z89" s="39" t="n">
        <x:v>-0.0181689103</x:v>
      </x:c>
      <x:c r="AA89" s="39" t="n">
        <x:v>-0.0014031314</x:v>
      </x:c>
      <x:c r="AB89" s="39" t="n">
        <x:v>-0.1230174388</x:v>
      </x:c>
      <x:c r="AC89" s="39"/>
      <x:c r="AD89" s="39" t="n">
        <x:v>0.0282687269</x:v>
      </x:c>
      <x:c r="AE89" s="39" t="n">
        <x:v>0.0335082491</x:v>
      </x:c>
      <x:c r="AF89" s="39" t="n">
        <x:v>-0.0011954391</x:v>
      </x:c>
      <x:c r="AG89" s="39" t="n">
        <x:v>0.0214477058</x:v>
      </x:c>
      <x:c r="AH89" s="39" t="n">
        <x:v>-0.0045041903</x:v>
      </x:c>
      <x:c r="AI89" s="39" t="n">
        <x:v>0.0591763431</x:v>
      </x:c>
      <x:c r="AJ89" s="39" t="n">
        <x:v>-0.0304172079</x:v>
      </x:c>
      <x:c r="AK89" s="39" t="n">
        <x:v>-0.022233673</x:v>
      </x:c>
      <x:c r="AL89" s="39" t="n">
        <x:v>-0.0239725083</x:v>
      </x:c>
      <x:c r="AM89" s="39" t="n">
        <x:v>0.0520769622</x:v>
      </x:c>
      <x:c r="AN89" s="39" t="n">
        <x:v>0.0438406683</x:v>
      </x:c>
      <x:c r="AO89" s="39" t="n">
        <x:v>0.0721600945</x:v>
      </x:c>
      <x:c r="AP89" s="39" t="n">
        <x:v>0.0251362389</x:v>
      </x:c>
      <x:c r="AQ89" s="39" t="n">
        <x:v>-0.0047417235</x:v>
      </x:c>
      <x:c r="AR89" s="39" t="n">
        <x:v>-0.0041209611</x:v>
      </x:c>
      <x:c r="AS89" s="39" t="n">
        <x:v>-0.0166165693</x:v>
      </x:c>
    </x:row>
    <x:row r="90" ht="19" customHeight="1">
      <x:c r="A90" s="30" t="str">
        <x:v>Home FX</x:v>
      </x:c>
      <x:c r="B90" s="40" t="d">
        <x:v>2020-11-09T00:00:00.000Z</x:v>
      </x:c>
      <x:c r="C90" s="39" t="n">
        <x:v>0.0210824094</x:v>
      </x:c>
      <x:c r="D90" s="39" t="n">
        <x:v>-0.0003096113</x:v>
      </x:c>
      <x:c r="E90" s="39" t="n">
        <x:v>-0.0057644431</x:v>
      </x:c>
      <x:c r="F90" s="39" t="n">
        <x:v>0.0184075058</x:v>
      </x:c>
      <x:c r="G90" s="39" t="n">
        <x:v>0.0501435182</x:v>
      </x:c>
      <x:c r="H90" s="39" t="n">
        <x:v>-0.0391993616</x:v>
      </x:c>
      <x:c r="I90" s="39" t="n">
        <x:v>-0.0258662008</x:v>
      </x:c>
      <x:c r="J90" s="39" t="n">
        <x:v>-0.0606832918</x:v>
      </x:c>
      <x:c r="K90" s="39" t="n">
        <x:v>-0.0284700988</x:v>
      </x:c>
      <x:c r="L90" s="39" t="n">
        <x:v>0.135695071</x:v>
      </x:c>
      <x:c r="M90" s="39" t="n">
        <x:v>0.0365458702</x:v>
      </x:c>
      <x:c r="N90" s="39" t="n">
        <x:v>0.0054788023</x:v>
      </x:c>
      <x:c r="O90" s="39" t="n">
        <x:v>0.0489972297</x:v>
      </x:c>
      <x:c r="P90" s="39" t="n">
        <x:v>0.0511762211</x:v>
      </x:c>
      <x:c r="Q90" s="39" t="n">
        <x:v>0.0110900368</x:v>
      </x:c>
      <x:c r="R90" s="39"/>
      <x:c r="S90" s="39" t="n">
        <x:v>-0.0069939245</x:v>
      </x:c>
      <x:c r="T90" s="39" t="n">
        <x:v>0.051687018</x:v>
      </x:c>
      <x:c r="U90" s="39" t="n">
        <x:v>0.1091553707</x:v>
      </x:c>
      <x:c r="V90" s="39" t="n">
        <x:v>0.0591411717</x:v>
      </x:c>
      <x:c r="W90" s="39" t="n">
        <x:v>-0.0544647528</x:v>
      </x:c>
      <x:c r="X90" s="39" t="n">
        <x:v>0.0418721938</x:v>
      </x:c>
      <x:c r="Y90" s="39" t="n">
        <x:v>0.0664521115</x:v>
      </x:c>
      <x:c r="Z90" s="39" t="n">
        <x:v>0.0272484212</x:v>
      </x:c>
      <x:c r="AA90" s="39" t="n">
        <x:v>-0.0051482121</x:v>
      </x:c>
      <x:c r="AB90" s="39" t="n">
        <x:v>-0.0196443944</x:v>
      </x:c>
      <x:c r="AC90" s="39"/>
      <x:c r="AD90" s="39" t="n">
        <x:v>0.0027468259</x:v>
      </x:c>
      <x:c r="AE90" s="39" t="n">
        <x:v>0.0618067552</x:v>
      </x:c>
      <x:c r="AF90" s="39" t="n">
        <x:v>0.0387161341</x:v>
      </x:c>
      <x:c r="AG90" s="39" t="n">
        <x:v>0.0642025601</x:v>
      </x:c>
      <x:c r="AH90" s="39" t="n">
        <x:v>0.059086119</x:v>
      </x:c>
      <x:c r="AI90" s="39" t="n">
        <x:v>-0.0121623456</x:v>
      </x:c>
      <x:c r="AJ90" s="39" t="n">
        <x:v>-0.0119670796</x:v>
      </x:c>
      <x:c r="AK90" s="39" t="n">
        <x:v>0.1150571973</x:v>
      </x:c>
      <x:c r="AL90" s="39" t="n">
        <x:v>-0.0522162246</x:v>
      </x:c>
      <x:c r="AM90" s="39" t="n">
        <x:v>-0.0083090001</x:v>
      </x:c>
      <x:c r="AN90" s="39" t="n">
        <x:v>0.0705514079</x:v>
      </x:c>
      <x:c r="AO90" s="39" t="n">
        <x:v>-0.0029809652</x:v>
      </x:c>
      <x:c r="AP90" s="39" t="n">
        <x:v>-0.0213691294</x:v>
      </x:c>
      <x:c r="AQ90" s="39" t="n">
        <x:v>0.0380373059</x:v>
      </x:c>
      <x:c r="AR90" s="39" t="n">
        <x:v>0.0069492213</x:v>
      </x:c>
      <x:c r="AS90" s="39" t="n">
        <x:v>0.0406334392</x:v>
      </x:c>
    </x:row>
    <x:row r="91" ht="19" customHeight="1">
      <x:c r="A91" s="30" t="str">
        <x:v>Home FX</x:v>
      </x:c>
      <x:c r="B91" s="40" t="d">
        <x:v>2020-12-07T00:00:00.000Z</x:v>
      </x:c>
      <x:c r="C91" s="39" t="n">
        <x:v>-0.0445335861</x:v>
      </x:c>
      <x:c r="D91" s="39" t="n">
        <x:v>0.0599396405</x:v>
      </x:c>
      <x:c r="E91" s="39" t="n">
        <x:v>-0.0480843261</x:v>
      </x:c>
      <x:c r="F91" s="39" t="n">
        <x:v>-0.0352422787</x:v>
      </x:c>
      <x:c r="G91" s="39" t="n">
        <x:v>0.1394546461</x:v>
      </x:c>
      <x:c r="H91" s="39" t="n">
        <x:v>0.0222147771</x:v>
      </x:c>
      <x:c r="I91" s="39" t="n">
        <x:v>-0.0023149072</x:v>
      </x:c>
      <x:c r="J91" s="39" t="n">
        <x:v>0.0086280771</x:v>
      </x:c>
      <x:c r="K91" s="39" t="n">
        <x:v>0.0319749946</x:v>
      </x:c>
      <x:c r="L91" s="39" t="n">
        <x:v>0.096584071</x:v>
      </x:c>
      <x:c r="M91" s="39" t="n">
        <x:v>0.141519196</x:v>
      </x:c>
      <x:c r="N91" s="39" t="n">
        <x:v>0.0629067997</x:v>
      </x:c>
      <x:c r="O91" s="39" t="n">
        <x:v>0.020085439</x:v>
      </x:c>
      <x:c r="P91" s="39" t="n">
        <x:v>0.1217105158</x:v>
      </x:c>
      <x:c r="Q91" s="39" t="n">
        <x:v>0.0238034395</x:v>
      </x:c>
      <x:c r="R91" s="39"/>
      <x:c r="S91" s="39" t="n">
        <x:v>0.0509640165</x:v>
      </x:c>
      <x:c r="T91" s="39" t="n">
        <x:v>0.1496008211</x:v>
      </x:c>
      <x:c r="U91" s="39" t="n">
        <x:v>0.3283390206</x:v>
      </x:c>
      <x:c r="V91" s="39" t="n">
        <x:v>0.010229687</x:v>
      </x:c>
      <x:c r="W91" s="39" t="n">
        <x:v>0.024119465</x:v>
      </x:c>
      <x:c r="X91" s="39" t="n">
        <x:v>0.0225383585</x:v>
      </x:c>
      <x:c r="Y91" s="39" t="n">
        <x:v>0.1148170354</x:v>
      </x:c>
      <x:c r="Z91" s="39" t="n">
        <x:v>-0.0602245654</x:v>
      </x:c>
      <x:c r="AA91" s="39" t="n">
        <x:v>-0.0077974489</x:v>
      </x:c>
      <x:c r="AB91" s="39" t="n">
        <x:v>0.0552101368</x:v>
      </x:c>
      <x:c r="AC91" s="39"/>
      <x:c r="AD91" s="39" t="n">
        <x:v>-0.0322965378</x:v>
      </x:c>
      <x:c r="AE91" s="39" t="n">
        <x:v>0.0319029989</x:v>
      </x:c>
      <x:c r="AF91" s="39" t="n">
        <x:v>0.1035954294</x:v>
      </x:c>
      <x:c r="AG91" s="39" t="n">
        <x:v>0.1212425769</x:v>
      </x:c>
      <x:c r="AH91" s="39" t="n">
        <x:v>0.0506772761</x:v>
      </x:c>
      <x:c r="AI91" s="39" t="n">
        <x:v>0.0689786873</x:v>
      </x:c>
      <x:c r="AJ91" s="39" t="n">
        <x:v>0.0682150642</x:v>
      </x:c>
      <x:c r="AK91" s="39" t="n">
        <x:v>-0.0118647244</x:v>
      </x:c>
      <x:c r="AL91" s="39" t="n">
        <x:v>0.014322734</x:v>
      </x:c>
      <x:c r="AM91" s="39" t="n">
        <x:v>-0.0072983665</x:v>
      </x:c>
      <x:c r="AN91" s="39" t="n">
        <x:v>0.0008355345</x:v>
      </x:c>
      <x:c r="AO91" s="39" t="n">
        <x:v>0.009297042</x:v>
      </x:c>
      <x:c r="AP91" s="39" t="n">
        <x:v>-0.0240150808</x:v>
      </x:c>
      <x:c r="AQ91" s="39" t="n">
        <x:v>0.0034641139</x:v>
      </x:c>
      <x:c r="AR91" s="39" t="n">
        <x:v>0.0157915052</x:v>
      </x:c>
      <x:c r="AS91" s="39" t="n">
        <x:v>-0.0026483096</x:v>
      </x:c>
    </x:row>
    <x:row r="92" ht="19" customHeight="1">
      <x:c r="A92" s="30" t="str">
        <x:v>Home FX</x:v>
      </x:c>
      <x:c r="B92" s="40" t="d">
        <x:v>2021-01-04T00:00:00.000Z</x:v>
      </x:c>
      <x:c r="C92" s="39" t="n">
        <x:v>0.0862152649</x:v>
      </x:c>
      <x:c r="D92" s="39" t="n">
        <x:v>-0.0596984363</x:v>
      </x:c>
      <x:c r="E92" s="39" t="n">
        <x:v>-0.0261655364</x:v>
      </x:c>
      <x:c r="F92" s="39" t="n">
        <x:v>-0.0435305468</x:v>
      </x:c>
      <x:c r="G92" s="39" t="n">
        <x:v>0.0099172193</x:v>
      </x:c>
      <x:c r="H92" s="39" t="n">
        <x:v>0.0448797055</x:v>
      </x:c>
      <x:c r="I92" s="39" t="n">
        <x:v>0.0124522116</x:v>
      </x:c>
      <x:c r="J92" s="39" t="n">
        <x:v>0.0647683905</x:v>
      </x:c>
      <x:c r="K92" s="39" t="n">
        <x:v>-0.115717418</x:v>
      </x:c>
      <x:c r="L92" s="39" t="n">
        <x:v>-0.0133812744</x:v>
      </x:c>
      <x:c r="M92" s="39" t="n">
        <x:v>0.0543828605</x:v>
      </x:c>
      <x:c r="N92" s="39" t="n">
        <x:v>0.021188827</x:v>
      </x:c>
      <x:c r="O92" s="39" t="n">
        <x:v>0.1080269129</x:v>
      </x:c>
      <x:c r="P92" s="39" t="n">
        <x:v>0.0083947114</x:v>
      </x:c>
      <x:c r="Q92" s="39" t="n">
        <x:v>-0.0491019699</x:v>
      </x:c>
      <x:c r="R92" s="39"/>
      <x:c r="S92" s="39" t="n">
        <x:v>0.0687668355</x:v>
      </x:c>
      <x:c r="T92" s="39" t="n">
        <x:v>-0.0238820402</x:v>
      </x:c>
      <x:c r="U92" s="39" t="n">
        <x:v>-0.1956304848</x:v>
      </x:c>
      <x:c r="V92" s="39" t="n">
        <x:v>0.0106683283</x:v>
      </x:c>
      <x:c r="W92" s="39" t="n">
        <x:v>0.0083827476</x:v>
      </x:c>
      <x:c r="X92" s="39" t="n">
        <x:v>0.0097452985</x:v>
      </x:c>
      <x:c r="Y92" s="39" t="n">
        <x:v>0.0551502028</x:v>
      </x:c>
      <x:c r="Z92" s="39" t="n">
        <x:v>0.0381431434</x:v>
      </x:c>
      <x:c r="AA92" s="39" t="n">
        <x:v>0.0289026235</x:v>
      </x:c>
      <x:c r="AB92" s="39" t="n">
        <x:v>-0.0287353817</x:v>
      </x:c>
      <x:c r="AC92" s="39"/>
      <x:c r="AD92" s="39" t="n">
        <x:v>0.0098008554</x:v>
      </x:c>
      <x:c r="AE92" s="39" t="n">
        <x:v>-0.0013134919</x:v>
      </x:c>
      <x:c r="AF92" s="39" t="n">
        <x:v>-0.0054533708</x:v>
      </x:c>
      <x:c r="AG92" s="39" t="n">
        <x:v>-0.0549578097</x:v>
      </x:c>
      <x:c r="AH92" s="39" t="n">
        <x:v>-0.0293870297</x:v>
      </x:c>
      <x:c r="AI92" s="39" t="n">
        <x:v>0.0186201124</x:v>
      </x:c>
      <x:c r="AJ92" s="39" t="n">
        <x:v>0.0230943163</x:v>
      </x:c>
      <x:c r="AK92" s="39" t="n">
        <x:v>-0.0146381219</x:v>
      </x:c>
      <x:c r="AL92" s="39" t="n">
        <x:v>-0.0391534546</x:v>
      </x:c>
      <x:c r="AM92" s="39" t="n">
        <x:v>0.0173879203</x:v>
      </x:c>
      <x:c r="AN92" s="39" t="n">
        <x:v>0.0076284329</x:v>
      </x:c>
      <x:c r="AO92" s="39" t="n">
        <x:v>-0.0081961667</x:v>
      </x:c>
      <x:c r="AP92" s="39" t="n">
        <x:v>0.0100679488</x:v>
      </x:c>
      <x:c r="AQ92" s="39" t="n">
        <x:v>-0.0257273981</x:v>
      </x:c>
      <x:c r="AR92" s="39" t="n">
        <x:v>0.0268113415</x:v>
      </x:c>
      <x:c r="AS92" s="39" t="n">
        <x:v>0.0196384612</x:v>
      </x:c>
    </x:row>
    <x:row r="93" ht="19" customHeight="1">
      <x:c r="A93" s="30" t="str">
        <x:v>Home FX</x:v>
      </x:c>
      <x:c r="B93" s="40" t="d">
        <x:v>2021-02-01T00:00:00.000Z</x:v>
      </x:c>
      <x:c r="C93" s="39" t="n">
        <x:v>0.0017127728</x:v>
      </x:c>
      <x:c r="D93" s="39" t="n">
        <x:v>-0.0436620894</x:v>
      </x:c>
      <x:c r="E93" s="39" t="n">
        <x:v>0.0223896294</x:v>
      </x:c>
      <x:c r="F93" s="39" t="n">
        <x:v>0.0071218492</x:v>
      </x:c>
      <x:c r="G93" s="39" t="n">
        <x:v>0.0082382279</x:v>
      </x:c>
      <x:c r="H93" s="39" t="n">
        <x:v>0.0431036112</x:v>
      </x:c>
      <x:c r="I93" s="39" t="n">
        <x:v>0.0311282741</x:v>
      </x:c>
      <x:c r="J93" s="39" t="n">
        <x:v>0.0114704093</x:v>
      </x:c>
      <x:c r="K93" s="39" t="n">
        <x:v>0.0618998712</x:v>
      </x:c>
      <x:c r="L93" s="39" t="n">
        <x:v>0.0403130244</x:v>
      </x:c>
      <x:c r="M93" s="39" t="n">
        <x:v>-0.0002781164</x:v>
      </x:c>
      <x:c r="N93" s="39" t="n">
        <x:v>0.0215079661</x:v>
      </x:c>
      <x:c r="O93" s="39" t="n">
        <x:v>0.0280870312</x:v>
      </x:c>
      <x:c r="P93" s="39" t="n">
        <x:v>0.0853490787</x:v>
      </x:c>
      <x:c r="Q93" s="39" t="n">
        <x:v>-0.0648476754</x:v>
      </x:c>
      <x:c r="R93" s="39"/>
      <x:c r="S93" s="39" t="n">
        <x:v>-0.0254458401</x:v>
      </x:c>
      <x:c r="T93" s="39" t="n">
        <x:v>0.0467313922</x:v>
      </x:c>
      <x:c r="U93" s="39" t="n">
        <x:v>0.2680476294</x:v>
      </x:c>
      <x:c r="V93" s="39" t="n">
        <x:v>0.20761951</x:v>
      </x:c>
      <x:c r="W93" s="39" t="n">
        <x:v>0.0457026969</x:v>
      </x:c>
      <x:c r="X93" s="39" t="n">
        <x:v>-0.0050277405</x:v>
      </x:c>
      <x:c r="Y93" s="39" t="n">
        <x:v>0.0278671739</x:v>
      </x:c>
      <x:c r="Z93" s="39" t="n">
        <x:v>-0.0343174071</x:v>
      </x:c>
      <x:c r="AA93" s="39" t="n">
        <x:v>-0.04638991</x:v>
      </x:c>
      <x:c r="AB93" s="39" t="n">
        <x:v>0.0595177951</x:v>
      </x:c>
      <x:c r="AC93" s="39" t="n">
        <x:v>0.2133335809</x:v>
      </x:c>
      <x:c r="AD93" s="39" t="n">
        <x:v>-0.037642187</x:v>
      </x:c>
      <x:c r="AE93" s="39" t="n">
        <x:v>0.1476187982</x:v>
      </x:c>
      <x:c r="AF93" s="39" t="n">
        <x:v>0.0604925126</x:v>
      </x:c>
      <x:c r="AG93" s="39" t="n">
        <x:v>-0.0056587647</x:v>
      </x:c>
      <x:c r="AH93" s="39" t="n">
        <x:v>-0.0187077407</x:v>
      </x:c>
      <x:c r="AI93" s="39" t="n">
        <x:v>-0.0439548536</x:v>
      </x:c>
      <x:c r="AJ93" s="39" t="n">
        <x:v>0.1156230072</x:v>
      </x:c>
      <x:c r="AK93" s="39" t="n">
        <x:v>0.0126938597</x:v>
      </x:c>
      <x:c r="AL93" s="39" t="n">
        <x:v>0.0282994523</x:v>
      </x:c>
      <x:c r="AM93" s="39" t="n">
        <x:v>0.0587283611</x:v>
      </x:c>
      <x:c r="AN93" s="39" t="n">
        <x:v>0.0900288903</x:v>
      </x:c>
      <x:c r="AO93" s="39" t="n">
        <x:v>-0.0232668238</x:v>
      </x:c>
      <x:c r="AP93" s="39" t="n">
        <x:v>0.021401875</x:v>
      </x:c>
      <x:c r="AQ93" s="39" t="n">
        <x:v>-0.017039537</x:v>
      </x:c>
      <x:c r="AR93" s="39" t="n">
        <x:v>0.0163123864</x:v>
      </x:c>
      <x:c r="AS93" s="39" t="n">
        <x:v>0.002890573</x:v>
      </x:c>
    </x:row>
    <x:row r="94" ht="19" customHeight="1">
      <x:c r="A94" s="30" t="str">
        <x:v>Home FX</x:v>
      </x:c>
      <x:c r="B94" s="40" t="d">
        <x:v>2021-03-01T00:00:00.000Z</x:v>
      </x:c>
      <x:c r="C94" s="39" t="n">
        <x:v>-0.1013829291</x:v>
      </x:c>
      <x:c r="D94" s="39" t="n">
        <x:v>-0.0097758899</x:v>
      </x:c>
      <x:c r="E94" s="39" t="n">
        <x:v>-0.0192764009</x:v>
      </x:c>
      <x:c r="F94" s="39" t="n">
        <x:v>-0.0431202749</x:v>
      </x:c>
      <x:c r="G94" s="39" t="n">
        <x:v>0.0289646369</x:v>
      </x:c>
      <x:c r="H94" s="39" t="n">
        <x:v>-0.0749510029</x:v>
      </x:c>
      <x:c r="I94" s="39" t="n">
        <x:v>-0.0674569667</x:v>
      </x:c>
      <x:c r="J94" s="39" t="n">
        <x:v>0.1123592548</x:v>
      </x:c>
      <x:c r="K94" s="39" t="n">
        <x:v>0.0035202536</x:v>
      </x:c>
      <x:c r="L94" s="39" t="n">
        <x:v>0.1597671841</x:v>
      </x:c>
      <x:c r="M94" s="39" t="n">
        <x:v>0.0579537277</x:v>
      </x:c>
      <x:c r="N94" s="39" t="n">
        <x:v>-0.0177114915</x:v>
      </x:c>
      <x:c r="O94" s="39" t="n">
        <x:v>0.0343558456</x:v>
      </x:c>
      <x:c r="P94" s="39" t="n">
        <x:v>0.0794458887</x:v>
      </x:c>
      <x:c r="Q94" s="39" t="n">
        <x:v>-0.0287843743</x:v>
      </x:c>
      <x:c r="R94" s="39"/>
      <x:c r="S94" s="39" t="n">
        <x:v>0.0677325188</x:v>
      </x:c>
      <x:c r="T94" s="39" t="n">
        <x:v>-0.1485499577</x:v>
      </x:c>
      <x:c r="U94" s="39" t="n">
        <x:v>-0.1750423828</x:v>
      </x:c>
      <x:c r="V94" s="39" t="n">
        <x:v>-0.1302696764</x:v>
      </x:c>
      <x:c r="W94" s="39" t="n">
        <x:v>-0.0392505458</x:v>
      </x:c>
      <x:c r="X94" s="39" t="n">
        <x:v>0.0456390739</x:v>
      </x:c>
      <x:c r="Y94" s="39" t="n">
        <x:v>0.0560942714</x:v>
      </x:c>
      <x:c r="Z94" s="39" t="n">
        <x:v>-0.0209362115</x:v>
      </x:c>
      <x:c r="AA94" s="39" t="n">
        <x:v>0.0143711413</x:v>
      </x:c>
      <x:c r="AB94" s="39" t="n">
        <x:v>-0.0749587433</x:v>
      </x:c>
      <x:c r="AC94" s="39" t="n">
        <x:v>-0.2347590861</x:v>
      </x:c>
      <x:c r="AD94" s="39" t="n">
        <x:v>-0.0171010882</x:v>
      </x:c>
      <x:c r="AE94" s="39" t="n">
        <x:v>0.0389157033</x:v>
      </x:c>
      <x:c r="AF94" s="39" t="n">
        <x:v>0.0557294816</x:v>
      </x:c>
      <x:c r="AG94" s="39" t="n">
        <x:v>0.043185318</x:v>
      </x:c>
      <x:c r="AH94" s="39" t="n">
        <x:v>0.079406597</x:v>
      </x:c>
      <x:c r="AI94" s="39" t="n">
        <x:v>-0.068680381</x:v>
      </x:c>
      <x:c r="AJ94" s="39" t="n">
        <x:v>0.0178758222</x:v>
      </x:c>
      <x:c r="AK94" s="39" t="n">
        <x:v>0.0620764445</x:v>
      </x:c>
      <x:c r="AL94" s="39" t="n">
        <x:v>-0.0663802004</x:v>
      </x:c>
      <x:c r="AM94" s="39" t="n">
        <x:v>-0.0258366356</x:v>
      </x:c>
      <x:c r="AN94" s="39" t="n">
        <x:v>0.0023961187</x:v>
      </x:c>
      <x:c r="AO94" s="39" t="n">
        <x:v>-0.0685825964</x:v>
      </x:c>
      <x:c r="AP94" s="39" t="n">
        <x:v>-0.0579811652</x:v>
      </x:c>
      <x:c r="AQ94" s="39" t="n">
        <x:v>0.0138162826</x:v>
      </x:c>
      <x:c r="AR94" s="39" t="n">
        <x:v>-0.0279316761</x:v>
      </x:c>
      <x:c r="AS94" s="39" t="n">
        <x:v>0.044864882</x:v>
      </x:c>
    </x:row>
    <x:row r="95" ht="19" customHeight="1">
      <x:c r="A95" s="30" t="str">
        <x:v>Home FX</x:v>
      </x:c>
      <x:c r="B95" s="40" t="d">
        <x:v>2021-03-29T00:00:00.000Z</x:v>
      </x:c>
      <x:c r="C95" s="39" t="n">
        <x:v>0.0015270548</x:v>
      </x:c>
      <x:c r="D95" s="39" t="n">
        <x:v>-0.0632696843</x:v>
      </x:c>
      <x:c r="E95" s="39" t="n">
        <x:v>0.0498763397</x:v>
      </x:c>
      <x:c r="F95" s="39" t="n">
        <x:v>0.0688046838</x:v>
      </x:c>
      <x:c r="G95" s="39" t="n">
        <x:v>-0.0033229068</x:v>
      </x:c>
      <x:c r="H95" s="39" t="n">
        <x:v>0.0473322763</x:v>
      </x:c>
      <x:c r="I95" s="39" t="n">
        <x:v>0.0321733344</x:v>
      </x:c>
      <x:c r="J95" s="39" t="n">
        <x:v>0.0531783028</x:v>
      </x:c>
      <x:c r="K95" s="39" t="n">
        <x:v>0.0042537147</x:v>
      </x:c>
      <x:c r="L95" s="39" t="n">
        <x:v>-0.0298426283</x:v>
      </x:c>
      <x:c r="M95" s="39" t="n">
        <x:v>-0.0160577967</x:v>
      </x:c>
      <x:c r="N95" s="39" t="n">
        <x:v>-0.0113154759</x:v>
      </x:c>
      <x:c r="O95" s="39" t="n">
        <x:v>0.030459277</x:v>
      </x:c>
      <x:c r="P95" s="39" t="n">
        <x:v>0.0292216443</x:v>
      </x:c>
      <x:c r="Q95" s="39" t="n">
        <x:v>-0.0776468766</x:v>
      </x:c>
      <x:c r="R95" s="39"/>
      <x:c r="S95" s="39" t="n">
        <x:v>-0.0204159933</x:v>
      </x:c>
      <x:c r="T95" s="39" t="n">
        <x:v>0.0423470441</x:v>
      </x:c>
      <x:c r="U95" s="39" t="n">
        <x:v>0.001678733</x:v>
      </x:c>
      <x:c r="V95" s="39" t="n">
        <x:v>0.0000863182</x:v>
      </x:c>
      <x:c r="W95" s="39" t="n">
        <x:v>0.0269323977</x:v>
      </x:c>
      <x:c r="X95" s="39" t="n">
        <x:v>-0.0038214493</x:v>
      </x:c>
      <x:c r="Y95" s="39" t="n">
        <x:v>0.0236941239</x:v>
      </x:c>
      <x:c r="Z95" s="39" t="n">
        <x:v>0.0528286683</x:v>
      </x:c>
      <x:c r="AA95" s="39" t="n">
        <x:v>0.0399621171</x:v>
      </x:c>
      <x:c r="AB95" s="39" t="n">
        <x:v>-0.0564386297</x:v>
      </x:c>
      <x:c r="AC95" s="39" t="n">
        <x:v>0.6399732226</x:v>
      </x:c>
      <x:c r="AD95" s="39" t="n">
        <x:v>0.0393837394</x:v>
      </x:c>
      <x:c r="AE95" s="39" t="n">
        <x:v>-0.0050511307</x:v>
      </x:c>
      <x:c r="AF95" s="39" t="n">
        <x:v>0.0583731573</x:v>
      </x:c>
      <x:c r="AG95" s="39" t="n">
        <x:v>0.0772028307</x:v>
      </x:c>
      <x:c r="AH95" s="39" t="n">
        <x:v>0.0590093384</x:v>
      </x:c>
      <x:c r="AI95" s="39" t="n">
        <x:v>0.019879627</x:v>
      </x:c>
      <x:c r="AJ95" s="39" t="n">
        <x:v>-0.0683181602</x:v>
      </x:c>
      <x:c r="AK95" s="39" t="n">
        <x:v>0.0257245738</x:v>
      </x:c>
      <x:c r="AL95" s="39" t="n">
        <x:v>0.0041065235</x:v>
      </x:c>
      <x:c r="AM95" s="39" t="n">
        <x:v>0.0280058589</x:v>
      </x:c>
      <x:c r="AN95" s="39" t="n">
        <x:v>0.0095538181</x:v>
      </x:c>
      <x:c r="AO95" s="39" t="n">
        <x:v>0.0691566269</x:v>
      </x:c>
      <x:c r="AP95" s="39" t="n">
        <x:v>0.1235085695</x:v>
      </x:c>
      <x:c r="AQ95" s="39" t="n">
        <x:v>0.025673747</x:v>
      </x:c>
      <x:c r="AR95" s="39" t="n">
        <x:v>0.0260544252</x:v>
      </x:c>
      <x:c r="AS95" s="39" t="n">
        <x:v>0.0121923244</x:v>
      </x:c>
    </x:row>
    <x:row r="96" ht="19" customHeight="1">
      <x:c r="A96" s="30" t="str">
        <x:v>Home FX</x:v>
      </x:c>
      <x:c r="B96" s="40" t="d">
        <x:v>2021-04-26T00:00:00.000Z</x:v>
      </x:c>
      <x:c r="C96" s="39" t="n">
        <x:v>-0.0307733723</x:v>
      </x:c>
      <x:c r="D96" s="39" t="n">
        <x:v>-0.0380536425</x:v>
      </x:c>
      <x:c r="E96" s="39" t="n">
        <x:v>0.0227800598</x:v>
      </x:c>
      <x:c r="F96" s="39" t="n">
        <x:v>0.0578703561</x:v>
      </x:c>
      <x:c r="G96" s="39" t="n">
        <x:v>-0.0098498106</x:v>
      </x:c>
      <x:c r="H96" s="39" t="n">
        <x:v>0.0228902458</x:v>
      </x:c>
      <x:c r="I96" s="39" t="n">
        <x:v>0.0579211932</x:v>
      </x:c>
      <x:c r="J96" s="39" t="n">
        <x:v>0.0498995375</x:v>
      </x:c>
      <x:c r="K96" s="39" t="n">
        <x:v>0.0308059615</x:v>
      </x:c>
      <x:c r="L96" s="39" t="n">
        <x:v>-0.0112408364</x:v>
      </x:c>
      <x:c r="M96" s="39" t="n">
        <x:v>0.0360325378</x:v>
      </x:c>
      <x:c r="N96" s="39" t="n">
        <x:v>-0.0205733846</x:v>
      </x:c>
      <x:c r="O96" s="39" t="n">
        <x:v>-0.0060878253</x:v>
      </x:c>
      <x:c r="P96" s="39" t="n">
        <x:v>-0.0065248496</x:v>
      </x:c>
      <x:c r="Q96" s="39" t="n">
        <x:v>0.0449600945</x:v>
      </x:c>
      <x:c r="R96" s="39" t="n">
        <x:v>-0.0032959941</x:v>
      </x:c>
      <x:c r="S96" s="39" t="n">
        <x:v>-0.0125800257</x:v>
      </x:c>
      <x:c r="T96" s="39" t="n">
        <x:v>0.1038213495</x:v>
      </x:c>
      <x:c r="U96" s="39" t="n">
        <x:v>0.1874438966</x:v>
      </x:c>
      <x:c r="V96" s="39" t="n">
        <x:v>0.0363390071</x:v>
      </x:c>
      <x:c r="W96" s="39" t="n">
        <x:v>-0.0308647885</x:v>
      </x:c>
      <x:c r="X96" s="39" t="n">
        <x:v>0.0186692794</x:v>
      </x:c>
      <x:c r="Y96" s="39" t="n">
        <x:v>-0.0444943686</x:v>
      </x:c>
      <x:c r="Z96" s="39" t="n">
        <x:v>0.0060475452</x:v>
      </x:c>
      <x:c r="AA96" s="39" t="n">
        <x:v>0.0337599304</x:v>
      </x:c>
      <x:c r="AB96" s="39" t="n">
        <x:v>-0.0556832145</x:v>
      </x:c>
      <x:c r="AC96" s="39" t="n">
        <x:v>-0.1754272011</x:v>
      </x:c>
      <x:c r="AD96" s="39" t="n">
        <x:v>-0.0000298188</x:v>
      </x:c>
      <x:c r="AE96" s="39" t="n">
        <x:v>-0.0332760866</x:v>
      </x:c>
      <x:c r="AF96" s="39" t="n">
        <x:v>0.0126314412</x:v>
      </x:c>
      <x:c r="AG96" s="39" t="n">
        <x:v>-0.0479448941</x:v>
      </x:c>
      <x:c r="AH96" s="39" t="n">
        <x:v>0.0243197476</x:v>
      </x:c>
      <x:c r="AI96" s="39" t="n">
        <x:v>0.0040783942</x:v>
      </x:c>
      <x:c r="AJ96" s="39" t="n">
        <x:v>-0.0084036516</x:v>
      </x:c>
      <x:c r="AK96" s="39" t="n">
        <x:v>0.0150306636</x:v>
      </x:c>
      <x:c r="AL96" s="39" t="n">
        <x:v>0.0754017058</x:v>
      </x:c>
      <x:c r="AM96" s="39" t="n">
        <x:v>0.0248907811</x:v>
      </x:c>
      <x:c r="AN96" s="39" t="n">
        <x:v>0.0625302513</x:v>
      </x:c>
      <x:c r="AO96" s="39" t="n">
        <x:v>0.0308796888</x:v>
      </x:c>
      <x:c r="AP96" s="39" t="n">
        <x:v>0.031574691</x:v>
      </x:c>
      <x:c r="AQ96" s="39" t="n">
        <x:v>0.0172845782</x:v>
      </x:c>
      <x:c r="AR96" s="39" t="n">
        <x:v>-0.0003844653</x:v>
      </x:c>
      <x:c r="AS96" s="39" t="n">
        <x:v>0.0393485843</x:v>
      </x:c>
    </x:row>
    <x:row r="97" ht="19" customHeight="1">
      <x:c r="A97" s="30" t="str">
        <x:v>Home FX</x:v>
      </x:c>
      <x:c r="B97" s="40" t="d">
        <x:v>2021-05-24T00:00:00.000Z</x:v>
      </x:c>
      <x:c r="C97" s="39" t="n">
        <x:v>-0.0269071767</x:v>
      </x:c>
      <x:c r="D97" s="39" t="n">
        <x:v>0.1521606207</x:v>
      </x:c>
      <x:c r="E97" s="39" t="n">
        <x:v>-0.0143441509</x:v>
      </x:c>
      <x:c r="F97" s="39" t="n">
        <x:v>-0.0183022922</x:v>
      </x:c>
      <x:c r="G97" s="39" t="n">
        <x:v>-0.0256668731</x:v>
      </x:c>
      <x:c r="H97" s="39" t="n">
        <x:v>-0.0532581273</x:v>
      </x:c>
      <x:c r="I97" s="39" t="n">
        <x:v>-0.046397165</x:v>
      </x:c>
      <x:c r="J97" s="39" t="n">
        <x:v>0.0050570956</x:v>
      </x:c>
      <x:c r="K97" s="39" t="n">
        <x:v>-0.0374334906</x:v>
      </x:c>
      <x:c r="L97" s="39" t="n">
        <x:v>0.0609849292</x:v>
      </x:c>
      <x:c r="M97" s="39" t="n">
        <x:v>0.0602337863</x:v>
      </x:c>
      <x:c r="N97" s="39" t="n">
        <x:v>0.0306744849</x:v>
      </x:c>
      <x:c r="O97" s="39" t="n">
        <x:v>-0.0031180436</x:v>
      </x:c>
      <x:c r="P97" s="39" t="n">
        <x:v>0.04005985</x:v>
      </x:c>
      <x:c r="Q97" s="39" t="n">
        <x:v>-0.0657076871</x:v>
      </x:c>
      <x:c r="R97" s="39" t="n">
        <x:v>-0.0226963855</x:v>
      </x:c>
      <x:c r="S97" s="39" t="n">
        <x:v>0.0506386909</x:v>
      </x:c>
      <x:c r="T97" s="39" t="n">
        <x:v>-0.0204042227</x:v>
      </x:c>
      <x:c r="U97" s="39" t="n">
        <x:v>0.0216061318</x:v>
      </x:c>
      <x:c r="V97" s="39" t="n">
        <x:v>-0.0479127897</x:v>
      </x:c>
      <x:c r="W97" s="39" t="n">
        <x:v>-0.0133200055</x:v>
      </x:c>
      <x:c r="X97" s="39" t="n">
        <x:v>0.0133151451</x:v>
      </x:c>
      <x:c r="Y97" s="39" t="n">
        <x:v>-0.0143990539</x:v>
      </x:c>
      <x:c r="Z97" s="39" t="n">
        <x:v>0.1036734222</x:v>
      </x:c>
      <x:c r="AA97" s="39" t="n">
        <x:v>-0.0105493332</x:v>
      </x:c>
      <x:c r="AB97" s="39" t="n">
        <x:v>0.0091619938</x:v>
      </x:c>
      <x:c r="AC97" s="39" t="n">
        <x:v>0.1950237502</x:v>
      </x:c>
      <x:c r="AD97" s="39" t="n">
        <x:v>0.0067687011</x:v>
      </x:c>
      <x:c r="AE97" s="39" t="n">
        <x:v>0.1462813021</x:v>
      </x:c>
      <x:c r="AF97" s="39" t="n">
        <x:v>-0.0023825603</x:v>
      </x:c>
      <x:c r="AG97" s="39" t="n">
        <x:v>0.0335388131</x:v>
      </x:c>
      <x:c r="AH97" s="39" t="n">
        <x:v>0.0149377945</x:v>
      </x:c>
      <x:c r="AI97" s="39" t="n">
        <x:v>-0.0120939439</x:v>
      </x:c>
      <x:c r="AJ97" s="39" t="n">
        <x:v>0.0591720871</x:v>
      </x:c>
      <x:c r="AK97" s="39" t="n">
        <x:v>0.003002065</x:v>
      </x:c>
      <x:c r="AL97" s="39" t="n">
        <x:v>0.0408513278</x:v>
      </x:c>
      <x:c r="AM97" s="39" t="n">
        <x:v>-0.0048612119</x:v>
      </x:c>
      <x:c r="AN97" s="39" t="n">
        <x:v>0.0009029908</x:v>
      </x:c>
      <x:c r="AO97" s="39" t="n">
        <x:v>0.0104586528</x:v>
      </x:c>
      <x:c r="AP97" s="39" t="n">
        <x:v>-0.0094066612</x:v>
      </x:c>
      <x:c r="AQ97" s="39" t="n">
        <x:v>0.0152240704</x:v>
      </x:c>
      <x:c r="AR97" s="39" t="n">
        <x:v>0.0288910506</x:v>
      </x:c>
      <x:c r="AS97" s="39" t="n">
        <x:v>0.0326082949</x:v>
      </x:c>
    </x:row>
    <x:row r="98" ht="19" customHeight="1">
      <x:c r="A98" s="30" t="str">
        <x:v>Home FX</x:v>
      </x:c>
      <x:c r="B98" s="40" t="d">
        <x:v>2021-06-21T00:00:00.000Z</x:v>
      </x:c>
      <x:c r="C98" s="39" t="n">
        <x:v>0.0881147607</x:v>
      </x:c>
      <x:c r="D98" s="39" t="n">
        <x:v>0.0126992304</x:v>
      </x:c>
      <x:c r="E98" s="39" t="n">
        <x:v>-0.009276256</x:v>
      </x:c>
      <x:c r="F98" s="39" t="n">
        <x:v>-0.0229152384</x:v>
      </x:c>
      <x:c r="G98" s="39" t="n">
        <x:v>-0.0010820958</x:v>
      </x:c>
      <x:c r="H98" s="39" t="n">
        <x:v>0.0654440734</x:v>
      </x:c>
      <x:c r="I98" s="39" t="n">
        <x:v>0.0346886291</x:v>
      </x:c>
      <x:c r="J98" s="39" t="n">
        <x:v>-0.028182453</x:v>
      </x:c>
      <x:c r="K98" s="39" t="n">
        <x:v>-0.0744238595</x:v>
      </x:c>
      <x:c r="L98" s="39" t="n">
        <x:v>0.0133949392</x:v>
      </x:c>
      <x:c r="M98" s="39" t="n">
        <x:v>-0.02267832</x:v>
      </x:c>
      <x:c r="N98" s="39" t="n">
        <x:v>0.0100824218</x:v>
      </x:c>
      <x:c r="O98" s="39" t="n">
        <x:v>-0.0147973983</x:v>
      </x:c>
      <x:c r="P98" s="39" t="n">
        <x:v>-0.0395355626</x:v>
      </x:c>
      <x:c r="Q98" s="39" t="n">
        <x:v>0.0281985832</x:v>
      </x:c>
      <x:c r="R98" s="39" t="n">
        <x:v>0.1271811746</x:v>
      </x:c>
      <x:c r="S98" s="39" t="n">
        <x:v>0.0007817705</x:v>
      </x:c>
      <x:c r="T98" s="39" t="n">
        <x:v>0.157752372</x:v>
      </x:c>
      <x:c r="U98" s="39" t="n">
        <x:v>0.1113640028</x:v>
      </x:c>
      <x:c r="V98" s="39" t="n">
        <x:v>0.1305193171</x:v>
      </x:c>
      <x:c r="W98" s="39" t="n">
        <x:v>0.0303425397</x:v>
      </x:c>
      <x:c r="X98" s="39" t="n">
        <x:v>-0.0104153478</x:v>
      </x:c>
      <x:c r="Y98" s="39" t="n">
        <x:v>-0.0163538049</x:v>
      </x:c>
      <x:c r="Z98" s="39" t="n">
        <x:v>-0.0975585787</x:v>
      </x:c>
      <x:c r="AA98" s="39" t="n">
        <x:v>-0.0146586789</x:v>
      </x:c>
      <x:c r="AB98" s="39" t="n">
        <x:v>0.0235498406</x:v>
      </x:c>
      <x:c r="AC98" s="39" t="n">
        <x:v>-0.1243028872</x:v>
      </x:c>
      <x:c r="AD98" s="39" t="n">
        <x:v>0.0003343148</x:v>
      </x:c>
      <x:c r="AE98" s="39" t="n">
        <x:v>0.0286045872</x:v>
      </x:c>
      <x:c r="AF98" s="39" t="n">
        <x:v>-0.0462711019</x:v>
      </x:c>
      <x:c r="AG98" s="39" t="n">
        <x:v>0.0035355024</x:v>
      </x:c>
      <x:c r="AH98" s="39" t="n">
        <x:v>-0.0087858258</x:v>
      </x:c>
      <x:c r="AI98" s="39" t="n">
        <x:v>0.0430740961</x:v>
      </x:c>
      <x:c r="AJ98" s="39" t="n">
        <x:v>0.0914498334</x:v>
      </x:c>
      <x:c r="AK98" s="39" t="n">
        <x:v>0.0751065666</x:v>
      </x:c>
      <x:c r="AL98" s="39" t="n">
        <x:v>0.0225612818</x:v>
      </x:c>
      <x:c r="AM98" s="39" t="n">
        <x:v>0.0383941563</x:v>
      </x:c>
      <x:c r="AN98" s="39" t="n">
        <x:v>0.0250047404</x:v>
      </x:c>
      <x:c r="AO98" s="39" t="n">
        <x:v>0.0270683213</x:v>
      </x:c>
      <x:c r="AP98" s="39" t="n">
        <x:v>-0.0073827471</x:v>
      </x:c>
      <x:c r="AQ98" s="39" t="n">
        <x:v>-0.0065635303</x:v>
      </x:c>
      <x:c r="AR98" s="39" t="n">
        <x:v>-0.0194663318</x:v>
      </x:c>
      <x:c r="AS98" s="39" t="n">
        <x:v>-0.0250880108</x:v>
      </x:c>
    </x:row>
    <x:row r="99" ht="19" customHeight="1">
      <x:c r="A99" s="30" t="str">
        <x:v>Home FX</x:v>
      </x:c>
      <x:c r="B99" s="40" t="d">
        <x:v>2021-07-19T00:00:00.000Z</x:v>
      </x:c>
      <x:c r="C99" s="39" t="n">
        <x:v>0.0247391046</x:v>
      </x:c>
      <x:c r="D99" s="39" t="n">
        <x:v>0.0030513278</x:v>
      </x:c>
      <x:c r="E99" s="39" t="n">
        <x:v>0.0092561288</x:v>
      </x:c>
      <x:c r="F99" s="39" t="n">
        <x:v>0.0074155284</x:v>
      </x:c>
      <x:c r="G99" s="39" t="n">
        <x:v>-0.008143034</x:v>
      </x:c>
      <x:c r="H99" s="39" t="n">
        <x:v>0.1220790897</x:v>
      </x:c>
      <x:c r="I99" s="39" t="n">
        <x:v>0.0472430897</x:v>
      </x:c>
      <x:c r="J99" s="39" t="n">
        <x:v>-0.0335200126</x:v>
      </x:c>
      <x:c r="K99" s="39" t="n">
        <x:v>-0.0223312223</x:v>
      </x:c>
      <x:c r="L99" s="39" t="n">
        <x:v>-0.1655368723</x:v>
      </x:c>
      <x:c r="M99" s="39" t="n">
        <x:v>-0.0532603572</x:v>
      </x:c>
      <x:c r="N99" s="39" t="n">
        <x:v>0.0118537352</x:v>
      </x:c>
      <x:c r="O99" s="39" t="n">
        <x:v>-0.0092384799</x:v>
      </x:c>
      <x:c r="P99" s="39" t="n">
        <x:v>-0.0680390757</x:v>
      </x:c>
      <x:c r="Q99" s="39" t="n">
        <x:v>-0.1298288161</x:v>
      </x:c>
      <x:c r="R99" s="39" t="n">
        <x:v>0.0419728337</x:v>
      </x:c>
      <x:c r="S99" s="39" t="n">
        <x:v>-0.0188939725</x:v>
      </x:c>
      <x:c r="T99" s="39" t="n">
        <x:v>0.0730052809</x:v>
      </x:c>
      <x:c r="U99" s="39" t="n">
        <x:v>0.3012156044</x:v>
      </x:c>
      <x:c r="V99" s="39" t="n">
        <x:v>0.0399089198</x:v>
      </x:c>
      <x:c r="W99" s="39" t="n">
        <x:v>-0.0146096261</x:v>
      </x:c>
      <x:c r="X99" s="39" t="n">
        <x:v>0.0248792097</x:v>
      </x:c>
      <x:c r="Y99" s="39" t="n">
        <x:v>-0.0503788671</x:v>
      </x:c>
      <x:c r="Z99" s="39" t="n">
        <x:v>-0.02734155</x:v>
      </x:c>
      <x:c r="AA99" s="39" t="n">
        <x:v>-0.0137938162</x:v>
      </x:c>
      <x:c r="AB99" s="39" t="n">
        <x:v>-0.129250487</x:v>
      </x:c>
      <x:c r="AC99" s="39" t="n">
        <x:v>-0.0308034227</x:v>
      </x:c>
      <x:c r="AD99" s="39" t="n">
        <x:v>0.0272518349</x:v>
      </x:c>
      <x:c r="AE99" s="39" t="n">
        <x:v>-0.0617286745</x:v>
      </x:c>
      <x:c r="AF99" s="39" t="n">
        <x:v>-0.0289898717</x:v>
      </x:c>
      <x:c r="AG99" s="39" t="n">
        <x:v>-0.0747419251</x:v>
      </x:c>
      <x:c r="AH99" s="39" t="n">
        <x:v>-0.0298533136</x:v>
      </x:c>
      <x:c r="AI99" s="39" t="n">
        <x:v>0.0479998747</x:v>
      </x:c>
      <x:c r="AJ99" s="39" t="n">
        <x:v>0.0383663093</x:v>
      </x:c>
      <x:c r="AK99" s="39" t="n">
        <x:v>0.0284418548</x:v>
      </x:c>
      <x:c r="AL99" s="39" t="n">
        <x:v>0.0206342517</x:v>
      </x:c>
      <x:c r="AM99" s="39" t="n">
        <x:v>0.0580823106</x:v>
      </x:c>
      <x:c r="AN99" s="39" t="n">
        <x:v>0.0537355551</x:v>
      </x:c>
      <x:c r="AO99" s="39" t="n">
        <x:v>0.0462005201</x:v>
      </x:c>
      <x:c r="AP99" s="39" t="n">
        <x:v>0.0388238173</x:v>
      </x:c>
      <x:c r="AQ99" s="39" t="n">
        <x:v>0.0315656571</x:v>
      </x:c>
      <x:c r="AR99" s="39" t="n">
        <x:v>0.0294708258</x:v>
      </x:c>
      <x:c r="AS99" s="39" t="n">
        <x:v>0.0002579711</x:v>
      </x:c>
    </x:row>
    <x:row r="100" ht="19" customHeight="1">
      <x:c r="A100" s="30" t="str">
        <x:v>Home FX</x:v>
      </x:c>
      <x:c r="B100" s="40" t="d">
        <x:v>2021-08-16T00:00:00.000Z</x:v>
      </x:c>
      <x:c r="C100" s="39" t="n">
        <x:v>-0.034521578</x:v>
      </x:c>
      <x:c r="D100" s="39" t="n">
        <x:v>-0.0216705371</x:v>
      </x:c>
      <x:c r="E100" s="39" t="n">
        <x:v>0.0436756876</x:v>
      </x:c>
      <x:c r="F100" s="39" t="n">
        <x:v>0.0781741628</x:v>
      </x:c>
      <x:c r="G100" s="39" t="n">
        <x:v>-0.0038466709</x:v>
      </x:c>
      <x:c r="H100" s="39" t="n">
        <x:v>0.0215743087</x:v>
      </x:c>
      <x:c r="I100" s="39" t="n">
        <x:v>-0.0883629032</x:v>
      </x:c>
      <x:c r="J100" s="39" t="n">
        <x:v>-0.0078218828</x:v>
      </x:c>
      <x:c r="K100" s="39" t="n">
        <x:v>-0.0119228642</x:v>
      </x:c>
      <x:c r="L100" s="39" t="n">
        <x:v>-0.0280612641</x:v>
      </x:c>
      <x:c r="M100" s="39" t="n">
        <x:v>-0.0369383736</x:v>
      </x:c>
      <x:c r="N100" s="39" t="n">
        <x:v>-0.0251123176</x:v>
      </x:c>
      <x:c r="O100" s="39" t="n">
        <x:v>0.0274590308</x:v>
      </x:c>
      <x:c r="P100" s="39" t="n">
        <x:v>-0.0397128577</x:v>
      </x:c>
      <x:c r="Q100" s="39" t="n">
        <x:v>0.0196413636</x:v>
      </x:c>
      <x:c r="R100" s="39" t="n">
        <x:v>-0.0178208779</x:v>
      </x:c>
      <x:c r="S100" s="39" t="n">
        <x:v>-0.0437351385</x:v>
      </x:c>
      <x:c r="T100" s="39" t="n">
        <x:v>0.0151910077</x:v>
      </x:c>
      <x:c r="U100" s="39" t="n">
        <x:v>0.0618616286</x:v>
      </x:c>
      <x:c r="V100" s="39" t="n">
        <x:v>0.0136105284</x:v>
      </x:c>
      <x:c r="W100" s="39" t="n">
        <x:v>0.0392548917</x:v>
      </x:c>
      <x:c r="X100" s="39" t="n">
        <x:v>0.0118106722</x:v>
      </x:c>
      <x:c r="Y100" s="39" t="n">
        <x:v>-0.0517741668</x:v>
      </x:c>
      <x:c r="Z100" s="39" t="n">
        <x:v>-0.0427835765</x:v>
      </x:c>
      <x:c r="AA100" s="39" t="n">
        <x:v>0.0195650863</x:v>
      </x:c>
      <x:c r="AB100" s="39" t="n">
        <x:v>-0.0249970904</x:v>
      </x:c>
      <x:c r="AC100" s="39" t="n">
        <x:v>0.3429509378</x:v>
      </x:c>
      <x:c r="AD100" s="39" t="n">
        <x:v>0.0246477531</x:v>
      </x:c>
      <x:c r="AE100" s="39" t="n">
        <x:v>-0.062792607</x:v>
      </x:c>
      <x:c r="AF100" s="39" t="n">
        <x:v>0.0221726183</x:v>
      </x:c>
      <x:c r="AG100" s="39" t="n">
        <x:v>-0.0270045554</x:v>
      </x:c>
      <x:c r="AH100" s="39" t="n">
        <x:v>-0.0033241558</x:v>
      </x:c>
      <x:c r="AI100" s="39" t="n">
        <x:v>0.0842525567</x:v>
      </x:c>
      <x:c r="AJ100" s="39" t="n">
        <x:v>0.0710212554</x:v>
      </x:c>
      <x:c r="AK100" s="39" t="n">
        <x:v>-0.0225028898</x:v>
      </x:c>
      <x:c r="AL100" s="39" t="n">
        <x:v>0.0008489808</x:v>
      </x:c>
      <x:c r="AM100" s="39" t="n">
        <x:v>0.0340319817</x:v>
      </x:c>
      <x:c r="AN100" s="39" t="n">
        <x:v>0.0216250483</x:v>
      </x:c>
      <x:c r="AO100" s="39" t="n">
        <x:v>0.0546518975</x:v>
      </x:c>
      <x:c r="AP100" s="39" t="n">
        <x:v>-0.0072030329</x:v>
      </x:c>
      <x:c r="AQ100" s="39" t="n">
        <x:v>-0.0043126122</x:v>
      </x:c>
      <x:c r="AR100" s="39" t="n">
        <x:v>0.0288568745</x:v>
      </x:c>
      <x:c r="AS100" s="39" t="n">
        <x:v>0.0159319685</x:v>
      </x:c>
    </x:row>
    <x:row r="101" ht="19" customHeight="1">
      <x:c r="A101" s="30" t="str">
        <x:v>Home FX</x:v>
      </x:c>
      <x:c r="B101" s="40" t="d">
        <x:v>2021-09-13T00:00:00.000Z</x:v>
      </x:c>
      <x:c r="C101" s="39" t="n">
        <x:v>-0.0070959563</x:v>
      </x:c>
      <x:c r="D101" s="39" t="n">
        <x:v>0.0175733757</x:v>
      </x:c>
      <x:c r="E101" s="39" t="n">
        <x:v>-0.0535595605</x:v>
      </x:c>
      <x:c r="F101" s="39" t="n">
        <x:v>-0.0211984556</x:v>
      </x:c>
      <x:c r="G101" s="39" t="n">
        <x:v>0.0312897719</x:v>
      </x:c>
      <x:c r="H101" s="39" t="n">
        <x:v>0.006179243</x:v>
      </x:c>
      <x:c r="I101" s="39" t="n">
        <x:v>0.0529750474</x:v>
      </x:c>
      <x:c r="J101" s="39" t="n">
        <x:v>-0.0454883525</x:v>
      </x:c>
      <x:c r="K101" s="39" t="n">
        <x:v>-0.1224210491</x:v>
      </x:c>
      <x:c r="L101" s="39" t="n">
        <x:v>0.0577055527</x:v>
      </x:c>
      <x:c r="M101" s="39" t="n">
        <x:v>0.0665326244</x:v>
      </x:c>
      <x:c r="N101" s="39" t="n">
        <x:v>0.0380441508</x:v>
      </x:c>
      <x:c r="O101" s="39" t="n">
        <x:v>-0.0435948775</x:v>
      </x:c>
      <x:c r="P101" s="39" t="n">
        <x:v>-0.0241481712</x:v>
      </x:c>
      <x:c r="Q101" s="39" t="n">
        <x:v>0.1852432007</x:v>
      </x:c>
      <x:c r="R101" s="39" t="n">
        <x:v>0.2927360077</x:v>
      </x:c>
      <x:c r="S101" s="39" t="n">
        <x:v>-0.030587429</x:v>
      </x:c>
      <x:c r="T101" s="39" t="n">
        <x:v>0.0612391361</x:v>
      </x:c>
      <x:c r="U101" s="39" t="n">
        <x:v>0.077868095</x:v>
      </x:c>
      <x:c r="V101" s="39" t="n">
        <x:v>-0.054074183</x:v>
      </x:c>
      <x:c r="W101" s="39" t="n">
        <x:v>0.0502405934</x:v>
      </x:c>
      <x:c r="X101" s="39" t="n">
        <x:v>-0.026522865</x:v>
      </x:c>
      <x:c r="Y101" s="39" t="n">
        <x:v>0.0378434803</x:v>
      </x:c>
      <x:c r="Z101" s="39" t="n">
        <x:v>-0.0072380059</x:v>
      </x:c>
      <x:c r="AA101" s="39" t="n">
        <x:v>-0.0350469431</x:v>
      </x:c>
      <x:c r="AB101" s="39" t="n">
        <x:v>0.0541297882</x:v>
      </x:c>
      <x:c r="AC101" s="39" t="n">
        <x:v>0.2945695435</x:v>
      </x:c>
      <x:c r="AD101" s="39" t="n">
        <x:v>-0.0034813724</x:v>
      </x:c>
      <x:c r="AE101" s="39" t="n">
        <x:v>0.0504305952</x:v>
      </x:c>
      <x:c r="AF101" s="39" t="n">
        <x:v>-0.0436938243</x:v>
      </x:c>
      <x:c r="AG101" s="39" t="n">
        <x:v>0.0021759406</x:v>
      </x:c>
      <x:c r="AH101" s="39" t="n">
        <x:v>-0.0224251515</x:v>
      </x:c>
      <x:c r="AI101" s="39" t="n">
        <x:v>-0.0049609263</x:v>
      </x:c>
      <x:c r="AJ101" s="39" t="n">
        <x:v>-0.1096779348</x:v>
      </x:c>
      <x:c r="AK101" s="39" t="n">
        <x:v>0.0127202339</x:v>
      </x:c>
      <x:c r="AL101" s="39" t="n">
        <x:v>-0.0655409677</x:v>
      </x:c>
      <x:c r="AM101" s="39" t="n">
        <x:v>-0.0099836215</x:v>
      </x:c>
      <x:c r="AN101" s="39" t="n">
        <x:v>0.0162760335</x:v>
      </x:c>
      <x:c r="AO101" s="39" t="n">
        <x:v>0.000760761</x:v>
      </x:c>
      <x:c r="AP101" s="39" t="n">
        <x:v>0.016399412</x:v>
      </x:c>
      <x:c r="AQ101" s="39" t="n">
        <x:v>-0.0215612953</x:v>
      </x:c>
      <x:c r="AR101" s="39" t="n">
        <x:v>-0.0533948828</x:v>
      </x:c>
      <x:c r="AS101" s="39" t="n">
        <x:v>-0.0203440965</x:v>
      </x:c>
    </x:row>
    <x:row r="102" ht="19" customHeight="1">
      <x:c r="A102" s="30" t="str">
        <x:v>Home FX</x:v>
      </x:c>
      <x:c r="B102" s="40" t="d">
        <x:v>2021-10-11T00:00:00.000Z</x:v>
      </x:c>
      <x:c r="C102" s="39" t="n">
        <x:v>0.0687870395</x:v>
      </x:c>
      <x:c r="D102" s="39" t="n">
        <x:v>0.2056704564</x:v>
      </x:c>
      <x:c r="E102" s="39" t="n">
        <x:v>-0.0049597744</x:v>
      </x:c>
      <x:c r="F102" s="39" t="n">
        <x:v>-0.0561854685</x:v>
      </x:c>
      <x:c r="G102" s="39" t="n">
        <x:v>-0.0265407244</x:v>
      </x:c>
      <x:c r="H102" s="39" t="n">
        <x:v>-0.0284546063</x:v>
      </x:c>
      <x:c r="I102" s="39" t="n">
        <x:v>-0.0106088487</x:v>
      </x:c>
      <x:c r="J102" s="39" t="n">
        <x:v>0.098987404</x:v>
      </x:c>
      <x:c r="K102" s="39" t="n">
        <x:v>-0.0539942528</x:v>
      </x:c>
      <x:c r="L102" s="39" t="n">
        <x:v>0.1236935219</x:v>
      </x:c>
      <x:c r="M102" s="39" t="n">
        <x:v>0.1251374488</x:v>
      </x:c>
      <x:c r="N102" s="39" t="n">
        <x:v>0.0607302967</x:v>
      </x:c>
      <x:c r="O102" s="39" t="n">
        <x:v>0.027878159</x:v>
      </x:c>
      <x:c r="P102" s="39" t="n">
        <x:v>-0.0301826513</x:v>
      </x:c>
      <x:c r="Q102" s="39" t="n">
        <x:v>-0.0108041274</x:v>
      </x:c>
      <x:c r="R102" s="39" t="n">
        <x:v>0.0549079726</x:v>
      </x:c>
      <x:c r="S102" s="39" t="n">
        <x:v>0.0791798003</x:v>
      </x:c>
      <x:c r="T102" s="39" t="n">
        <x:v>0.1660939327</x:v>
      </x:c>
      <x:c r="U102" s="39" t="n">
        <x:v>-0.1924700521</x:v>
      </x:c>
      <x:c r="V102" s="39" t="n">
        <x:v>0.0216274554</x:v>
      </x:c>
      <x:c r="W102" s="39" t="n">
        <x:v>0.0435897263</x:v>
      </x:c>
      <x:c r="X102" s="39" t="n">
        <x:v>-0.0348899754</x:v>
      </x:c>
      <x:c r="Y102" s="39" t="n">
        <x:v>-0.0626263488</x:v>
      </x:c>
      <x:c r="Z102" s="39" t="n">
        <x:v>0.0219729537</x:v>
      </x:c>
      <x:c r="AA102" s="39" t="n">
        <x:v>-0.0093320417</x:v>
      </x:c>
      <x:c r="AB102" s="39" t="n">
        <x:v>-0.071780646</x:v>
      </x:c>
      <x:c r="AC102" s="39" t="n">
        <x:v>0.1712468677</x:v>
      </x:c>
      <x:c r="AD102" s="39" t="n">
        <x:v>0.0003774244</x:v>
      </x:c>
      <x:c r="AE102" s="39" t="n">
        <x:v>0.1003355908</x:v>
      </x:c>
      <x:c r="AF102" s="39" t="n">
        <x:v>0.0760409852</x:v>
      </x:c>
      <x:c r="AG102" s="39" t="n">
        <x:v>0.0116505003</x:v>
      </x:c>
      <x:c r="AH102" s="39" t="n">
        <x:v>0.0522084968</x:v>
      </x:c>
      <x:c r="AI102" s="39" t="n">
        <x:v>0.0520048506</x:v>
      </x:c>
      <x:c r="AJ102" s="39" t="n">
        <x:v>0.0226544202</x:v>
      </x:c>
      <x:c r="AK102" s="39" t="n">
        <x:v>-0.0137912217</x:v>
      </x:c>
      <x:c r="AL102" s="39" t="n">
        <x:v>0.0328517752</x:v>
      </x:c>
      <x:c r="AM102" s="39" t="n">
        <x:v>0.0097894063</x:v>
      </x:c>
      <x:c r="AN102" s="39" t="n">
        <x:v>0.0027427229</x:v>
      </x:c>
      <x:c r="AO102" s="39" t="n">
        <x:v>-0.0106389638</x:v>
      </x:c>
      <x:c r="AP102" s="39" t="n">
        <x:v>0.0292786212</x:v>
      </x:c>
      <x:c r="AQ102" s="39" t="n">
        <x:v>0.0005002688</x:v>
      </x:c>
      <x:c r="AR102" s="39" t="n">
        <x:v>-0.0144182249</x:v>
      </x:c>
      <x:c r="AS102" s="39" t="n">
        <x:v>0.0180967422</x:v>
      </x:c>
    </x:row>
    <x:row r="103" ht="19" customHeight="1">
      <x:c r="A103" s="30" t="str">
        <x:v>Home FX</x:v>
      </x:c>
      <x:c r="B103" s="40" t="d">
        <x:v>2021-11-08T00:00:00.000Z</x:v>
      </x:c>
      <x:c r="C103" s="39" t="n">
        <x:v>-0.0010540649</x:v>
      </x:c>
      <x:c r="D103" s="39" t="n">
        <x:v>-0.0804133589</x:v>
      </x:c>
      <x:c r="E103" s="39" t="n">
        <x:v>-0.0058202721</x:v>
      </x:c>
      <x:c r="F103" s="39" t="n">
        <x:v>0.002393634</x:v>
      </x:c>
      <x:c r="G103" s="39" t="n">
        <x:v>-0.0692586962</x:v>
      </x:c>
      <x:c r="H103" s="39" t="n">
        <x:v>0.0119978434</x:v>
      </x:c>
      <x:c r="I103" s="39" t="n">
        <x:v>0.0231458515</x:v>
      </x:c>
      <x:c r="J103" s="39" t="n">
        <x:v>0.1510552779</x:v>
      </x:c>
      <x:c r="K103" s="39" t="n">
        <x:v>0.1520523527</x:v>
      </x:c>
      <x:c r="L103" s="39" t="n">
        <x:v>-0.0185170523</x:v>
      </x:c>
      <x:c r="M103" s="39" t="n">
        <x:v>0.0655898571</x:v>
      </x:c>
      <x:c r="N103" s="39" t="n">
        <x:v>-0.0429619255</x:v>
      </x:c>
      <x:c r="O103" s="39" t="n">
        <x:v>-0.0128556289</x:v>
      </x:c>
      <x:c r="P103" s="39" t="n">
        <x:v>0.0614086013</x:v>
      </x:c>
      <x:c r="Q103" s="39" t="n">
        <x:v>-0.0221860475</x:v>
      </x:c>
      <x:c r="R103" s="39" t="n">
        <x:v>0.2284669581</x:v>
      </x:c>
      <x:c r="S103" s="39" t="n">
        <x:v>0.0409870379</x:v>
      </x:c>
      <x:c r="T103" s="39" t="n">
        <x:v>0.1379993906</x:v>
      </x:c>
      <x:c r="U103" s="39" t="n">
        <x:v>-0.2336489034</x:v>
      </x:c>
      <x:c r="V103" s="39" t="n">
        <x:v>-0.0298764588</x:v>
      </x:c>
      <x:c r="W103" s="39" t="n">
        <x:v>0.0572956397</x:v>
      </x:c>
      <x:c r="X103" s="39" t="n">
        <x:v>-0.0066837131</x:v>
      </x:c>
      <x:c r="Y103" s="39" t="n">
        <x:v>0.0918307548</x:v>
      </x:c>
      <x:c r="Z103" s="39" t="n">
        <x:v>0.02029564</x:v>
      </x:c>
      <x:c r="AA103" s="39" t="n">
        <x:v>0.0362852111</x:v>
      </x:c>
      <x:c r="AB103" s="39" t="n">
        <x:v>-0.0841750339</x:v>
      </x:c>
      <x:c r="AC103" s="39" t="n">
        <x:v>-0.2691397061</x:v>
      </x:c>
      <x:c r="AD103" s="39" t="n">
        <x:v>0.0144337573</x:v>
      </x:c>
      <x:c r="AE103" s="39" t="n">
        <x:v>0.1497681788</x:v>
      </x:c>
      <x:c r="AF103" s="39" t="n">
        <x:v>-0.0236605411</x:v>
      </x:c>
      <x:c r="AG103" s="39" t="n">
        <x:v>0.0123682262</x:v>
      </x:c>
      <x:c r="AH103" s="39" t="n">
        <x:v>-0.0635549309</x:v>
      </x:c>
      <x:c r="AI103" s="39" t="n">
        <x:v>0.1913259029</x:v>
      </x:c>
      <x:c r="AJ103" s="39" t="n">
        <x:v>0.0627458394</x:v>
      </x:c>
      <x:c r="AK103" s="39" t="n">
        <x:v>0.0117297264</x:v>
      </x:c>
      <x:c r="AL103" s="39" t="n">
        <x:v>-0.0405387953</x:v>
      </x:c>
      <x:c r="AM103" s="39" t="n">
        <x:v>0.0701557857</x:v>
      </x:c>
      <x:c r="AN103" s="39" t="n">
        <x:v>0.0348356929</x:v>
      </x:c>
      <x:c r="AO103" s="39" t="n">
        <x:v>0.0935856999</x:v>
      </x:c>
      <x:c r="AP103" s="39" t="n">
        <x:v>0.0424816069</x:v>
      </x:c>
      <x:c r="AQ103" s="39" t="n">
        <x:v>0.0264997524</x:v>
      </x:c>
      <x:c r="AR103" s="39" t="n">
        <x:v>0.0157123211</x:v>
      </x:c>
      <x:c r="AS103" s="39" t="n">
        <x:v>0.0043139618</x:v>
      </x:c>
    </x:row>
    <x:row r="104" ht="19" customHeight="1">
      <x:c r="A104" s="30" t="str">
        <x:v>Home FX</x:v>
      </x:c>
      <x:c r="B104" s="40" t="d">
        <x:v>2021-12-06T00:00:00.000Z</x:v>
      </x:c>
      <x:c r="C104" s="39" t="n">
        <x:v>0.0472299803</x:v>
      </x:c>
      <x:c r="D104" s="39" t="n">
        <x:v>-0.0543662251</x:v>
      </x:c>
      <x:c r="E104" s="39" t="n">
        <x:v>0.0166325122</x:v>
      </x:c>
      <x:c r="F104" s="39" t="n">
        <x:v>0.0389696662</x:v>
      </x:c>
      <x:c r="G104" s="39" t="n">
        <x:v>-0.0310566971</x:v>
      </x:c>
      <x:c r="H104" s="39" t="n">
        <x:v>-0.0553959294</x:v>
      </x:c>
      <x:c r="I104" s="39" t="n">
        <x:v>-0.0162716869</x:v>
      </x:c>
      <x:c r="J104" s="39" t="n">
        <x:v>-0.0217304544</x:v>
      </x:c>
      <x:c r="K104" s="39" t="n">
        <x:v>-0.0520294606</x:v>
      </x:c>
      <x:c r="L104" s="39" t="n">
        <x:v>-0.0456322204</x:v>
      </x:c>
      <x:c r="M104" s="39" t="n">
        <x:v>-0.0379067747</x:v>
      </x:c>
      <x:c r="N104" s="39" t="n">
        <x:v>0.042753361</x:v>
      </x:c>
      <x:c r="O104" s="39" t="n">
        <x:v>-0.0424672443</x:v>
      </x:c>
      <x:c r="P104" s="39" t="n">
        <x:v>-0.0318398946</x:v>
      </x:c>
      <x:c r="Q104" s="39" t="n">
        <x:v>-0.0790500423</x:v>
      </x:c>
      <x:c r="R104" s="39" t="n">
        <x:v>-0.2712617581</x:v>
      </x:c>
      <x:c r="S104" s="39" t="n">
        <x:v>0.0137016262</x:v>
      </x:c>
      <x:c r="T104" s="39" t="n">
        <x:v>-0.2640315014</x:v>
      </x:c>
      <x:c r="U104" s="39" t="n">
        <x:v>0.0743304005</x:v>
      </x:c>
      <x:c r="V104" s="39" t="n">
        <x:v>-0.1305261421</x:v>
      </x:c>
      <x:c r="W104" s="39" t="n">
        <x:v>-0.0769074915</x:v>
      </x:c>
      <x:c r="X104" s="39" t="n">
        <x:v>-0.0694807667</x:v>
      </x:c>
      <x:c r="Y104" s="39" t="n">
        <x:v>0.0709811082</x:v>
      </x:c>
      <x:c r="Z104" s="39" t="n">
        <x:v>-0.0252370673</x:v>
      </x:c>
      <x:c r="AA104" s="39" t="n">
        <x:v>-0.0081352335</x:v>
      </x:c>
      <x:c r="AB104" s="39" t="n">
        <x:v>-0.0408898457</x:v>
      </x:c>
      <x:c r="AC104" s="39" t="n">
        <x:v>-0.3481287047</x:v>
      </x:c>
      <x:c r="AD104" s="39" t="n">
        <x:v>0.0413129087</x:v>
      </x:c>
      <x:c r="AE104" s="39" t="n">
        <x:v>0.0703101233</x:v>
      </x:c>
      <x:c r="AF104" s="39" t="n">
        <x:v>0.0321846325</x:v>
      </x:c>
      <x:c r="AG104" s="39" t="n">
        <x:v>-0.0523328781</x:v>
      </x:c>
      <x:c r="AH104" s="39" t="n">
        <x:v>-0.0180509903</x:v>
      </x:c>
      <x:c r="AI104" s="39" t="n">
        <x:v>-0.0457164493</x:v>
      </x:c>
      <x:c r="AJ104" s="39" t="n">
        <x:v>-0.0431621826</x:v>
      </x:c>
      <x:c r="AK104" s="39" t="n">
        <x:v>-0.0186439529</x:v>
      </x:c>
      <x:c r="AL104" s="39" t="n">
        <x:v>0.0259072435</x:v>
      </x:c>
      <x:c r="AM104" s="39" t="n">
        <x:v>0.0132897597</x:v>
      </x:c>
      <x:c r="AN104" s="39" t="n">
        <x:v>-0.0031957633</x:v>
      </x:c>
      <x:c r="AO104" s="39" t="n">
        <x:v>0.0542788525</x:v>
      </x:c>
      <x:c r="AP104" s="39" t="n">
        <x:v>0.0790349789</x:v>
      </x:c>
      <x:c r="AQ104" s="39" t="n">
        <x:v>0.0013164268</x:v>
      </x:c>
      <x:c r="AR104" s="39" t="n">
        <x:v>0.0066106613</x:v>
      </x:c>
      <x:c r="AS104" s="39" t="n">
        <x:v>0.0054674069</x:v>
      </x:c>
    </x:row>
    <x:row r="105" ht="19" customHeight="1">
      <x:c r="A105" s="30" t="str">
        <x:v>Home FX</x:v>
      </x:c>
      <x:c r="B105" s="40" t="d">
        <x:v>2022-01-03T00:00:00.000Z</x:v>
      </x:c>
      <x:c r="C105" s="39" t="n">
        <x:v>0.0601118291</x:v>
      </x:c>
      <x:c r="D105" s="39" t="n">
        <x:v>-0.0543465956</x:v>
      </x:c>
      <x:c r="E105" s="39" t="n">
        <x:v>0.0554086951</x:v>
      </x:c>
      <x:c r="F105" s="39" t="n">
        <x:v>0.0305650484</x:v>
      </x:c>
      <x:c r="G105" s="39" t="n">
        <x:v>0.0234380992</x:v>
      </x:c>
      <x:c r="H105" s="39" t="n">
        <x:v>-0.0529515018</x:v>
      </x:c>
      <x:c r="I105" s="39" t="n">
        <x:v>-0.0410199522</x:v>
      </x:c>
      <x:c r="J105" s="39" t="n">
        <x:v>-0.0071548349</x:v>
      </x:c>
      <x:c r="K105" s="39" t="n">
        <x:v>-0.0140267181</x:v>
      </x:c>
      <x:c r="L105" s="39" t="n">
        <x:v>0.095154311</x:v>
      </x:c>
      <x:c r="M105" s="39" t="n">
        <x:v>0.0870465862</x:v>
      </x:c>
      <x:c r="N105" s="39" t="n">
        <x:v>-0.0192103155</x:v>
      </x:c>
      <x:c r="O105" s="39" t="n">
        <x:v>-0.0587761178</x:v>
      </x:c>
      <x:c r="P105" s="39" t="n">
        <x:v>0.0915951907</x:v>
      </x:c>
      <x:c r="Q105" s="39" t="n">
        <x:v>-0.140743652</x:v>
      </x:c>
      <x:c r="R105" s="39" t="n">
        <x:v>-0.1240651213</x:v>
      </x:c>
      <x:c r="S105" s="39" t="n">
        <x:v>-0.0003724415</x:v>
      </x:c>
      <x:c r="T105" s="39" t="n">
        <x:v>-0.1934837666</x:v>
      </x:c>
      <x:c r="U105" s="39" t="n">
        <x:v>-0.1307638951</x:v>
      </x:c>
      <x:c r="V105" s="39" t="n">
        <x:v>0.0185476394</x:v>
      </x:c>
      <x:c r="W105" s="39" t="n">
        <x:v>-0.0871672665</x:v>
      </x:c>
      <x:c r="X105" s="39" t="n">
        <x:v>0.0266018553</x:v>
      </x:c>
      <x:c r="Y105" s="39" t="n">
        <x:v>0.0711800962</x:v>
      </x:c>
      <x:c r="Z105" s="39" t="n">
        <x:v>0.0409824837</x:v>
      </x:c>
      <x:c r="AA105" s="39" t="n">
        <x:v>0.1095427284</x:v>
      </x:c>
      <x:c r="AB105" s="39" t="n">
        <x:v>-0.0944677777</x:v>
      </x:c>
      <x:c r="AC105" s="39" t="n">
        <x:v>-0.2260828108</x:v>
      </x:c>
      <x:c r="AD105" s="39" t="n">
        <x:v>0.0325263896</x:v>
      </x:c>
      <x:c r="AE105" s="39" t="n">
        <x:v>0.0927466497</x:v>
      </x:c>
      <x:c r="AF105" s="39" t="n">
        <x:v>0.0844891437</x:v>
      </x:c>
      <x:c r="AG105" s="39" t="n">
        <x:v>0.0352931501</x:v>
      </x:c>
      <x:c r="AH105" s="39" t="n">
        <x:v>0.0262239028</x:v>
      </x:c>
      <x:c r="AI105" s="39" t="n">
        <x:v>-0.0344197239</x:v>
      </x:c>
      <x:c r="AJ105" s="39" t="n">
        <x:v>0.0433644048</x:v>
      </x:c>
      <x:c r="AK105" s="39" t="n">
        <x:v>0.0426877495</x:v>
      </x:c>
      <x:c r="AL105" s="39" t="n">
        <x:v>-0.0094700257</x:v>
      </x:c>
      <x:c r="AM105" s="39" t="n">
        <x:v>-0.0617389762</x:v>
      </x:c>
      <x:c r="AN105" s="39" t="n">
        <x:v>-0.0548088322</x:v>
      </x:c>
      <x:c r="AO105" s="39" t="n">
        <x:v>-0.0293936395</x:v>
      </x:c>
      <x:c r="AP105" s="39" t="n">
        <x:v>-0.0382945978</x:v>
      </x:c>
      <x:c r="AQ105" s="39" t="n">
        <x:v>0.0493880634</x:v>
      </x:c>
      <x:c r="AR105" s="39" t="n">
        <x:v>0.0354345045</x:v>
      </x:c>
      <x:c r="AS105" s="39" t="n">
        <x:v>0.0738256486</x:v>
      </x:c>
    </x:row>
    <x:row r="106" ht="19" customHeight="1">
      <x:c r="A106" s="30" t="str">
        <x:v>Home FX</x:v>
      </x:c>
      <x:c r="B106" s="40" t="d">
        <x:v>2022-01-31T00:00:00.000Z</x:v>
      </x:c>
      <x:c r="C106" s="39" t="n">
        <x:v>-0.0284866339</x:v>
      </x:c>
      <x:c r="D106" s="39" t="n">
        <x:v>0.0500002736</x:v>
      </x:c>
      <x:c r="E106" s="39" t="n">
        <x:v>-0.013057106</x:v>
      </x:c>
      <x:c r="F106" s="39" t="n">
        <x:v>-0.0079506006</x:v>
      </x:c>
      <x:c r="G106" s="39" t="n">
        <x:v>-0.0760822416</x:v>
      </x:c>
      <x:c r="H106" s="39" t="n">
        <x:v>-0.0535348087</x:v>
      </x:c>
      <x:c r="I106" s="39" t="n">
        <x:v>-0.0221285531</x:v>
      </x:c>
      <x:c r="J106" s="39" t="n">
        <x:v>-0.0903994658</x:v>
      </x:c>
      <x:c r="K106" s="39" t="n">
        <x:v>-0.0809436009</x:v>
      </x:c>
      <x:c r="L106" s="39" t="n">
        <x:v>0.0572267116</x:v>
      </x:c>
      <x:c r="M106" s="39" t="n">
        <x:v>0.0592178107</x:v>
      </x:c>
      <x:c r="N106" s="39" t="n">
        <x:v>0.0194001044</x:v>
      </x:c>
      <x:c r="O106" s="39" t="n">
        <x:v>-0.0633757431</x:v>
      </x:c>
      <x:c r="P106" s="39" t="n">
        <x:v>-0.1726288651</x:v>
      </x:c>
      <x:c r="Q106" s="39" t="n">
        <x:v>0.0153358981</x:v>
      </x:c>
      <x:c r="R106" s="39" t="n">
        <x:v>-0.152787759</x:v>
      </x:c>
      <x:c r="S106" s="39" t="n">
        <x:v>0.0646886502</x:v>
      </x:c>
      <x:c r="T106" s="39" t="n">
        <x:v>-0.0261343589</x:v>
      </x:c>
      <x:c r="U106" s="39" t="n">
        <x:v>-0.1957075605</x:v>
      </x:c>
      <x:c r="V106" s="39" t="n">
        <x:v>-0.011005716</x:v>
      </x:c>
      <x:c r="W106" s="39" t="n">
        <x:v>-0.1996348367</x:v>
      </x:c>
      <x:c r="X106" s="39" t="n">
        <x:v>-0.0104446607</x:v>
      </x:c>
      <x:c r="Y106" s="39" t="n">
        <x:v>-0.1092207967</x:v>
      </x:c>
      <x:c r="Z106" s="39" t="n">
        <x:v>0.0179673171</x:v>
      </x:c>
      <x:c r="AA106" s="39" t="n">
        <x:v>-0.000726523</x:v>
      </x:c>
      <x:c r="AB106" s="39" t="n">
        <x:v>-0.066583748</x:v>
      </x:c>
      <x:c r="AC106" s="39" t="n">
        <x:v>-0.1228053716</x:v>
      </x:c>
      <x:c r="AD106" s="39" t="n">
        <x:v>-0.0014981198</x:v>
      </x:c>
      <x:c r="AE106" s="39" t="n">
        <x:v>-0.2183670763</x:v>
      </x:c>
      <x:c r="AF106" s="39" t="n">
        <x:v>-0.0123072399</x:v>
      </x:c>
      <x:c r="AG106" s="39" t="n">
        <x:v>-0.0309247346</x:v>
      </x:c>
      <x:c r="AH106" s="39" t="n">
        <x:v>-0.039738651</x:v>
      </x:c>
      <x:c r="AI106" s="39" t="n">
        <x:v>-0.0473943508</x:v>
      </x:c>
      <x:c r="AJ106" s="39" t="n">
        <x:v>-0.0495226261</x:v>
      </x:c>
      <x:c r="AK106" s="39" t="n">
        <x:v>-0.0634430388</x:v>
      </x:c>
      <x:c r="AL106" s="39" t="n">
        <x:v>-0.0674452679</x:v>
      </x:c>
      <x:c r="AM106" s="39" t="n">
        <x:v>-0.0188357375</x:v>
      </x:c>
      <x:c r="AN106" s="39" t="n">
        <x:v>0.0322825242</x:v>
      </x:c>
      <x:c r="AO106" s="39" t="n">
        <x:v>-0.0213137006</x:v>
      </x:c>
      <x:c r="AP106" s="39" t="n">
        <x:v>-0.064998231</x:v>
      </x:c>
      <x:c r="AQ106" s="39" t="n">
        <x:v>0.0074880422</x:v>
      </x:c>
      <x:c r="AR106" s="39" t="n">
        <x:v>-0.0096782732</x:v>
      </x:c>
      <x:c r="AS106" s="39" t="n">
        <x:v>-0.0108787697</x:v>
      </x:c>
    </x:row>
    <x:row r="107" ht="19" customHeight="1">
      <x:c r="A107" s="30" t="str">
        <x:v>Home FX</x:v>
      </x:c>
      <x:c r="B107" s="40" t="d">
        <x:v>2022-02-28T00:00:00.000Z</x:v>
      </x:c>
      <x:c r="C107" s="39" t="n">
        <x:v>0.0224245236</x:v>
      </x:c>
      <x:c r="D107" s="39" t="n">
        <x:v>0.13805118</x:v>
      </x:c>
      <x:c r="E107" s="39" t="n">
        <x:v>0.0628117341</x:v>
      </x:c>
      <x:c r="F107" s="39" t="n">
        <x:v>0.015434197</x:v>
      </x:c>
      <x:c r="G107" s="39" t="n">
        <x:v>-0.0067225739</x:v>
      </x:c>
      <x:c r="H107" s="39" t="n">
        <x:v>-0.0205705591</x:v>
      </x:c>
      <x:c r="I107" s="39" t="n">
        <x:v>-0.0578740052</x:v>
      </x:c>
      <x:c r="J107" s="39" t="n">
        <x:v>0.0037074395</x:v>
      </x:c>
      <x:c r="K107" s="39" t="n">
        <x:v>-0.064091829</x:v>
      </x:c>
      <x:c r="L107" s="39" t="n">
        <x:v>-0.0060962853</x:v>
      </x:c>
      <x:c r="M107" s="39" t="n">
        <x:v>0.1456478069</x:v>
      </x:c>
      <x:c r="N107" s="39" t="n">
        <x:v>0.184719904</x:v>
      </x:c>
      <x:c r="O107" s="39" t="n">
        <x:v>0.06915488</x:v>
      </x:c>
      <x:c r="P107" s="39" t="n">
        <x:v>-0.0220590938</x:v>
      </x:c>
      <x:c r="Q107" s="39" t="n">
        <x:v>-0.0964808884</x:v>
      </x:c>
      <x:c r="R107" s="39" t="n">
        <x:v>-0.0788427192</x:v>
      </x:c>
      <x:c r="S107" s="39" t="n">
        <x:v>-0.0071621135</x:v>
      </x:c>
      <x:c r="T107" s="39" t="n">
        <x:v>-0.0163336928</x:v>
      </x:c>
      <x:c r="U107" s="39" t="n">
        <x:v>-0.129965316</x:v>
      </x:c>
      <x:c r="V107" s="39" t="n">
        <x:v>-0.0252791552</x:v>
      </x:c>
      <x:c r="W107" s="39" t="n">
        <x:v>-0.0918731721</x:v>
      </x:c>
      <x:c r="X107" s="39" t="n">
        <x:v>-0.0321122575</x:v>
      </x:c>
      <x:c r="Y107" s="39" t="n">
        <x:v>0.0066345811</x:v>
      </x:c>
      <x:c r="Z107" s="39" t="n">
        <x:v>0.1448320076</x:v>
      </x:c>
      <x:c r="AA107" s="39" t="n">
        <x:v>-0.0127107084</x:v>
      </x:c>
      <x:c r="AB107" s="39" t="n">
        <x:v>0.0675291562</x:v>
      </x:c>
      <x:c r="AC107" s="39" t="n">
        <x:v>0.1920911207</x:v>
      </x:c>
      <x:c r="AD107" s="39" t="n">
        <x:v>-0.0295070518</x:v>
      </x:c>
      <x:c r="AE107" s="39" t="n">
        <x:v>-0.0466380039</x:v>
      </x:c>
      <x:c r="AF107" s="39" t="n">
        <x:v>-0.0184640189</x:v>
      </x:c>
      <x:c r="AG107" s="39" t="n">
        <x:v>-0.0968238273</x:v>
      </x:c>
      <x:c r="AH107" s="39" t="n">
        <x:v>0.1342513808</x:v>
      </x:c>
      <x:c r="AI107" s="39" t="n">
        <x:v>-0.0958621858</x:v>
      </x:c>
      <x:c r="AJ107" s="39" t="n">
        <x:v>0.0627037869</x:v>
      </x:c>
      <x:c r="AK107" s="39" t="n">
        <x:v>0.0633831089</x:v>
      </x:c>
      <x:c r="AL107" s="39" t="n">
        <x:v>-0.1324781575</x:v>
      </x:c>
      <x:c r="AM107" s="39" t="n">
        <x:v>-0.0379598746</x:v>
      </x:c>
      <x:c r="AN107" s="39" t="n">
        <x:v>-0.0605292783</x:v>
      </x:c>
      <x:c r="AO107" s="39" t="n">
        <x:v>0.0080149588</x:v>
      </x:c>
      <x:c r="AP107" s="39" t="n">
        <x:v>-0.075766283</x:v>
      </x:c>
      <x:c r="AQ107" s="39" t="n">
        <x:v>0.0190569597</x:v>
      </x:c>
      <x:c r="AR107" s="39" t="n">
        <x:v>-0.0045379166</x:v>
      </x:c>
      <x:c r="AS107" s="39" t="n">
        <x:v>0.0236346575</x:v>
      </x:c>
    </x:row>
    <x:row r="108" ht="19" customHeight="1">
      <x:c r="A108" s="30" t="str">
        <x:v>Home FX</x:v>
      </x:c>
      <x:c r="B108" s="40" t="d">
        <x:v>2022-03-28T00:00:00.000Z</x:v>
      </x:c>
      <x:c r="C108" s="39" t="n">
        <x:v>0.0356619829</x:v>
      </x:c>
      <x:c r="D108" s="39" t="n">
        <x:v>0.0515780875</x:v>
      </x:c>
      <x:c r="E108" s="39" t="n">
        <x:v>0.0388340375</x:v>
      </x:c>
      <x:c r="F108" s="39" t="n">
        <x:v>0.0501219304</x:v>
      </x:c>
      <x:c r="G108" s="39" t="n">
        <x:v>-0.0198636231</x:v>
      </x:c>
      <x:c r="H108" s="39" t="n">
        <x:v>0.0741770633</x:v>
      </x:c>
      <x:c r="I108" s="39" t="n">
        <x:v>0.0860314744</x:v>
      </x:c>
      <x:c r="J108" s="39" t="n">
        <x:v>0.0445277812</x:v>
      </x:c>
      <x:c r="K108" s="39" t="n">
        <x:v>-0.1466077561</x:v>
      </x:c>
      <x:c r="L108" s="39" t="n">
        <x:v>0.1213531835</x:v>
      </x:c>
      <x:c r="M108" s="39" t="n">
        <x:v>0.0663316629</x:v>
      </x:c>
      <x:c r="N108" s="39" t="n">
        <x:v>0.0413569701</x:v>
      </x:c>
      <x:c r="O108" s="39" t="n">
        <x:v>0.0785705852</x:v>
      </x:c>
      <x:c r="P108" s="39" t="n">
        <x:v>-0.0282596465</x:v>
      </x:c>
      <x:c r="Q108" s="39" t="n">
        <x:v>0.0603897148</x:v>
      </x:c>
      <x:c r="R108" s="39" t="n">
        <x:v>0.1098035317</x:v>
      </x:c>
      <x:c r="S108" s="39" t="n">
        <x:v>-0.0087761028</x:v>
      </x:c>
      <x:c r="T108" s="39" t="n">
        <x:v>0.149777015</x:v>
      </x:c>
      <x:c r="U108" s="39" t="n">
        <x:v>0.1911389255</x:v>
      </x:c>
      <x:c r="V108" s="39" t="n">
        <x:v>0.0063068232</x:v>
      </x:c>
      <x:c r="W108" s="39" t="n">
        <x:v>0.0236808475</x:v>
      </x:c>
      <x:c r="X108" s="39" t="n">
        <x:v>0.0076556915</x:v>
      </x:c>
      <x:c r="Y108" s="39" t="n">
        <x:v>-0.0537698406</x:v>
      </x:c>
      <x:c r="Z108" s="39" t="n">
        <x:v>0.085602496</x:v>
      </x:c>
      <x:c r="AA108" s="39" t="n">
        <x:v>0.0533678714</x:v>
      </x:c>
      <x:c r="AB108" s="39" t="n">
        <x:v>0.05598324</x:v>
      </x:c>
      <x:c r="AC108" s="39" t="n">
        <x:v>-0.1204923925</x:v>
      </x:c>
      <x:c r="AD108" s="39" t="n">
        <x:v>-0.0002389663</x:v>
      </x:c>
      <x:c r="AE108" s="39" t="n">
        <x:v>-0.0088529687</x:v>
      </x:c>
      <x:c r="AF108" s="39" t="n">
        <x:v>-0.0004383107</x:v>
      </x:c>
      <x:c r="AG108" s="39" t="n">
        <x:v>0.0395946858</x:v>
      </x:c>
      <x:c r="AH108" s="39" t="n">
        <x:v>-0.0543441118</x:v>
      </x:c>
      <x:c r="AI108" s="39" t="n">
        <x:v>-0.0015061374</x:v>
      </x:c>
      <x:c r="AJ108" s="39" t="n">
        <x:v>0.0796189088</x:v>
      </x:c>
      <x:c r="AK108" s="39" t="n">
        <x:v>0.086229011</x:v>
      </x:c>
      <x:c r="AL108" s="39" t="n">
        <x:v>0.0873974798</x:v>
      </x:c>
      <x:c r="AM108" s="39" t="n">
        <x:v>0.0484163103</x:v>
      </x:c>
      <x:c r="AN108" s="39" t="n">
        <x:v>0.044947917</x:v>
      </x:c>
      <x:c r="AO108" s="39" t="n">
        <x:v>0.0674779483</x:v>
      </x:c>
      <x:c r="AP108" s="39" t="n">
        <x:v>-0.0485383541</x:v>
      </x:c>
      <x:c r="AQ108" s="39" t="n">
        <x:v>0.0092003394</x:v>
      </x:c>
      <x:c r="AR108" s="39" t="n">
        <x:v>0.03715698</x:v>
      </x:c>
      <x:c r="AS108" s="39" t="n">
        <x:v>0.0581422147</x:v>
      </x:c>
    </x:row>
    <x:row r="109" ht="19" customHeight="1">
      <x:c r="A109" s="30" t="str">
        <x:v>Home FX</x:v>
      </x:c>
      <x:c r="B109" s="40" t="d">
        <x:v>2022-04-25T00:00:00.000Z</x:v>
      </x:c>
      <x:c r="C109" s="39" t="n">
        <x:v>0.0490510854</x:v>
      </x:c>
      <x:c r="D109" s="39" t="n">
        <x:v>-0.0958205455</x:v>
      </x:c>
      <x:c r="E109" s="39" t="n">
        <x:v>-0.0179920809</x:v>
      </x:c>
      <x:c r="F109" s="39" t="n">
        <x:v>-0.0078046899</x:v>
      </x:c>
      <x:c r="G109" s="39" t="n">
        <x:v>-0.1539933936</x:v>
      </x:c>
      <x:c r="H109" s="39" t="n">
        <x:v>-0.0683124293</x:v>
      </x:c>
      <x:c r="I109" s="39" t="n">
        <x:v>-0.2065094829</x:v>
      </x:c>
      <x:c r="J109" s="39" t="n">
        <x:v>-0.0492141445</x:v>
      </x:c>
      <x:c r="K109" s="39" t="n">
        <x:v>-0.0563778936</x:v>
      </x:c>
      <x:c r="L109" s="39" t="n">
        <x:v>0.0722290048</x:v>
      </x:c>
      <x:c r="M109" s="39" t="n">
        <x:v>-0.0226421546</x:v>
      </x:c>
      <x:c r="N109" s="39" t="n">
        <x:v>-0.0266454454</x:v>
      </x:c>
      <x:c r="O109" s="39" t="n">
        <x:v>-0.0916087312</x:v>
      </x:c>
      <x:c r="P109" s="39" t="n">
        <x:v>0.0694192341</x:v>
      </x:c>
      <x:c r="Q109" s="39" t="n">
        <x:v>-0.1632799733</x:v>
      </x:c>
      <x:c r="R109" s="39" t="n">
        <x:v>-0.3102748475</x:v>
      </x:c>
      <x:c r="S109" s="39" t="n">
        <x:v>-0.0671235361</x:v>
      </x:c>
      <x:c r="T109" s="39" t="n">
        <x:v>-0.270904189</x:v>
      </x:c>
      <x:c r="U109" s="39" t="n">
        <x:v>-0.2052349753</x:v>
      </x:c>
      <x:c r="V109" s="39" t="n">
        <x:v>-0.1627367521</x:v>
      </x:c>
      <x:c r="W109" s="39" t="n">
        <x:v>-0.5067569278</x:v>
      </x:c>
      <x:c r="X109" s="39" t="n">
        <x:v>-0.1326763514</x:v>
      </x:c>
      <x:c r="Y109" s="39" t="n">
        <x:v>-0.0822904494</x:v>
      </x:c>
      <x:c r="Z109" s="39" t="n">
        <x:v>-0.0960873731</x:v>
      </x:c>
      <x:c r="AA109" s="39" t="n">
        <x:v>-0.0522754715</x:v>
      </x:c>
      <x:c r="AB109" s="39" t="n">
        <x:v>0.0559698793</x:v>
      </x:c>
      <x:c r="AC109" s="39" t="n">
        <x:v>-0.2811315659</x:v>
      </x:c>
      <x:c r="AD109" s="39" t="n">
        <x:v>0.030224256</x:v>
      </x:c>
      <x:c r="AE109" s="39" t="n">
        <x:v>-0.116821815</x:v>
      </x:c>
      <x:c r="AF109" s="39" t="n">
        <x:v>-0.04175959</x:v>
      </x:c>
      <x:c r="AG109" s="39" t="n">
        <x:v>-0.1865928506</x:v>
      </x:c>
      <x:c r="AH109" s="39" t="n">
        <x:v>0.0366119184</x:v>
      </x:c>
      <x:c r="AI109" s="39" t="n">
        <x:v>-0.176813359</x:v>
      </x:c>
      <x:c r="AJ109" s="39" t="n">
        <x:v>-0.0013887561</x:v>
      </x:c>
      <x:c r="AK109" s="39" t="n">
        <x:v>-0.0559151376</x:v>
      </x:c>
      <x:c r="AL109" s="39" t="n">
        <x:v>-0.0771316683</x:v>
      </x:c>
      <x:c r="AM109" s="39" t="n">
        <x:v>-0.0818174898</x:v>
      </x:c>
      <x:c r="AN109" s="39" t="n">
        <x:v>-0.1545703782</x:v>
      </x:c>
      <x:c r="AO109" s="39" t="n">
        <x:v>-0.0583656458</x:v>
      </x:c>
      <x:c r="AP109" s="39" t="n">
        <x:v>-0.0037206238</x:v>
      </x:c>
      <x:c r="AQ109" s="39" t="n">
        <x:v>0.0205282653</x:v>
      </x:c>
      <x:c r="AR109" s="39" t="n">
        <x:v>0.0095188305</x:v>
      </x:c>
      <x:c r="AS109" s="39" t="n">
        <x:v>-0.064791605</x:v>
      </x:c>
    </x:row>
    <x:row r="110" ht="19" customHeight="1">
      <x:c r="A110" s="30" t="str">
        <x:v>Home FX</x:v>
      </x:c>
      <x:c r="B110" s="40" t="d">
        <x:v>2022-05-23T00:00:00.000Z</x:v>
      </x:c>
      <x:c r="C110" s="39" t="n">
        <x:v>0.0383401671</x:v>
      </x:c>
      <x:c r="D110" s="39" t="n">
        <x:v>0.0611709874</x:v>
      </x:c>
      <x:c r="E110" s="39" t="n">
        <x:v>0.0395619093</x:v>
      </x:c>
      <x:c r="F110" s="39" t="n">
        <x:v>0.0207589062</x:v>
      </x:c>
      <x:c r="G110" s="39" t="n">
        <x:v>-0.0159469689</x:v>
      </x:c>
      <x:c r="H110" s="39" t="n">
        <x:v>-0.0283894435</x:v>
      </x:c>
      <x:c r="I110" s="39" t="n">
        <x:v>-0.0582221923</x:v>
      </x:c>
      <x:c r="J110" s="39" t="n">
        <x:v>0.0635450526</x:v>
      </x:c>
      <x:c r="K110" s="39" t="n">
        <x:v>-0.0187182142</x:v>
      </x:c>
      <x:c r="L110" s="39" t="n">
        <x:v>0.1339561507</x:v>
      </x:c>
      <x:c r="M110" s="39" t="n">
        <x:v>-0.0056936359</x:v>
      </x:c>
      <x:c r="N110" s="39" t="n">
        <x:v>-0.0275957292</x:v>
      </x:c>
      <x:c r="O110" s="39" t="n">
        <x:v>-0.0401264401</x:v>
      </x:c>
      <x:c r="P110" s="39" t="n">
        <x:v>0.1216751832</x:v>
      </x:c>
      <x:c r="Q110" s="39" t="n">
        <x:v>-0.0420598567</x:v>
      </x:c>
      <x:c r="R110" s="39" t="n">
        <x:v>0.1899172734</x:v>
      </x:c>
      <x:c r="S110" s="39" t="n">
        <x:v>-0.0706621215</x:v>
      </x:c>
      <x:c r="T110" s="39" t="n">
        <x:v>-0.2897712613</x:v>
      </x:c>
      <x:c r="U110" s="39" t="n">
        <x:v>0.0717005826</x:v>
      </x:c>
      <x:c r="V110" s="39" t="n">
        <x:v>-0.068808381</x:v>
      </x:c>
      <x:c r="W110" s="39" t="n">
        <x:v>0.01910878</x:v>
      </x:c>
      <x:c r="X110" s="39" t="n">
        <x:v>0.0800441558</x:v>
      </x:c>
      <x:c r="Y110" s="39" t="n">
        <x:v>0.0553178082</x:v>
      </x:c>
      <x:c r="Z110" s="39" t="n">
        <x:v>-0.0446199063</x:v>
      </x:c>
      <x:c r="AA110" s="39" t="n">
        <x:v>0.08704171</x:v>
      </x:c>
      <x:c r="AB110" s="39" t="n">
        <x:v>0.0159218954</x:v>
      </x:c>
      <x:c r="AC110" s="39" t="n">
        <x:v>-0.3044063807</x:v>
      </x:c>
      <x:c r="AD110" s="39" t="n">
        <x:v>-0.0583717866</x:v>
      </x:c>
      <x:c r="AE110" s="39" t="n">
        <x:v>-0.0290927571</x:v>
      </x:c>
      <x:c r="AF110" s="39" t="n">
        <x:v>0.0185777979</x:v>
      </x:c>
      <x:c r="AG110" s="39" t="n">
        <x:v>-0.0902413266</x:v>
      </x:c>
      <x:c r="AH110" s="39" t="n">
        <x:v>0.0103061185</x:v>
      </x:c>
      <x:c r="AI110" s="39" t="n">
        <x:v>0.1363341619</x:v>
      </x:c>
      <x:c r="AJ110" s="39" t="n">
        <x:v>0.0803067923</x:v>
      </x:c>
      <x:c r="AK110" s="39" t="n">
        <x:v>-0.0000954729</x:v>
      </x:c>
      <x:c r="AL110" s="39" t="n">
        <x:v>-0.0047531079</x:v>
      </x:c>
      <x:c r="AM110" s="39" t="n">
        <x:v>-0.0100791509</x:v>
      </x:c>
      <x:c r="AN110" s="39" t="n">
        <x:v>-0.0120783418</x:v>
      </x:c>
      <x:c r="AO110" s="39" t="n">
        <x:v>-0.0928643833</x:v>
      </x:c>
      <x:c r="AP110" s="39" t="n">
        <x:v>0.0201923344</x:v>
      </x:c>
      <x:c r="AQ110" s="39" t="n">
        <x:v>0.0008258983</x:v>
      </x:c>
      <x:c r="AR110" s="39" t="n">
        <x:v>0.0075426381</x:v>
      </x:c>
      <x:c r="AS110" s="39" t="n">
        <x:v>-0.0088388854</x:v>
      </x:c>
    </x:row>
    <x:row r="111" ht="19" customHeight="1">
      <x:c r="A111" s="30" t="str">
        <x:v>Home FX</x:v>
      </x:c>
      <x:c r="B111" s="40" t="d">
        <x:v>2022-06-20T00:00:00.000Z</x:v>
      </x:c>
      <x:c r="C111" s="39" t="n">
        <x:v>-0.0848594715</x:v>
      </x:c>
      <x:c r="D111" s="39" t="n">
        <x:v>-0.2655240569</x:v>
      </x:c>
      <x:c r="E111" s="39" t="n">
        <x:v>-0.0782873401</x:v>
      </x:c>
      <x:c r="F111" s="39" t="n">
        <x:v>-0.0703720812</x:v>
      </x:c>
      <x:c r="G111" s="39" t="n">
        <x:v>-0.0862865076</x:v>
      </x:c>
      <x:c r="H111" s="39" t="n">
        <x:v>-0.0415792008</x:v>
      </x:c>
      <x:c r="I111" s="39" t="n">
        <x:v>0.0087730554</x:v>
      </x:c>
      <x:c r="J111" s="39" t="n">
        <x:v>-0.0760696721</x:v>
      </x:c>
      <x:c r="K111" s="39" t="n">
        <x:v>-0.1394355269</x:v>
      </x:c>
      <x:c r="L111" s="39" t="n">
        <x:v>-0.183807661</x:v>
      </x:c>
      <x:c r="M111" s="39" t="n">
        <x:v>-0.1073085217</x:v>
      </x:c>
      <x:c r="N111" s="39" t="n">
        <x:v>-0.121749119</x:v>
      </x:c>
      <x:c r="O111" s="39" t="n">
        <x:v>-0.0254522431</x:v>
      </x:c>
      <x:c r="P111" s="39" t="n">
        <x:v>-0.2161991813</x:v>
      </x:c>
      <x:c r="Q111" s="39" t="n">
        <x:v>0.0196881775</x:v>
      </x:c>
      <x:c r="R111" s="39" t="n">
        <x:v>-0.0445335879</x:v>
      </x:c>
      <x:c r="S111" s="39" t="n">
        <x:v>0.041893414</x:v>
      </x:c>
      <x:c r="T111" s="39" t="n">
        <x:v>-0.0988857507</x:v>
      </x:c>
      <x:c r="U111" s="39" t="n">
        <x:v>-0.0179641828</x:v>
      </x:c>
      <x:c r="V111" s="39" t="n">
        <x:v>-0.0495356602</x:v>
      </x:c>
      <x:c r="W111" s="39" t="n">
        <x:v>-0.0173917313</x:v>
      </x:c>
      <x:c r="X111" s="39" t="n">
        <x:v>-0.0848855986</x:v>
      </x:c>
      <x:c r="Y111" s="39" t="n">
        <x:v>-0.17544575</x:v>
      </x:c>
      <x:c r="Z111" s="39" t="n">
        <x:v>-0.0464570554</x:v>
      </x:c>
      <x:c r="AA111" s="39" t="n">
        <x:v>-0.0284766457</x:v>
      </x:c>
      <x:c r="AB111" s="39" t="n">
        <x:v>0.0126798923</x:v>
      </x:c>
      <x:c r="AC111" s="39" t="n">
        <x:v>-0.1595254688</x:v>
      </x:c>
      <x:c r="AD111" s="39" t="n">
        <x:v>-0.0230679475</x:v>
      </x:c>
      <x:c r="AE111" s="39" t="n">
        <x:v>-0.0978684676</x:v>
      </x:c>
      <x:c r="AF111" s="39" t="n">
        <x:v>-0.0834060619</x:v>
      </x:c>
      <x:c r="AG111" s="39" t="n">
        <x:v>0.0525711308</x:v>
      </x:c>
      <x:c r="AH111" s="39" t="n">
        <x:v>0.0033836058</x:v>
      </x:c>
      <x:c r="AI111" s="39" t="n">
        <x:v>-0.1242881071</x:v>
      </x:c>
      <x:c r="AJ111" s="39" t="n">
        <x:v>0.0050999596</x:v>
      </x:c>
      <x:c r="AK111" s="39" t="n">
        <x:v>-0.0607382247</x:v>
      </x:c>
      <x:c r="AL111" s="39" t="n">
        <x:v>-0.064188177</x:v>
      </x:c>
      <x:c r="AM111" s="39" t="n">
        <x:v>-0.0158430351</x:v>
      </x:c>
      <x:c r="AN111" s="39" t="n">
        <x:v>0.0380170615</x:v>
      </x:c>
      <x:c r="AO111" s="39" t="n">
        <x:v>0.022044139</x:v>
      </x:c>
      <x:c r="AP111" s="39" t="n">
        <x:v>-0.0617603797</x:v>
      </x:c>
      <x:c r="AQ111" s="39" t="n">
        <x:v>-0.0142963059</x:v>
      </x:c>
      <x:c r="AR111" s="39" t="n">
        <x:v>0.0051084236</x:v>
      </x:c>
      <x:c r="AS111" s="39" t="n">
        <x:v>-0.1058926903</x:v>
      </x:c>
    </x:row>
    <x:row r="112" ht="19" customHeight="1">
      <x:c r="A112" s="30" t="str">
        <x:v>Home FX</x:v>
      </x:c>
      <x:c r="B112" s="40" t="d">
        <x:v>2022-07-18T00:00:00.000Z</x:v>
      </x:c>
      <x:c r="C112" s="39" t="n">
        <x:v>-0.0131901635</x:v>
      </x:c>
      <x:c r="D112" s="39" t="n">
        <x:v>-0.1588249925</x:v>
      </x:c>
      <x:c r="E112" s="39" t="n">
        <x:v>0.0062604594</x:v>
      </x:c>
      <x:c r="F112" s="39" t="n">
        <x:v>-0.0084181809</x:v>
      </x:c>
      <x:c r="G112" s="39" t="n">
        <x:v>0.0386626868</x:v>
      </x:c>
      <x:c r="H112" s="39" t="n">
        <x:v>0.0107335097</x:v>
      </x:c>
      <x:c r="I112" s="39" t="n">
        <x:v>0.0391513456</x:v>
      </x:c>
      <x:c r="J112" s="39" t="n">
        <x:v>0.0744046282</x:v>
      </x:c>
      <x:c r="K112" s="39" t="n">
        <x:v>-0.0166444444</x:v>
      </x:c>
      <x:c r="L112" s="39" t="n">
        <x:v>0.0006791057</x:v>
      </x:c>
      <x:c r="M112" s="39" t="n">
        <x:v>0.013904065</x:v>
      </x:c>
      <x:c r="N112" s="39" t="n">
        <x:v>-0.023851457</x:v>
      </x:c>
      <x:c r="O112" s="39" t="n">
        <x:v>0.09307676</x:v>
      </x:c>
      <x:c r="P112" s="39" t="n">
        <x:v>0.002495702</x:v>
      </x:c>
      <x:c r="Q112" s="39" t="n">
        <x:v>-0.0126805514</x:v>
      </x:c>
      <x:c r="R112" s="39" t="n">
        <x:v>-0.1555728431</x:v>
      </x:c>
      <x:c r="S112" s="39" t="n">
        <x:v>-0.020895449</x:v>
      </x:c>
      <x:c r="T112" s="39" t="n">
        <x:v>-0.002880333</x:v>
      </x:c>
      <x:c r="U112" s="39" t="n">
        <x:v>0.098250232</x:v>
      </x:c>
      <x:c r="V112" s="39" t="n">
        <x:v>0.0471724316</x:v>
      </x:c>
      <x:c r="W112" s="39" t="n">
        <x:v>0.1130676014</x:v>
      </x:c>
      <x:c r="X112" s="39" t="n">
        <x:v>0.0631530348</x:v>
      </x:c>
      <x:c r="Y112" s="39" t="n">
        <x:v>0.0388863656</x:v>
      </x:c>
      <x:c r="Z112" s="39" t="n">
        <x:v>-0.1743404353</x:v>
      </x:c>
      <x:c r="AA112" s="39" t="n">
        <x:v>-0.0324830924</x:v>
      </x:c>
      <x:c r="AB112" s="39" t="n">
        <x:v>-0.0161081994</x:v>
      </x:c>
      <x:c r="AC112" s="39" t="n">
        <x:v>-0.3554317421</x:v>
      </x:c>
      <x:c r="AD112" s="39" t="n">
        <x:v>-0.002185158</x:v>
      </x:c>
      <x:c r="AE112" s="39" t="n">
        <x:v>0.0511980072</x:v>
      </x:c>
      <x:c r="AF112" s="39" t="n">
        <x:v>-0.0163489199</x:v>
      </x:c>
      <x:c r="AG112" s="39" t="n">
        <x:v>0.0871478398</x:v>
      </x:c>
      <x:c r="AH112" s="39" t="n">
        <x:v>-0.0244561036</x:v>
      </x:c>
      <x:c r="AI112" s="39" t="n">
        <x:v>0.0091350152</x:v>
      </x:c>
      <x:c r="AJ112" s="39" t="n">
        <x:v>0.0075045088</x:v>
      </x:c>
      <x:c r="AK112" s="39" t="n">
        <x:v>-0.0050032272</x:v>
      </x:c>
      <x:c r="AL112" s="39" t="n">
        <x:v>0.0378497592</x:v>
      </x:c>
      <x:c r="AM112" s="39" t="n">
        <x:v>-0.0218087994</x:v>
      </x:c>
      <x:c r="AN112" s="39" t="n">
        <x:v>-0.0700253576</x:v>
      </x:c>
      <x:c r="AO112" s="39" t="n">
        <x:v>0.0702070795</x:v>
      </x:c>
      <x:c r="AP112" s="39" t="n">
        <x:v>0.0628055894</x:v>
      </x:c>
      <x:c r="AQ112" s="39" t="n">
        <x:v>-0.0182538546</x:v>
      </x:c>
      <x:c r="AR112" s="39" t="n">
        <x:v>-0.0450324089</x:v>
      </x:c>
      <x:c r="AS112" s="39" t="n">
        <x:v>0.0212734084</x:v>
      </x:c>
    </x:row>
    <x:row r="113" ht="19" customHeight="1">
      <x:c r="A113" s="30" t="str">
        <x:v>Home FX</x:v>
      </x:c>
      <x:c r="B113" s="40" t="d">
        <x:v>2022-08-15T00:00:00.000Z</x:v>
      </x:c>
      <x:c r="C113" s="39" t="n">
        <x:v>0.0742529818</x:v>
      </x:c>
      <x:c r="D113" s="39" t="n">
        <x:v>0.2496930603</x:v>
      </x:c>
      <x:c r="E113" s="39" t="n">
        <x:v>0.0908565687</x:v>
      </x:c>
      <x:c r="F113" s="39" t="n">
        <x:v>0.0913990401</x:v>
      </x:c>
      <x:c r="G113" s="39" t="n">
        <x:v>0.1246280959</x:v>
      </x:c>
      <x:c r="H113" s="39" t="n">
        <x:v>0.1718857729</x:v>
      </x:c>
      <x:c r="I113" s="39" t="n">
        <x:v>0.0966319578</x:v>
      </x:c>
      <x:c r="J113" s="39" t="n">
        <x:v>0.1128189667</x:v>
      </x:c>
      <x:c r="K113" s="39" t="n">
        <x:v>-0.0070483971</x:v>
      </x:c>
      <x:c r="L113" s="39" t="n">
        <x:v>0.1109536276</x:v>
      </x:c>
      <x:c r="M113" s="39" t="n">
        <x:v>0.161560752</x:v>
      </x:c>
      <x:c r="N113" s="39" t="n">
        <x:v>0.0939462958</x:v>
      </x:c>
      <x:c r="O113" s="39" t="n">
        <x:v>0.1379672639</x:v>
      </x:c>
      <x:c r="P113" s="39" t="n">
        <x:v>0.0075458758</x:v>
      </x:c>
      <x:c r="Q113" s="39" t="n">
        <x:v>0.0353554144</x:v>
      </x:c>
      <x:c r="R113" s="39" t="n">
        <x:v>0.0812382438</x:v>
      </x:c>
      <x:c r="S113" s="39" t="n">
        <x:v>-0.0094323097</x:v>
      </x:c>
      <x:c r="T113" s="39" t="n">
        <x:v>0.2249748749</x:v>
      </x:c>
      <x:c r="U113" s="39" t="n">
        <x:v>-0.0896171636</x:v>
      </x:c>
      <x:c r="V113" s="39" t="n">
        <x:v>0.1963138403</x:v>
      </x:c>
      <x:c r="W113" s="39" t="n">
        <x:v>0.0714708303</x:v>
      </x:c>
      <x:c r="X113" s="39" t="n">
        <x:v>-0.076798552</x:v>
      </x:c>
      <x:c r="Y113" s="39" t="n">
        <x:v>-0.0101898096</x:v>
      </x:c>
      <x:c r="Z113" s="39" t="n">
        <x:v>-0.132060687</x:v>
      </x:c>
      <x:c r="AA113" s="39" t="n">
        <x:v>0.1087705963</x:v>
      </x:c>
      <x:c r="AB113" s="39" t="n">
        <x:v>-0.0200576582</x:v>
      </x:c>
      <x:c r="AC113" s="39" t="n">
        <x:v>0.0710052664</x:v>
      </x:c>
      <x:c r="AD113" s="39" t="n">
        <x:v>0.0364765951</x:v>
      </x:c>
      <x:c r="AE113" s="39" t="n">
        <x:v>0.1781920245</x:v>
      </x:c>
      <x:c r="AF113" s="39" t="n">
        <x:v>0.0606078786</x:v>
      </x:c>
      <x:c r="AG113" s="39" t="n">
        <x:v>0.0235905597</x:v>
      </x:c>
      <x:c r="AH113" s="39" t="n">
        <x:v>0.0959683126</x:v>
      </x:c>
      <x:c r="AI113" s="39" t="n">
        <x:v>0.0679063753</x:v>
      </x:c>
      <x:c r="AJ113" s="39" t="n">
        <x:v>-0.0120120313</x:v>
      </x:c>
      <x:c r="AK113" s="39" t="n">
        <x:v>-0.0318451265</x:v>
      </x:c>
      <x:c r="AL113" s="39" t="n">
        <x:v>-0.0189584492</x:v>
      </x:c>
      <x:c r="AM113" s="39" t="n">
        <x:v>0.0768300207</x:v>
      </x:c>
      <x:c r="AN113" s="39" t="n">
        <x:v>0.0658439067</x:v>
      </x:c>
      <x:c r="AO113" s="39" t="n">
        <x:v>0.037787673</x:v>
      </x:c>
      <x:c r="AP113" s="39" t="n">
        <x:v>0.037333482</x:v>
      </x:c>
      <x:c r="AQ113" s="39" t="n">
        <x:v>0.0449498171</x:v>
      </x:c>
      <x:c r="AR113" s="39" t="n">
        <x:v>-0.0130957661</x:v>
      </x:c>
      <x:c r="AS113" s="39" t="n">
        <x:v>0.0309698576</x:v>
      </x:c>
    </x:row>
    <x:row r="114" ht="19" customHeight="1">
      <x:c r="A114" s="30" t="str">
        <x:v>Home FX</x:v>
      </x:c>
      <x:c r="B114" s="40" t="d">
        <x:v>2022-09-12T00:00:00.000Z</x:v>
      </x:c>
      <x:c r="C114" s="39" t="n">
        <x:v>0.0019152294</x:v>
      </x:c>
      <x:c r="D114" s="39" t="n">
        <x:v>0.0572256685</x:v>
      </x:c>
      <x:c r="E114" s="39" t="n">
        <x:v>-0.0360067598</x:v>
      </x:c>
      <x:c r="F114" s="39" t="n">
        <x:v>-0.0424178539</x:v>
      </x:c>
      <x:c r="G114" s="39" t="n">
        <x:v>-0.0840879194</x:v>
      </x:c>
      <x:c r="H114" s="39" t="n">
        <x:v>0.0102171644</x:v>
      </x:c>
      <x:c r="I114" s="39" t="n">
        <x:v>-0.0907209243</x:v>
      </x:c>
      <x:c r="J114" s="39" t="n">
        <x:v>-0.0414480622</x:v>
      </x:c>
      <x:c r="K114" s="39" t="n">
        <x:v>-0.2102296417</x:v>
      </x:c>
      <x:c r="L114" s="39" t="n">
        <x:v>-0.1020944503</x:v>
      </x:c>
      <x:c r="M114" s="39" t="n">
        <x:v>-0.0392156036</x:v>
      </x:c>
      <x:c r="N114" s="39" t="n">
        <x:v>-0.0397634972</x:v>
      </x:c>
      <x:c r="O114" s="39" t="n">
        <x:v>-0.0727527644</x:v>
      </x:c>
      <x:c r="P114" s="39" t="n">
        <x:v>-0.1996660929</x:v>
      </x:c>
      <x:c r="Q114" s="39" t="n">
        <x:v>0.1102853052</x:v>
      </x:c>
      <x:c r="R114" s="39" t="n">
        <x:v>-0.0343968714</x:v>
      </x:c>
      <x:c r="S114" s="39" t="n">
        <x:v>-0.0390602443</x:v>
      </x:c>
      <x:c r="T114" s="39" t="n">
        <x:v>-0.1219115899</x:v>
      </x:c>
      <x:c r="U114" s="39" t="n">
        <x:v>-0.047543882</x:v>
      </x:c>
      <x:c r="V114" s="39" t="n">
        <x:v>-0.0801572258</x:v>
      </x:c>
      <x:c r="W114" s="39" t="n">
        <x:v>-0.0034535204</x:v>
      </x:c>
      <x:c r="X114" s="39" t="n">
        <x:v>-0.0918093319</x:v>
      </x:c>
      <x:c r="Y114" s="39" t="n">
        <x:v>-0.1092113173</x:v>
      </x:c>
      <x:c r="Z114" s="39" t="n">
        <x:v>0.0140399814</x:v>
      </x:c>
      <x:c r="AA114" s="39" t="n">
        <x:v>-0.0165619379</x:v>
      </x:c>
      <x:c r="AB114" s="39" t="n">
        <x:v>0.0068379943</x:v>
      </x:c>
      <x:c r="AC114" s="39" t="n">
        <x:v>-0.1218798666</x:v>
      </x:c>
      <x:c r="AD114" s="39" t="n">
        <x:v>-0.0641892976</x:v>
      </x:c>
      <x:c r="AE114" s="39" t="n">
        <x:v>-0.0612039588</x:v>
      </x:c>
      <x:c r="AF114" s="39" t="n">
        <x:v>-0.0969026471</x:v>
      </x:c>
      <x:c r="AG114" s="39" t="n">
        <x:v>-0.0979821975</x:v>
      </x:c>
      <x:c r="AH114" s="39" t="n">
        <x:v>-0.0076769632</x:v>
      </x:c>
      <x:c r="AI114" s="39" t="n">
        <x:v>-0.1826811343</x:v>
      </x:c>
      <x:c r="AJ114" s="39" t="n">
        <x:v>-0.0354659026</x:v>
      </x:c>
      <x:c r="AK114" s="39" t="n">
        <x:v>-0.0654195087</x:v>
      </x:c>
      <x:c r="AL114" s="39" t="n">
        <x:v>-0.0854252039</x:v>
      </x:c>
      <x:c r="AM114" s="39" t="n">
        <x:v>-0.1261303913</x:v>
      </x:c>
      <x:c r="AN114" s="39" t="n">
        <x:v>-0.1058473014</x:v>
      </x:c>
      <x:c r="AO114" s="39" t="n">
        <x:v>-0.0768686231</x:v>
      </x:c>
      <x:c r="AP114" s="39" t="n">
        <x:v>-0.1175145873</x:v>
      </x:c>
      <x:c r="AQ114" s="39" t="n">
        <x:v>-0.0670403054</x:v>
      </x:c>
      <x:c r="AR114" s="39" t="n">
        <x:v>-0.0027871438</x:v>
      </x:c>
      <x:c r="AS114" s="39" t="n">
        <x:v>-0.0634159547</x:v>
      </x:c>
    </x:row>
    <x:row r="115" ht="19" customHeight="1">
      <x:c r="A115" s="30" t="str">
        <x:v>Home FX</x:v>
      </x:c>
      <x:c r="B115" s="40" t="d">
        <x:v>2022-10-10T00:00:00.000Z</x:v>
      </x:c>
      <x:c r="C115" s="39" t="n">
        <x:v>-0.1306603502</x:v>
      </x:c>
      <x:c r="D115" s="39" t="n">
        <x:v>0.0753943458</x:v>
      </x:c>
      <x:c r="E115" s="39" t="n">
        <x:v>-0.1503095364</x:v>
      </x:c>
      <x:c r="F115" s="39" t="n">
        <x:v>-0.1172729529</x:v>
      </x:c>
      <x:c r="G115" s="39" t="n">
        <x:v>-0.1115981832</x:v>
      </x:c>
      <x:c r="H115" s="39" t="n">
        <x:v>-0.0947485742</x:v>
      </x:c>
      <x:c r="I115" s="39" t="n">
        <x:v>-0.1183227521</x:v>
      </x:c>
      <x:c r="J115" s="39" t="n">
        <x:v>0.012451818</x:v>
      </x:c>
      <x:c r="K115" s="39" t="n">
        <x:v>-0.1593605365</x:v>
      </x:c>
      <x:c r="L115" s="39" t="n">
        <x:v>0.0723785</x:v>
      </x:c>
      <x:c r="M115" s="39" t="n">
        <x:v>-0.0045780563</x:v>
      </x:c>
      <x:c r="N115" s="39" t="n">
        <x:v>0.0052284603</x:v>
      </x:c>
      <x:c r="O115" s="39" t="n">
        <x:v>-0.0129896153</x:v>
      </x:c>
      <x:c r="P115" s="39" t="n">
        <x:v>-0.0808144503</x:v>
      </x:c>
      <x:c r="Q115" s="39" t="n">
        <x:v>0.0085207584</x:v>
      </x:c>
      <x:c r="R115" s="39" t="n">
        <x:v>-0.1756939261</x:v>
      </x:c>
      <x:c r="S115" s="39" t="n">
        <x:v>-0.0889964193</x:v>
      </x:c>
      <x:c r="T115" s="39" t="n">
        <x:v>-0.2079235712</x:v>
      </x:c>
      <x:c r="U115" s="39" t="n">
        <x:v>-0.0225271103</x:v>
      </x:c>
      <x:c r="V115" s="39" t="n">
        <x:v>0.0076399796</x:v>
      </x:c>
      <x:c r="W115" s="39" t="n">
        <x:v>-0.0352710438</x:v>
      </x:c>
      <x:c r="X115" s="39" t="n">
        <x:v>-0.106237627</x:v>
      </x:c>
      <x:c r="Y115" s="39" t="n">
        <x:v>-0.0002905703</x:v>
      </x:c>
      <x:c r="Z115" s="39" t="n">
        <x:v>-0.0575830054</x:v>
      </x:c>
      <x:c r="AA115" s="39" t="n">
        <x:v>-0.0605353144</x:v>
      </x:c>
      <x:c r="AB115" s="39" t="n">
        <x:v>-0.1186991569</x:v>
      </x:c>
      <x:c r="AC115" s="39" t="n">
        <x:v>-0.0528361746</x:v>
      </x:c>
      <x:c r="AD115" s="39" t="n">
        <x:v>-0.0821007163</x:v>
      </x:c>
      <x:c r="AE115" s="39" t="n">
        <x:v>-0.1900049474</x:v>
      </x:c>
      <x:c r="AF115" s="39" t="n">
        <x:v>-0.029992993</x:v>
      </x:c>
      <x:c r="AG115" s="39" t="n">
        <x:v>-0.065752016</x:v>
      </x:c>
      <x:c r="AH115" s="39" t="n">
        <x:v>-0.0321421834</x:v>
      </x:c>
      <x:c r="AI115" s="39" t="n">
        <x:v>-0.256253893</x:v>
      </x:c>
      <x:c r="AJ115" s="39" t="n">
        <x:v>0.0575375711</x:v>
      </x:c>
      <x:c r="AK115" s="39" t="n">
        <x:v>-0.1884699308</x:v>
      </x:c>
      <x:c r="AL115" s="39" t="n">
        <x:v>-0.0411929832</x:v>
      </x:c>
      <x:c r="AM115" s="39" t="n">
        <x:v>-0.0559720634</x:v>
      </x:c>
      <x:c r="AN115" s="39" t="n">
        <x:v>-0.0512445785</x:v>
      </x:c>
      <x:c r="AO115" s="39" t="n">
        <x:v>-0.0845550158</x:v>
      </x:c>
      <x:c r="AP115" s="39" t="n">
        <x:v>0.0013627081</x:v>
      </x:c>
      <x:c r="AQ115" s="39" t="n">
        <x:v>-0.0652038038</x:v>
      </x:c>
      <x:c r="AR115" s="39" t="n">
        <x:v>-0.0154770078</x:v>
      </x:c>
      <x:c r="AS115" s="39" t="n">
        <x:v>-0.0063974058</x:v>
      </x:c>
    </x:row>
    <x:row r="116" ht="19" customHeight="1">
      <x:c r="A116" s="30" t="str">
        <x:v>Home FX</x:v>
      </x:c>
      <x:c r="B116" s="40" t="d">
        <x:v>2022-11-07T00:00:00.000Z</x:v>
      </x:c>
      <x:c r="C116" s="39" t="n">
        <x:v>0.0974957015</x:v>
      </x:c>
      <x:c r="D116" s="39" t="n">
        <x:v>0.1405978721</x:v>
      </x:c>
      <x:c r="E116" s="39" t="n">
        <x:v>0.0695869032</x:v>
      </x:c>
      <x:c r="F116" s="39" t="n">
        <x:v>0.0920914866</x:v>
      </x:c>
      <x:c r="G116" s="39" t="n">
        <x:v>0.0049062155</x:v>
      </x:c>
      <x:c r="H116" s="39" t="n">
        <x:v>-0.0011341843</x:v>
      </x:c>
      <x:c r="I116" s="39" t="n">
        <x:v>-0.0488465039</x:v>
      </x:c>
      <x:c r="J116" s="39" t="n">
        <x:v>0.1512905655</x:v>
      </x:c>
      <x:c r="K116" s="39" t="n">
        <x:v>-0.0795803831</x:v>
      </x:c>
      <x:c r="L116" s="39" t="n">
        <x:v>0.1330332475</x:v>
      </x:c>
      <x:c r="M116" s="39" t="n">
        <x:v>0.0395092702</x:v>
      </x:c>
      <x:c r="N116" s="39" t="n">
        <x:v>-0.0563130948</x:v>
      </x:c>
      <x:c r="O116" s="39" t="n">
        <x:v>0.103518113</x:v>
      </x:c>
      <x:c r="P116" s="39" t="n">
        <x:v>0.1365423704</x:v>
      </x:c>
      <x:c r="Q116" s="39" t="n">
        <x:v>0.1203018782</x:v>
      </x:c>
      <x:c r="R116" s="39" t="n">
        <x:v>-0.0122181643</x:v>
      </x:c>
      <x:c r="S116" s="39" t="n">
        <x:v>0.0116553538</x:v>
      </x:c>
      <x:c r="T116" s="39" t="n">
        <x:v>0.1340378224</x:v>
      </x:c>
      <x:c r="U116" s="39" t="n">
        <x:v>0.2033319096</x:v>
      </x:c>
      <x:c r="V116" s="39" t="n">
        <x:v>0.3537752728</x:v>
      </x:c>
      <x:c r="W116" s="39" t="n">
        <x:v>0.1927559761</x:v>
      </x:c>
      <x:c r="X116" s="39" t="n">
        <x:v>0.1029851042</x:v>
      </x:c>
      <x:c r="Y116" s="39" t="n">
        <x:v>0.1414996616</x:v>
      </x:c>
      <x:c r="Z116" s="39" t="n">
        <x:v>0.1102896308</x:v>
      </x:c>
      <x:c r="AA116" s="39" t="n">
        <x:v>0.0709310136</x:v>
      </x:c>
      <x:c r="AB116" s="39" t="n">
        <x:v>-0.0163542529</x:v>
      </x:c>
      <x:c r="AC116" s="39" t="n">
        <x:v>-0.0145993255</x:v>
      </x:c>
      <x:c r="AD116" s="39" t="n">
        <x:v>0.1051261557</x:v>
      </x:c>
      <x:c r="AE116" s="39" t="n">
        <x:v>0.180204898</x:v>
      </x:c>
      <x:c r="AF116" s="39" t="n">
        <x:v>0.1612563005</x:v>
      </x:c>
      <x:c r="AG116" s="39" t="n">
        <x:v>0.2385595048</x:v>
      </x:c>
      <x:c r="AH116" s="39" t="n">
        <x:v>0.0162405149</x:v>
      </x:c>
      <x:c r="AI116" s="39" t="n">
        <x:v>0.2137225465</x:v>
      </x:c>
      <x:c r="AJ116" s="39" t="n">
        <x:v>0.0507821838</x:v>
      </x:c>
      <x:c r="AK116" s="39" t="n">
        <x:v>0.1768918334</x:v>
      </x:c>
      <x:c r="AL116" s="39" t="n">
        <x:v>0.020227436</x:v>
      </x:c>
      <x:c r="AM116" s="39" t="n">
        <x:v>0.0647649788</x:v>
      </x:c>
      <x:c r="AN116" s="39" t="n">
        <x:v>-0.0012902486</x:v>
      </x:c>
      <x:c r="AO116" s="39" t="n">
        <x:v>0.1056980175</x:v>
      </x:c>
      <x:c r="AP116" s="39" t="n">
        <x:v>0.1082461682</x:v>
      </x:c>
      <x:c r="AQ116" s="39" t="n">
        <x:v>0.0905780524</x:v>
      </x:c>
      <x:c r="AR116" s="39" t="n">
        <x:v>0.0238275616</x:v>
      </x:c>
      <x:c r="AS116" s="39" t="n">
        <x:v>0.1057410332</x:v>
      </x:c>
    </x:row>
    <x:row r="117" ht="19" customHeight="1">
      <x:c r="A117" s="30" t="str">
        <x:v>Home FX</x:v>
      </x:c>
      <x:c r="B117" s="40" t="d">
        <x:v>2022-12-05T00:00:00.000Z</x:v>
      </x:c>
      <x:c r="C117" s="39" t="n">
        <x:v>-0.008074913</x:v>
      </x:c>
      <x:c r="D117" s="39" t="n">
        <x:v>-0.1622043001</x:v>
      </x:c>
      <x:c r="E117" s="39" t="n">
        <x:v>0.0595818023</x:v>
      </x:c>
      <x:c r="F117" s="39" t="n">
        <x:v>0.0461866755</x:v>
      </x:c>
      <x:c r="G117" s="39" t="n">
        <x:v>-0.0145661536</x:v>
      </x:c>
      <x:c r="H117" s="39" t="n">
        <x:v>0.0110526267</x:v>
      </x:c>
      <x:c r="I117" s="39" t="n">
        <x:v>-0.1038634947</x:v>
      </x:c>
      <x:c r="J117" s="39" t="n">
        <x:v>-0.0055615945</x:v>
      </x:c>
      <x:c r="K117" s="39" t="n">
        <x:v>-0.1325619985</x:v>
      </x:c>
      <x:c r="L117" s="39" t="n">
        <x:v>-0.1251391251</x:v>
      </x:c>
      <x:c r="M117" s="39" t="n">
        <x:v>-0.0311416748</x:v>
      </x:c>
      <x:c r="N117" s="39" t="n">
        <x:v>0.0025793442</x:v>
      </x:c>
      <x:c r="O117" s="39" t="n">
        <x:v>0.0179858502</x:v>
      </x:c>
      <x:c r="P117" s="39" t="n">
        <x:v>-0.0902162879</x:v>
      </x:c>
      <x:c r="Q117" s="39" t="n">
        <x:v>-0.1225497755</x:v>
      </x:c>
      <x:c r="R117" s="39" t="n">
        <x:v>-0.0988238014</x:v>
      </x:c>
      <x:c r="S117" s="39" t="n">
        <x:v>0.0266347514</x:v>
      </x:c>
      <x:c r="T117" s="39" t="n">
        <x:v>-0.0872764034</x:v>
      </x:c>
      <x:c r="U117" s="39" t="n">
        <x:v>0.0297071726</x:v>
      </x:c>
      <x:c r="V117" s="39" t="n">
        <x:v>-0.0686602565</x:v>
      </x:c>
      <x:c r="W117" s="39" t="n">
        <x:v>0.0825095211</x:v>
      </x:c>
      <x:c r="X117" s="39" t="n">
        <x:v>0.0315658706</x:v>
      </x:c>
      <x:c r="Y117" s="39" t="n">
        <x:v>-0.1098631848</x:v>
      </x:c>
      <x:c r="Z117" s="39" t="n">
        <x:v>0.0075276819</x:v>
      </x:c>
      <x:c r="AA117" s="39" t="n">
        <x:v>0.0207472388</x:v>
      </x:c>
      <x:c r="AB117" s="39" t="n">
        <x:v>0.0760277247</x:v>
      </x:c>
      <x:c r="AC117" s="39" t="n">
        <x:v>-0.2334833894</x:v>
      </x:c>
      <x:c r="AD117" s="39" t="n">
        <x:v>0.0574087368</x:v>
      </x:c>
      <x:c r="AE117" s="39" t="n">
        <x:v>-0.0715891936</x:v>
      </x:c>
      <x:c r="AF117" s="39" t="n">
        <x:v>0.046060614</x:v>
      </x:c>
      <x:c r="AG117" s="39" t="n">
        <x:v>0.0096662252</x:v>
      </x:c>
      <x:c r="AH117" s="39" t="n">
        <x:v>0.0256533428</x:v>
      </x:c>
      <x:c r="AI117" s="39" t="n">
        <x:v>-0.0451550527</x:v>
      </x:c>
      <x:c r="AJ117" s="39" t="n">
        <x:v>0.0228553477</x:v>
      </x:c>
      <x:c r="AK117" s="39" t="n">
        <x:v>-0.0522519006</x:v>
      </x:c>
      <x:c r="AL117" s="39" t="n">
        <x:v>0.001453515</x:v>
      </x:c>
      <x:c r="AM117" s="39" t="n">
        <x:v>-0.0034076513</x:v>
      </x:c>
      <x:c r="AN117" s="39" t="n">
        <x:v>-0.0318512709</x:v>
      </x:c>
      <x:c r="AO117" s="39" t="n">
        <x:v>-0.0547302577</x:v>
      </x:c>
      <x:c r="AP117" s="39" t="n">
        <x:v>0.0197547864</x:v>
      </x:c>
      <x:c r="AQ117" s="39" t="n">
        <x:v>0.0305680062</x:v>
      </x:c>
      <x:c r="AR117" s="39" t="n">
        <x:v>0.0370888951</x:v>
      </x:c>
      <x:c r="AS117" s="39" t="n">
        <x:v>-0.0090990073</x:v>
      </x:c>
    </x:row>
    <x:row r="118" ht="19" customHeight="1">
      <x:c r="A118" s="30" t="str">
        <x:v>Home FX</x:v>
      </x:c>
      <x:c r="B118" s="40" t="d">
        <x:v>2023-01-02T00:00:00.000Z</x:v>
      </x:c>
      <x:c r="C118" s="39" t="n">
        <x:v>-0.0428493621</x:v>
      </x:c>
      <x:c r="D118" s="39" t="n">
        <x:v>0.1403697832</x:v>
      </x:c>
      <x:c r="E118" s="39" t="n">
        <x:v>-0.0004422519</x:v>
      </x:c>
      <x:c r="F118" s="39" t="n">
        <x:v>-0.0699154355</x:v>
      </x:c>
      <x:c r="G118" s="39" t="n">
        <x:v>0.0049223871</x:v>
      </x:c>
      <x:c r="H118" s="39" t="n">
        <x:v>-0.072458978</x:v>
      </x:c>
      <x:c r="I118" s="39" t="n">
        <x:v>-0.029341167</x:v>
      </x:c>
      <x:c r="J118" s="39" t="n">
        <x:v>-0.0500576397</x:v>
      </x:c>
      <x:c r="K118" s="39" t="n">
        <x:v>-0.0562294453</x:v>
      </x:c>
      <x:c r="L118" s="39" t="n">
        <x:v>0.0910907245</x:v>
      </x:c>
      <x:c r="M118" s="39" t="n">
        <x:v>-0.1335158522</x:v>
      </x:c>
      <x:c r="N118" s="39" t="n">
        <x:v>-0.0011185183</x:v>
      </x:c>
      <x:c r="O118" s="39" t="n">
        <x:v>-0.1134548415</x:v>
      </x:c>
      <x:c r="P118" s="39" t="n">
        <x:v>0.0342082415</x:v>
      </x:c>
      <x:c r="Q118" s="39" t="n">
        <x:v>0.0504864828</x:v>
      </x:c>
      <x:c r="R118" s="39" t="n">
        <x:v>-0.1613597291</x:v>
      </x:c>
      <x:c r="S118" s="39" t="n">
        <x:v>0.0044130093</x:v>
      </x:c>
      <x:c r="T118" s="39" t="n">
        <x:v>-0.1652196355</x:v>
      </x:c>
      <x:c r="U118" s="39" t="n">
        <x:v>0.0143199381</x:v>
      </x:c>
      <x:c r="V118" s="39" t="n">
        <x:v>0.0115164039</x:v>
      </x:c>
      <x:c r="W118" s="39" t="n">
        <x:v>-0.011981557</x:v>
      </x:c>
      <x:c r="X118" s="39" t="n">
        <x:v>0.066577832</x:v>
      </x:c>
      <x:c r="Y118" s="39" t="n">
        <x:v>0.0310011392</x:v>
      </x:c>
      <x:c r="Z118" s="39" t="n">
        <x:v>0.1085260294</x:v>
      </x:c>
      <x:c r="AA118" s="39" t="n">
        <x:v>0.0344805031</x:v>
      </x:c>
      <x:c r="AB118" s="39" t="n">
        <x:v>0.1260349815</x:v>
      </x:c>
      <x:c r="AC118" s="39" t="n">
        <x:v>-0.2271316117</x:v>
      </x:c>
      <x:c r="AD118" s="39" t="n">
        <x:v>0.0168030319</x:v>
      </x:c>
      <x:c r="AE118" s="39" t="n">
        <x:v>-0.0397753274</x:v>
      </x:c>
      <x:c r="AF118" s="39" t="n">
        <x:v>0.0555792507</x:v>
      </x:c>
      <x:c r="AG118" s="39" t="n">
        <x:v>0.1458901365</x:v>
      </x:c>
      <x:c r="AH118" s="39" t="n">
        <x:v>-0.0119729032</x:v>
      </x:c>
      <x:c r="AI118" s="39" t="n">
        <x:v>-0.05966318</x:v>
      </x:c>
      <x:c r="AJ118" s="39" t="n">
        <x:v>0.0045992838</x:v>
      </x:c>
      <x:c r="AK118" s="39" t="n">
        <x:v>0.0389217542</x:v>
      </x:c>
      <x:c r="AL118" s="39" t="n">
        <x:v>-0.0318224706</x:v>
      </x:c>
      <x:c r="AM118" s="39" t="n">
        <x:v>-0.0744259163</x:v>
      </x:c>
      <x:c r="AN118" s="39" t="n">
        <x:v>-0.0520419911</x:v>
      </x:c>
      <x:c r="AO118" s="39" t="n">
        <x:v>-0.0002651079</x:v>
      </x:c>
      <x:c r="AP118" s="39" t="n">
        <x:v>-0.0078944614</x:v>
      </x:c>
      <x:c r="AQ118" s="39" t="n">
        <x:v>0.0035081958</x:v>
      </x:c>
      <x:c r="AR118" s="39" t="n">
        <x:v>0.0216317212</x:v>
      </x:c>
      <x:c r="AS118" s="39" t="n">
        <x:v>0.0336011224</x:v>
      </x:c>
    </x:row>
    <x:row r="119" ht="19" customHeight="1">
      <x:c r="A119" s="30" t="str">
        <x:v>Home FX</x:v>
      </x:c>
      <x:c r="B119" s="40" t="d">
        <x:v>2023-01-30T00:00:00.000Z</x:v>
      </x:c>
      <x:c r="C119" s="39" t="n">
        <x:v>0.0141157674</x:v>
      </x:c>
      <x:c r="D119" s="39" t="n">
        <x:v>0.0084717766</x:v>
      </x:c>
      <x:c r="E119" s="39" t="n">
        <x:v>-0.0405804193</x:v>
      </x:c>
      <x:c r="F119" s="39" t="n">
        <x:v>0.0032103041</x:v>
      </x:c>
      <x:c r="G119" s="39" t="n">
        <x:v>0.1424002974</x:v>
      </x:c>
      <x:c r="H119" s="39" t="n">
        <x:v>0.1632410791</x:v>
      </x:c>
      <x:c r="I119" s="39" t="n">
        <x:v>0.1586430268</x:v>
      </x:c>
      <x:c r="J119" s="39" t="n">
        <x:v>0.0628847996</x:v>
      </x:c>
      <x:c r="K119" s="39" t="n">
        <x:v>0.1254013855</x:v>
      </x:c>
      <x:c r="L119" s="39" t="n">
        <x:v>0.0278509021</x:v>
      </x:c>
      <x:c r="M119" s="39" t="n">
        <x:v>0.0154521587</x:v>
      </x:c>
      <x:c r="N119" s="39" t="n">
        <x:v>0.0281014913</x:v>
      </x:c>
      <x:c r="O119" s="39" t="n">
        <x:v>0.0345286699</x:v>
      </x:c>
      <x:c r="P119" s="39" t="n">
        <x:v>0.1311659092</x:v>
      </x:c>
      <x:c r="Q119" s="39" t="n">
        <x:v>-0.0957356763</x:v>
      </x:c>
      <x:c r="R119" s="39" t="n">
        <x:v>0.2101214239</x:v>
      </x:c>
      <x:c r="S119" s="39" t="n">
        <x:v>0.00718974</x:v>
      </x:c>
      <x:c r="T119" s="39" t="n">
        <x:v>0.3449577617</x:v>
      </x:c>
      <x:c r="U119" s="39" t="n">
        <x:v>-0.0347741542</x:v>
      </x:c>
      <x:c r="V119" s="39" t="n">
        <x:v>0.1282674433</x:v>
      </x:c>
      <x:c r="W119" s="39" t="n">
        <x:v>0.128176788</x:v>
      </x:c>
      <x:c r="X119" s="39" t="n">
        <x:v>0.0462705539</x:v>
      </x:c>
      <x:c r="Y119" s="39" t="n">
        <x:v>0.082007232</x:v>
      </x:c>
      <x:c r="Z119" s="39" t="n">
        <x:v>-0.0479719661</x:v>
      </x:c>
      <x:c r="AA119" s="39" t="n">
        <x:v>0.0108659238</x:v>
      </x:c>
      <x:c r="AB119" s="39" t="n">
        <x:v>-0.1160977731</x:v>
      </x:c>
      <x:c r="AC119" s="39" t="n">
        <x:v>0.4534489463</x:v>
      </x:c>
      <x:c r="AD119" s="39" t="n">
        <x:v>-0.060661845</x:v>
      </x:c>
      <x:c r="AE119" s="39" t="n">
        <x:v>0.0436184841</x:v>
      </x:c>
      <x:c r="AF119" s="39" t="n">
        <x:v>-0.0403979909</x:v>
      </x:c>
      <x:c r="AG119" s="39" t="n">
        <x:v>-0.0288898422</x:v>
      </x:c>
      <x:c r="AH119" s="39" t="n">
        <x:v>-0.0509080016</x:v>
      </x:c>
      <x:c r="AI119" s="39" t="n">
        <x:v>0.2572622484</x:v>
      </x:c>
      <x:c r="AJ119" s="39" t="n">
        <x:v>-0.0588763704</x:v>
      </x:c>
      <x:c r="AK119" s="39" t="n">
        <x:v>0.0718743552</x:v>
      </x:c>
      <x:c r="AL119" s="39" t="n">
        <x:v>-0.0258661707</x:v>
      </x:c>
      <x:c r="AM119" s="39" t="n">
        <x:v>0.1199369739</x:v>
      </x:c>
      <x:c r="AN119" s="39" t="n">
        <x:v>0.1576241958</x:v>
      </x:c>
      <x:c r="AO119" s="39" t="n">
        <x:v>0.0569442928</x:v>
      </x:c>
      <x:c r="AP119" s="39" t="n">
        <x:v>0.0372777338</x:v>
      </x:c>
      <x:c r="AQ119" s="39" t="n">
        <x:v>-0.0501793682</x:v>
      </x:c>
      <x:c r="AR119" s="39" t="n">
        <x:v>-0.0785858995</x:v>
      </x:c>
      <x:c r="AS119" s="39" t="n">
        <x:v>-0.0281080871</x:v>
      </x:c>
    </x:row>
    <x:row r="120" ht="19" customHeight="1">
      <x:c r="A120" s="30" t="str">
        <x:v>Home FX</x:v>
      </x:c>
      <x:c r="B120" s="40" t="d">
        <x:v>2023-02-27T00:00:00.000Z</x:v>
      </x:c>
      <x:c r="C120" s="39" t="n">
        <x:v>-0.0583104627</x:v>
      </x:c>
      <x:c r="D120" s="39" t="n">
        <x:v>0.1518803734</x:v>
      </x:c>
      <x:c r="E120" s="39" t="n">
        <x:v>-0.0211715533</x:v>
      </x:c>
      <x:c r="F120" s="39" t="n">
        <x:v>-0.0158591796</x:v>
      </x:c>
      <x:c r="G120" s="39" t="n">
        <x:v>-0.0793878825</x:v>
      </x:c>
      <x:c r="H120" s="39" t="n">
        <x:v>-0.1004326718</x:v>
      </x:c>
      <x:c r="I120" s="39" t="n">
        <x:v>-0.0752397232</x:v>
      </x:c>
      <x:c r="J120" s="39" t="n">
        <x:v>0.1851235501</x:v>
      </x:c>
      <x:c r="K120" s="39" t="n">
        <x:v>-0.0737645298</x:v>
      </x:c>
      <x:c r="L120" s="39" t="n">
        <x:v>0.0671614159</x:v>
      </x:c>
      <x:c r="M120" s="39" t="n">
        <x:v>0.0064007732</x:v>
      </x:c>
      <x:c r="N120" s="39" t="n">
        <x:v>0.0115472278</x:v>
      </x:c>
      <x:c r="O120" s="39" t="n">
        <x:v>0.0086188342</x:v>
      </x:c>
      <x:c r="P120" s="39" t="n">
        <x:v>-0.1001071954</x:v>
      </x:c>
      <x:c r="Q120" s="39" t="n">
        <x:v>-0.0155605624</x:v>
      </x:c>
      <x:c r="R120" s="39" t="n">
        <x:v>0.1133151227</x:v>
      </x:c>
      <x:c r="S120" s="39" t="n">
        <x:v>0.0424281898</x:v>
      </x:c>
      <x:c r="T120" s="39" t="n">
        <x:v>0.0312059947</x:v>
      </x:c>
      <x:c r="U120" s="39" t="n">
        <x:v>-0.1672725878</x:v>
      </x:c>
      <x:c r="V120" s="39" t="n">
        <x:v>0.0954586485</x:v>
      </x:c>
      <x:c r="W120" s="39" t="n">
        <x:v>-0.1310269881</x:v>
      </x:c>
      <x:c r="X120" s="39" t="n">
        <x:v>-0.0623578325</x:v>
      </x:c>
      <x:c r="Y120" s="39" t="n">
        <x:v>-0.0830169943</x:v>
      </x:c>
      <x:c r="Z120" s="39" t="n">
        <x:v>-0.095752759</x:v>
      </x:c>
      <x:c r="AA120" s="39" t="n">
        <x:v>0.0578945909</x:v>
      </x:c>
      <x:c r="AB120" s="39" t="n">
        <x:v>-0.0280056765</x:v>
      </x:c>
      <x:c r="AC120" s="39" t="n">
        <x:v>-0.1410736351</x:v>
      </x:c>
      <x:c r="AD120" s="39" t="n">
        <x:v>-0.0102812055</x:v>
      </x:c>
      <x:c r="AE120" s="39" t="n">
        <x:v>0.0436694144</x:v>
      </x:c>
      <x:c r="AF120" s="39" t="n">
        <x:v>-0.0583578078</x:v>
      </x:c>
      <x:c r="AG120" s="39" t="n">
        <x:v>0.0379558096</x:v>
      </x:c>
      <x:c r="AH120" s="39" t="n">
        <x:v>0.0111167139</x:v>
      </x:c>
      <x:c r="AI120" s="39" t="n">
        <x:v>-0.0478959449</x:v>
      </x:c>
      <x:c r="AJ120" s="39" t="n">
        <x:v>-0.0523376592</x:v>
      </x:c>
      <x:c r="AK120" s="39" t="n">
        <x:v>0.0012574745</x:v>
      </x:c>
      <x:c r="AL120" s="39" t="n">
        <x:v>-0.0068478551</x:v>
      </x:c>
      <x:c r="AM120" s="39" t="n">
        <x:v>-0.0082659385</x:v>
      </x:c>
      <x:c r="AN120" s="39" t="n">
        <x:v>-0.0986094643</x:v>
      </x:c>
      <x:c r="AO120" s="39" t="n">
        <x:v>-0.0701745562</x:v>
      </x:c>
      <x:c r="AP120" s="39" t="n">
        <x:v>-0.0922229563</x:v>
      </x:c>
      <x:c r="AQ120" s="39" t="n">
        <x:v>-0.0057426098</x:v>
      </x:c>
      <x:c r="AR120" s="39" t="n">
        <x:v>-0.052097674</x:v>
      </x:c>
      <x:c r="AS120" s="39" t="n">
        <x:v>0.0111432919</x:v>
      </x:c>
    </x:row>
    <x:row r="121" ht="19" customHeight="1">
      <x:c r="A121" s="30" t="str">
        <x:v>Home FX</x:v>
      </x:c>
      <x:c r="B121" s="40" t="d">
        <x:v>2023-03-27T00:00:00.000Z</x:v>
      </x:c>
      <x:c r="C121" s="39" t="n">
        <x:v>0.1087523028</x:v>
      </x:c>
      <x:c r="D121" s="39" t="n">
        <x:v>-0.0128625951</x:v>
      </x:c>
      <x:c r="E121" s="39" t="n">
        <x:v>0.0187931575</x:v>
      </x:c>
      <x:c r="F121" s="39" t="n">
        <x:v>0.0223480891</x:v>
      </x:c>
      <x:c r="G121" s="39" t="n">
        <x:v>-0.0089381844</x:v>
      </x:c>
      <x:c r="H121" s="39" t="n">
        <x:v>0.1098812873</x:v>
      </x:c>
      <x:c r="I121" s="39" t="n">
        <x:v>0.0754462628</x:v>
      </x:c>
      <x:c r="J121" s="39" t="n">
        <x:v>-0.0294203407</x:v>
      </x:c>
      <x:c r="K121" s="39" t="n">
        <x:v>-0.0532455383</x:v>
      </x:c>
      <x:c r="L121" s="39" t="n">
        <x:v>-0.0099596727</x:v>
      </x:c>
      <x:c r="M121" s="39" t="n">
        <x:v>-0.153852395</x:v>
      </x:c>
      <x:c r="N121" s="39" t="n">
        <x:v>-0.0950857599</x:v>
      </x:c>
      <x:c r="O121" s="39" t="n">
        <x:v>-0.0381233155</x:v>
      </x:c>
      <x:c r="P121" s="39" t="n">
        <x:v>-0.0214886809</x:v>
      </x:c>
      <x:c r="Q121" s="39" t="n">
        <x:v>-0.0786642565</x:v>
      </x:c>
      <x:c r="R121" s="39" t="n">
        <x:v>0.0934014754</x:v>
      </x:c>
      <x:c r="S121" s="39" t="n">
        <x:v>0.0348524946</x:v>
      </x:c>
      <x:c r="T121" s="39" t="n">
        <x:v>0.0011561801</x:v>
      </x:c>
      <x:c r="U121" s="39" t="n">
        <x:v>0.062321518</x:v>
      </x:c>
      <x:c r="V121" s="39" t="n">
        <x:v>0.0155824073</x:v>
      </x:c>
      <x:c r="W121" s="39" t="n">
        <x:v>0.0817461688</x:v>
      </x:c>
      <x:c r="X121" s="39" t="n">
        <x:v>0.0161191991</x:v>
      </x:c>
      <x:c r="Y121" s="39" t="n">
        <x:v>0.0541564334</x:v>
      </x:c>
      <x:c r="Z121" s="39" t="n">
        <x:v>0.0905811104</x:v>
      </x:c>
      <x:c r="AA121" s="39" t="n">
        <x:v>-0.0156731066</x:v>
      </x:c>
      <x:c r="AB121" s="39" t="n">
        <x:v>-0.0730031815</x:v>
      </x:c>
      <x:c r="AC121" s="39" t="n">
        <x:v>-0.150711214</x:v>
      </x:c>
      <x:c r="AD121" s="39" t="n">
        <x:v>0.0476083759</x:v>
      </x:c>
      <x:c r="AE121" s="39" t="n">
        <x:v>-0.03329613</x:v>
      </x:c>
      <x:c r="AF121" s="39" t="n">
        <x:v>0.0448168153</x:v>
      </x:c>
      <x:c r="AG121" s="39" t="n">
        <x:v>-0.0111651082</x:v>
      </x:c>
      <x:c r="AH121" s="39" t="n">
        <x:v>-0.0480644906</x:v>
      </x:c>
      <x:c r="AI121" s="39" t="n">
        <x:v>0.164061809</x:v>
      </x:c>
      <x:c r="AJ121" s="39" t="n">
        <x:v>0.0672839894</x:v>
      </x:c>
      <x:c r="AK121" s="39" t="n">
        <x:v>-0.043870769</x:v>
      </x:c>
      <x:c r="AL121" s="39" t="n">
        <x:v>-0.0080950907</x:v>
      </x:c>
      <x:c r="AM121" s="39" t="n">
        <x:v>0.1082944253</x:v>
      </x:c>
      <x:c r="AN121" s="39" t="n">
        <x:v>0.0910401426</x:v>
      </x:c>
      <x:c r="AO121" s="39" t="n">
        <x:v>0.0396002399</x:v>
      </x:c>
      <x:c r="AP121" s="39" t="n">
        <x:v>-0.0035667415</x:v>
      </x:c>
      <x:c r="AQ121" s="39" t="n">
        <x:v>0.044788446</x:v>
      </x:c>
      <x:c r="AR121" s="39" t="n">
        <x:v>0.0056485515</x:v>
      </x:c>
      <x:c r="AS121" s="39" t="n">
        <x:v>-0.0105513522</x:v>
      </x:c>
    </x:row>
    <x:row r="122" ht="19" customHeight="1">
      <x:c r="A122" s="30" t="str">
        <x:v>Home FX</x:v>
      </x:c>
      <x:c r="B122" s="40" t="d">
        <x:v>2023-04-24T00:00:00.000Z</x:v>
      </x:c>
      <x:c r="C122" s="39" t="n">
        <x:v>-0.0052842367</x:v>
      </x:c>
      <x:c r="D122" s="39" t="n">
        <x:v>0.0145980565</x:v>
      </x:c>
      <x:c r="E122" s="39" t="n">
        <x:v>0.0140845652</x:v>
      </x:c>
      <x:c r="F122" s="39" t="n">
        <x:v>-0.0013425586</x:v>
      </x:c>
      <x:c r="G122" s="39" t="n">
        <x:v>0.0211294756</x:v>
      </x:c>
      <x:c r="H122" s="39" t="n">
        <x:v>0.1724285763</x:v>
      </x:c>
      <x:c r="I122" s="39" t="n">
        <x:v>0.0186932054</x:v>
      </x:c>
      <x:c r="J122" s="39" t="n">
        <x:v>0.0215841226</x:v>
      </x:c>
      <x:c r="K122" s="39" t="n">
        <x:v>-0.1417051098</x:v>
      </x:c>
      <x:c r="L122" s="39" t="n">
        <x:v>-0.1776828697</x:v>
      </x:c>
      <x:c r="M122" s="39" t="n">
        <x:v>-0.0114102575</x:v>
      </x:c>
      <x:c r="N122" s="39" t="n">
        <x:v>-0.0812212533</x:v>
      </x:c>
      <x:c r="O122" s="39" t="n">
        <x:v>-0.2027724989</x:v>
      </x:c>
      <x:c r="P122" s="39" t="n">
        <x:v>-0.0809691053</x:v>
      </x:c>
      <x:c r="Q122" s="39" t="n">
        <x:v>-0.4070536583</x:v>
      </x:c>
      <x:c r="R122" s="39" t="n">
        <x:v>-0.1956855225</x:v>
      </x:c>
      <x:c r="S122" s="39" t="n">
        <x:v>-0.0275325438</x:v>
      </x:c>
      <x:c r="T122" s="39" t="n">
        <x:v>-0.2442514494</x:v>
      </x:c>
      <x:c r="U122" s="39" t="n">
        <x:v>-0.1306950799</x:v>
      </x:c>
      <x:c r="V122" s="39" t="n">
        <x:v>-0.0586644529</x:v>
      </x:c>
      <x:c r="W122" s="39" t="n">
        <x:v>-0.0415968782</x:v>
      </x:c>
      <x:c r="X122" s="39" t="n">
        <x:v>0.0858054831</x:v>
      </x:c>
      <x:c r="Y122" s="39" t="n">
        <x:v>0.0600782132</x:v>
      </x:c>
      <x:c r="Z122" s="39" t="n">
        <x:v>-0.0303536517</x:v>
      </x:c>
      <x:c r="AA122" s="39" t="n">
        <x:v>-0.0424322779</x:v>
      </x:c>
      <x:c r="AB122" s="39" t="n">
        <x:v>0.0045274206</x:v>
      </x:c>
      <x:c r="AC122" s="39" t="n">
        <x:v>-0.1208512024</x:v>
      </x:c>
      <x:c r="AD122" s="39" t="n">
        <x:v>0.0511823332</x:v>
      </x:c>
      <x:c r="AE122" s="39" t="n">
        <x:v>-0.0419345557</x:v>
      </x:c>
      <x:c r="AF122" s="39" t="n">
        <x:v>-0.0962348236</x:v>
      </x:c>
      <x:c r="AG122" s="39" t="n">
        <x:v>-0.02434802</x:v>
      </x:c>
      <x:c r="AH122" s="39" t="n">
        <x:v>-0.023693623</x:v>
      </x:c>
      <x:c r="AI122" s="39" t="n">
        <x:v>-0.0833526726</x:v>
      </x:c>
      <x:c r="AJ122" s="39" t="n">
        <x:v>0.1283523997</x:v>
      </x:c>
      <x:c r="AK122" s="39" t="n">
        <x:v>0.0902109146</x:v>
      </x:c>
      <x:c r="AL122" s="39" t="n">
        <x:v>-0.1617721951</x:v>
      </x:c>
      <x:c r="AM122" s="39" t="n">
        <x:v>0.0575281862</x:v>
      </x:c>
      <x:c r="AN122" s="39" t="n">
        <x:v>0.0308989861</x:v>
      </x:c>
      <x:c r="AO122" s="39" t="n">
        <x:v>0.0114699919</x:v>
      </x:c>
      <x:c r="AP122" s="39" t="n">
        <x:v>0.0164375354</x:v>
      </x:c>
      <x:c r="AQ122" s="39" t="n">
        <x:v>0.0303535535</x:v>
      </x:c>
      <x:c r="AR122" s="39" t="n">
        <x:v>0.0493248678</x:v>
      </x:c>
      <x:c r="AS122" s="39" t="n">
        <x:v>0.0560827406</x:v>
      </x:c>
    </x:row>
    <x:row r="123" ht="19" customHeight="1">
      <x:c r="A123" s="30" t="str">
        <x:v>Home FX</x:v>
      </x:c>
      <x:c r="B123" s="40" t="d">
        <x:v>2023-05-22T00:00:00.000Z</x:v>
      </x:c>
      <x:c r="C123" s="39" t="n">
        <x:v>0.0223760295</x:v>
      </x:c>
      <x:c r="D123" s="39" t="n">
        <x:v>-0.0255604221</x:v>
      </x:c>
      <x:c r="E123" s="39" t="n">
        <x:v>-0.0985028851</x:v>
      </x:c>
      <x:c r="F123" s="39" t="n">
        <x:v>-0.0874661677</x:v>
      </x:c>
      <x:c r="G123" s="39" t="n">
        <x:v>-0.1367059429</x:v>
      </x:c>
      <x:c r="H123" s="39" t="n">
        <x:v>0.0015050334</x:v>
      </x:c>
      <x:c r="I123" s="39" t="n">
        <x:v>0.1192418532</x:v>
      </x:c>
      <x:c r="J123" s="39" t="n">
        <x:v>0.0043366861</x:v>
      </x:c>
      <x:c r="K123" s="39" t="n">
        <x:v>0.0450525023</x:v>
      </x:c>
      <x:c r="L123" s="39" t="n">
        <x:v>0.001620375</x:v>
      </x:c>
      <x:c r="M123" s="39" t="n">
        <x:v>-0.113673868</x:v>
      </x:c>
      <x:c r="N123" s="39" t="n">
        <x:v>-0.2134431307</x:v>
      </x:c>
      <x:c r="O123" s="39" t="n">
        <x:v>-0.0058764123</x:v>
      </x:c>
      <x:c r="P123" s="39" t="n">
        <x:v>0.130429764</x:v>
      </x:c>
      <x:c r="Q123" s="39" t="n">
        <x:v>0.2362699922</x:v>
      </x:c>
      <x:c r="R123" s="39" t="n">
        <x:v>0.1211574848</x:v>
      </x:c>
      <x:c r="S123" s="39" t="n">
        <x:v>-0.0460086247</x:v>
      </x:c>
      <x:c r="T123" s="39" t="n">
        <x:v>0.2399614823</x:v>
      </x:c>
      <x:c r="U123" s="39" t="n">
        <x:v>-0.0470265916</x:v>
      </x:c>
      <x:c r="V123" s="39" t="n">
        <x:v>-0.0712126287</x:v>
      </x:c>
      <x:c r="W123" s="39" t="n">
        <x:v>0.1267239856</x:v>
      </x:c>
      <x:c r="X123" s="39" t="n">
        <x:v>-0.0428355492</x:v>
      </x:c>
      <x:c r="Y123" s="39" t="n">
        <x:v>0.1269872557</x:v>
      </x:c>
      <x:c r="Z123" s="39" t="n">
        <x:v>-0.1400492597</x:v>
      </x:c>
      <x:c r="AA123" s="39" t="n">
        <x:v>-0.0547247196</x:v>
      </x:c>
      <x:c r="AB123" s="39" t="n">
        <x:v>0.0359276661</x:v>
      </x:c>
      <x:c r="AC123" s="39" t="n">
        <x:v>0.5329273462</x:v>
      </x:c>
      <x:c r="AD123" s="39" t="n">
        <x:v>-0.0666881282</x:v>
      </x:c>
      <x:c r="AE123" s="39" t="n">
        <x:v>0.0160509448</x:v>
      </x:c>
      <x:c r="AF123" s="39" t="n">
        <x:v>0.0630296166</x:v>
      </x:c>
      <x:c r="AG123" s="39" t="n">
        <x:v>-0.0140619123</x:v>
      </x:c>
      <x:c r="AH123" s="39" t="n">
        <x:v>0.0039569056</x:v>
      </x:c>
      <x:c r="AI123" s="39" t="n">
        <x:v>0.3221143807</x:v>
      </x:c>
      <x:c r="AJ123" s="39" t="n">
        <x:v>0.0691459222</x:v>
      </x:c>
      <x:c r="AK123" s="39" t="n">
        <x:v>-0.0610791805</x:v>
      </x:c>
      <x:c r="AL123" s="39" t="n">
        <x:v>-0.0433117562</x:v>
      </x:c>
      <x:c r="AM123" s="39" t="n">
        <x:v>0.0753916827</x:v>
      </x:c>
      <x:c r="AN123" s="39" t="n">
        <x:v>0.1366615706</x:v>
      </x:c>
      <x:c r="AO123" s="39" t="n">
        <x:v>0.0092334913</x:v>
      </x:c>
      <x:c r="AP123" s="39" t="n">
        <x:v>-0.0238066404</x:v>
      </x:c>
      <x:c r="AQ123" s="39" t="n">
        <x:v>-0.0573034521</x:v>
      </x:c>
      <x:c r="AR123" s="39" t="n">
        <x:v>-0.0469887474</x:v>
      </x:c>
      <x:c r="AS123" s="39" t="n">
        <x:v>-0.0224381407</x:v>
      </x:c>
    </x:row>
    <x:row r="124" ht="19" customHeight="1">
      <x:c r="A124" s="30" t="str">
        <x:v>Home FX</x:v>
      </x:c>
      <x:c r="B124" s="40" t="d">
        <x:v>2023-06-19T00:00:00.000Z</x:v>
      </x:c>
      <x:c r="C124" s="39" t="n">
        <x:v>0.0319696127</x:v>
      </x:c>
      <x:c r="D124" s="39" t="n">
        <x:v>0.0515167641</x:v>
      </x:c>
      <x:c r="E124" s="39" t="n">
        <x:v>0.0139018257</x:v>
      </x:c>
      <x:c r="F124" s="39" t="n">
        <x:v>0.0031616787</x:v>
      </x:c>
      <x:c r="G124" s="39" t="n">
        <x:v>-0.0020014858</x:v>
      </x:c>
      <x:c r="H124" s="39" t="n">
        <x:v>-0.0123461876</x:v>
      </x:c>
      <x:c r="I124" s="39" t="n">
        <x:v>0.0687115817</x:v>
      </x:c>
      <x:c r="J124" s="39" t="n">
        <x:v>0.063262946</x:v>
      </x:c>
      <x:c r="K124" s="39" t="n">
        <x:v>-0.0643669712</x:v>
      </x:c>
      <x:c r="L124" s="39" t="n">
        <x:v>-0.0208004034</x:v>
      </x:c>
      <x:c r="M124" s="39" t="n">
        <x:v>0.107502062</x:v>
      </x:c>
      <x:c r="N124" s="39" t="n">
        <x:v>-0.0022273104</x:v>
      </x:c>
      <x:c r="O124" s="39" t="n">
        <x:v>0.0407202001</x:v>
      </x:c>
      <x:c r="P124" s="39" t="n">
        <x:v>-0.0443228933</x:v>
      </x:c>
      <x:c r="Q124" s="39" t="n">
        <x:v>-0.0381778168</x:v>
      </x:c>
      <x:c r="R124" s="39" t="n">
        <x:v>0.0652666924</x:v>
      </x:c>
      <x:c r="S124" s="39" t="n">
        <x:v>0.0315429805</x:v>
      </x:c>
      <x:c r="T124" s="39" t="n">
        <x:v>0.0338686181</x:v>
      </x:c>
      <x:c r="U124" s="39" t="n">
        <x:v>-0.0587824804</x:v>
      </x:c>
      <x:c r="V124" s="39" t="n">
        <x:v>-0.0302233673</x:v>
      </x:c>
      <x:c r="W124" s="39" t="n">
        <x:v>0.1045744182</x:v>
      </x:c>
      <x:c r="X124" s="39" t="n">
        <x:v>0.0142448244</x:v>
      </x:c>
      <x:c r="Y124" s="39" t="n">
        <x:v>-0.1156040149</x:v>
      </x:c>
      <x:c r="Z124" s="39" t="n">
        <x:v>0.0295743508</x:v>
      </x:c>
      <x:c r="AA124" s="39" t="n">
        <x:v>0.0304420647</x:v>
      </x:c>
      <x:c r="AB124" s="39" t="n">
        <x:v>-0.0180402361</x:v>
      </x:c>
      <x:c r="AC124" s="39" t="n">
        <x:v>0.1779375037</x:v>
      </x:c>
      <x:c r="AD124" s="39" t="n">
        <x:v>0.0193492643</x:v>
      </x:c>
      <x:c r="AE124" s="39" t="n">
        <x:v>0.1375974811</x:v>
      </x:c>
      <x:c r="AF124" s="39" t="n">
        <x:v>0.0755739609</x:v>
      </x:c>
      <x:c r="AG124" s="39" t="n">
        <x:v>0.0080858154</x:v>
      </x:c>
      <x:c r="AH124" s="39" t="n">
        <x:v>0.0696472783</x:v>
      </x:c>
      <x:c r="AI124" s="39" t="n">
        <x:v>-0.1336450917</x:v>
      </x:c>
      <x:c r="AJ124" s="39" t="n">
        <x:v>0.0694510003</x:v>
      </x:c>
      <x:c r="AK124" s="39" t="n">
        <x:v>0.0339857744</x:v>
      </x:c>
      <x:c r="AL124" s="39" t="n">
        <x:v>-0.0334874876</x:v>
      </x:c>
      <x:c r="AM124" s="39" t="n">
        <x:v>0.0059252728</x:v>
      </x:c>
      <x:c r="AN124" s="39" t="n">
        <x:v>-0.017080278</x:v>
      </x:c>
      <x:c r="AO124" s="39" t="n">
        <x:v>0.0309440454</x:v>
      </x:c>
      <x:c r="AP124" s="39" t="n">
        <x:v>0.031643311</x:v>
      </x:c>
      <x:c r="AQ124" s="39" t="n">
        <x:v>0.0214291626</x:v>
      </x:c>
      <x:c r="AR124" s="39" t="n">
        <x:v>0.064686915</x:v>
      </x:c>
      <x:c r="AS124" s="39" t="n">
        <x:v>0.0415118732</x:v>
      </x:c>
    </x:row>
    <x:row r="125" ht="19" customHeight="1">
      <x:c r="A125" s="30" t="str">
        <x:v>Home FX</x:v>
      </x:c>
      <x:c r="B125" s="40" t="d">
        <x:v>2023-07-17T00:00:00.000Z</x:v>
      </x:c>
      <x:c r="C125" s="39" t="n">
        <x:v>0.1150583633</x:v>
      </x:c>
      <x:c r="D125" s="39" t="n">
        <x:v>0.0722755637</x:v>
      </x:c>
      <x:c r="E125" s="39" t="n">
        <x:v>0.0488214656</x:v>
      </x:c>
      <x:c r="F125" s="39" t="n">
        <x:v>0.0643024879</x:v>
      </x:c>
      <x:c r="G125" s="39" t="n">
        <x:v>-0.009891218</x:v>
      </x:c>
      <x:c r="H125" s="39" t="n">
        <x:v>0.0251078344</x:v>
      </x:c>
      <x:c r="I125" s="39" t="n">
        <x:v>0.0048686894</x:v>
      </x:c>
      <x:c r="J125" s="39" t="n">
        <x:v>0.0244434022</x:v>
      </x:c>
      <x:c r="K125" s="39" t="n">
        <x:v>-0.1145762127</x:v>
      </x:c>
      <x:c r="L125" s="39" t="n">
        <x:v>0.0941049488</x:v>
      </x:c>
      <x:c r="M125" s="39" t="n">
        <x:v>0.1069352034</x:v>
      </x:c>
      <x:c r="N125" s="39" t="n">
        <x:v>0.0809309645</x:v>
      </x:c>
      <x:c r="O125" s="39" t="n">
        <x:v>0.0155510457</x:v>
      </x:c>
      <x:c r="P125" s="39" t="n">
        <x:v>0.0108873784</x:v>
      </x:c>
      <x:c r="Q125" s="39" t="n">
        <x:v>-0.0143405946</x:v>
      </x:c>
      <x:c r="R125" s="39" t="n">
        <x:v>0.2196732056</x:v>
      </x:c>
      <x:c r="S125" s="39" t="n">
        <x:v>0.0385655908</x:v>
      </x:c>
      <x:c r="T125" s="39" t="n">
        <x:v>0.0458233006</x:v>
      </x:c>
      <x:c r="U125" s="39" t="n">
        <x:v>0.0610342049</x:v>
      </x:c>
      <x:c r="V125" s="39" t="n">
        <x:v>-0.0447344453</x:v>
      </x:c>
      <x:c r="W125" s="39" t="n">
        <x:v>0.0077015214</x:v>
      </x:c>
      <x:c r="X125" s="39" t="n">
        <x:v>0.0702114629</x:v>
      </x:c>
      <x:c r="Y125" s="39" t="n">
        <x:v>0.0070969463</x:v>
      </x:c>
      <x:c r="Z125" s="39" t="n">
        <x:v>0.0362315893</x:v>
      </x:c>
      <x:c r="AA125" s="39" t="n">
        <x:v>-0.0607133112</x:v>
      </x:c>
      <x:c r="AB125" s="39" t="n">
        <x:v>0</x:v>
      </x:c>
      <x:c r="AC125" s="39" t="n">
        <x:v>0.5530346283</x:v>
      </x:c>
      <x:c r="AD125" s="39" t="n">
        <x:v>0.033869385</x:v>
      </x:c>
      <x:c r="AE125" s="39" t="n">
        <x:v>-0.0060679585</x:v>
      </x:c>
      <x:c r="AF125" s="39" t="n">
        <x:v>0.0412886165</x:v>
      </x:c>
      <x:c r="AG125" s="39" t="n">
        <x:v>0.0288649171</x:v>
      </x:c>
      <x:c r="AH125" s="39" t="n">
        <x:v>0.0614047364</x:v>
      </x:c>
      <x:c r="AI125" s="39" t="n">
        <x:v>0.0080168668</x:v>
      </x:c>
      <x:c r="AJ125" s="39" t="n">
        <x:v>0.006548604</x:v>
      </x:c>
      <x:c r="AK125" s="39" t="n">
        <x:v>0.0716871195</x:v>
      </x:c>
      <x:c r="AL125" s="39" t="n">
        <x:v>-0.0336937592</x:v>
      </x:c>
      <x:c r="AM125" s="39" t="n">
        <x:v>0.0242934678</x:v>
      </x:c>
      <x:c r="AN125" s="39" t="n">
        <x:v>-0.0180397694</x:v>
      </x:c>
      <x:c r="AO125" s="39" t="n">
        <x:v>0.0582085869</x:v>
      </x:c>
      <x:c r="AP125" s="39" t="n">
        <x:v>0.0596529712</x:v>
      </x:c>
      <x:c r="AQ125" s="39" t="n">
        <x:v>0.0188999559</x:v>
      </x:c>
      <x:c r="AR125" s="39" t="n">
        <x:v>0.0264440294</x:v>
      </x:c>
      <x:c r="AS125" s="39" t="n">
        <x:v>0.0290853544</x:v>
      </x:c>
    </x:row>
    <x:row r="126" ht="19" customHeight="1">
      <x:c r="A126" s="30" t="str">
        <x:v>Home FX</x:v>
      </x:c>
      <x:c r="B126" s="40" t="d">
        <x:v>2023-08-14T00:00:00.000Z</x:v>
      </x:c>
      <x:c r="C126" s="39" t="n">
        <x:v>0.0492525035</x:v>
      </x:c>
      <x:c r="D126" s="39" t="n">
        <x:v>-0.076963534</x:v>
      </x:c>
      <x:c r="E126" s="39" t="n">
        <x:v>-0.0922336275</x:v>
      </x:c>
      <x:c r="F126" s="39" t="n">
        <x:v>-0.069977315</x:v>
      </x:c>
      <x:c r="G126" s="39" t="n">
        <x:v>-0.0134674834</x:v>
      </x:c>
      <x:c r="H126" s="39" t="n">
        <x:v>-0.1210249256</x:v>
      </x:c>
      <x:c r="I126" s="39" t="n">
        <x:v>0.0233814883</x:v>
      </x:c>
      <x:c r="J126" s="39" t="n">
        <x:v>0.0679949677</x:v>
      </x:c>
      <x:c r="K126" s="39" t="n">
        <x:v>0.1036808547</x:v>
      </x:c>
      <x:c r="L126" s="39" t="n">
        <x:v>0.0865309999</x:v>
      </x:c>
      <x:c r="M126" s="39" t="n">
        <x:v>0.0049175995</x:v>
      </x:c>
      <x:c r="N126" s="39" t="n">
        <x:v>-0.0171302346</x:v>
      </x:c>
      <x:c r="O126" s="39" t="n">
        <x:v>-0.0352722049</x:v>
      </x:c>
      <x:c r="P126" s="39" t="n">
        <x:v>0.03527016</x:v>
      </x:c>
      <x:c r="Q126" s="39" t="n">
        <x:v>0.0197063238</x:v>
      </x:c>
      <x:c r="R126" s="39" t="n">
        <x:v>-0.3812178285</x:v>
      </x:c>
      <x:c r="S126" s="39" t="n">
        <x:v>0.0704041061</x:v>
      </x:c>
      <x:c r="T126" s="39" t="n">
        <x:v>-0.1156826737</x:v>
      </x:c>
      <x:c r="U126" s="39" t="n">
        <x:v>-0.2087527565</x:v>
      </x:c>
      <x:c r="V126" s="39" t="n">
        <x:v>0.1013742428</x:v>
      </x:c>
      <x:c r="W126" s="39" t="n">
        <x:v>-0.0527771445</x:v>
      </x:c>
      <x:c r="X126" s="39" t="n">
        <x:v>0.0618969328</x:v>
      </x:c>
      <x:c r="Y126" s="39" t="n">
        <x:v>-0.0304664369</x:v>
      </x:c>
      <x:c r="Z126" s="39" t="n">
        <x:v>-0.1177667518</x:v>
      </x:c>
      <x:c r="AA126" s="39" t="n">
        <x:v>0.0706156664</x:v>
      </x:c>
      <x:c r="AB126" s="39" t="n">
        <x:v>0.013950834</x:v>
      </x:c>
      <x:c r="AC126" s="39" t="n">
        <x:v>-0.5003439773</x:v>
      </x:c>
      <x:c r="AD126" s="39" t="n">
        <x:v>-0.0024404009</x:v>
      </x:c>
      <x:c r="AE126" s="39" t="n">
        <x:v>-0.1353635392</x:v>
      </x:c>
      <x:c r="AF126" s="39" t="n">
        <x:v>-0.01450464</x:v>
      </x:c>
      <x:c r="AG126" s="39" t="n">
        <x:v>0.0647568326</x:v>
      </x:c>
      <x:c r="AH126" s="39" t="n">
        <x:v>-0.0514152003</x:v>
      </x:c>
      <x:c r="AI126" s="39" t="n">
        <x:v>-0.0485861316</x:v>
      </x:c>
      <x:c r="AJ126" s="39" t="n">
        <x:v>0.1623552937</x:v>
      </x:c>
      <x:c r="AK126" s="39" t="n">
        <x:v>-0.0060312299</x:v>
      </x:c>
      <x:c r="AL126" s="39" t="n">
        <x:v>-0.0335933082</x:v>
      </x:c>
      <x:c r="AM126" s="39" t="n">
        <x:v>-0.0770204501</x:v>
      </x:c>
      <x:c r="AN126" s="39" t="n">
        <x:v>0.0574747659</x:v>
      </x:c>
      <x:c r="AO126" s="39" t="n">
        <x:v>-0.0223921846</x:v>
      </x:c>
      <x:c r="AP126" s="39" t="n">
        <x:v>0.0203568993</x:v>
      </x:c>
      <x:c r="AQ126" s="39" t="n">
        <x:v>-0.0230800677</x:v>
      </x:c>
      <x:c r="AR126" s="39" t="n">
        <x:v>0.0128280667</x:v>
      </x:c>
      <x:c r="AS126" s="39" t="n">
        <x:v>0.0186114716</x:v>
      </x:c>
    </x:row>
    <x:row r="127" ht="19" customHeight="1">
      <x:c r="A127" s="30" t="str">
        <x:v>Home FX</x:v>
      </x:c>
      <x:c r="B127" s="40" t="d">
        <x:v>2023-09-11T00:00:00.000Z</x:v>
      </x:c>
      <x:c r="C127" s="39" t="n">
        <x:v>0.0942598953</x:v>
      </x:c>
      <x:c r="D127" s="39" t="n">
        <x:v>0.043343493</x:v>
      </x:c>
      <x:c r="E127" s="39" t="n">
        <x:v>0.0124303381</x:v>
      </x:c>
      <x:c r="F127" s="39" t="n">
        <x:v>0.0281812804</x:v>
      </x:c>
      <x:c r="G127" s="39" t="n">
        <x:v>-0.0042938108</x:v>
      </x:c>
      <x:c r="H127" s="39" t="n">
        <x:v>0.0326209473</x:v>
      </x:c>
      <x:c r="I127" s="39" t="n">
        <x:v>0.0508069286</x:v>
      </x:c>
      <x:c r="J127" s="39" t="n">
        <x:v>0.0583175997</x:v>
      </x:c>
      <x:c r="K127" s="39" t="n">
        <x:v>-0.0437355093</x:v>
      </x:c>
      <x:c r="L127" s="39" t="n">
        <x:v>0.0706419067</x:v>
      </x:c>
      <x:c r="M127" s="39" t="n">
        <x:v>0.0366908026</x:v>
      </x:c>
      <x:c r="N127" s="39" t="n">
        <x:v>0.0444957083</x:v>
      </x:c>
      <x:c r="O127" s="39" t="n">
        <x:v>-0.0650715278</x:v>
      </x:c>
      <x:c r="P127" s="39" t="n">
        <x:v>0.089842423</x:v>
      </x:c>
      <x:c r="Q127" s="39" t="n">
        <x:v>0.1277512468</x:v>
      </x:c>
      <x:c r="R127" s="39" t="n">
        <x:v>-0.2875449088</x:v>
      </x:c>
      <x:c r="S127" s="39" t="n">
        <x:v>0.0198381486</x:v>
      </x:c>
      <x:c r="T127" s="39" t="n">
        <x:v>0.0602052573</x:v>
      </x:c>
      <x:c r="U127" s="39" t="n">
        <x:v>0.116418545</x:v>
      </x:c>
      <x:c r="V127" s="39" t="n">
        <x:v>0.029150962</x:v>
      </x:c>
      <x:c r="W127" s="39" t="n">
        <x:v>-0.018357066</x:v>
      </x:c>
      <x:c r="X127" s="39" t="n">
        <x:v>-0.0089365822</x:v>
      </x:c>
      <x:c r="Y127" s="39" t="n">
        <x:v>0.0914166148</x:v>
      </x:c>
      <x:c r="Z127" s="39" t="n">
        <x:v>0.0626210874</x:v>
      </x:c>
      <x:c r="AA127" s="39" t="n">
        <x:v>0.034197248</x:v>
      </x:c>
      <x:c r="AB127" s="39" t="n">
        <x:v>-0.0094096014</x:v>
      </x:c>
      <x:c r="AC127" s="39" t="n">
        <x:v>-0.076972317</x:v>
      </x:c>
      <x:c r="AD127" s="39" t="n">
        <x:v>0.0058910193</x:v>
      </x:c>
      <x:c r="AE127" s="39" t="n">
        <x:v>0.0512916356</x:v>
      </x:c>
      <x:c r="AF127" s="39" t="n">
        <x:v>0.0108158397</x:v>
      </x:c>
      <x:c r="AG127" s="39" t="n">
        <x:v>-0.0827103554</x:v>
      </x:c>
      <x:c r="AH127" s="39" t="n">
        <x:v>-0.0295584818</x:v>
      </x:c>
      <x:c r="AI127" s="39" t="n">
        <x:v>-0.0370971113</x:v>
      </x:c>
      <x:c r="AJ127" s="39" t="n">
        <x:v>0.050505083</x:v>
      </x:c>
      <x:c r="AK127" s="39" t="n">
        <x:v>0.0371163216</x:v>
      </x:c>
      <x:c r="AL127" s="39" t="n">
        <x:v>0.0195218934</x:v>
      </x:c>
      <x:c r="AM127" s="39" t="n">
        <x:v>0.0411891841</x:v>
      </x:c>
      <x:c r="AN127" s="39" t="n">
        <x:v>0.0727797891</x:v>
      </x:c>
      <x:c r="AO127" s="39" t="n">
        <x:v>0.0219301287</x:v>
      </x:c>
      <x:c r="AP127" s="39" t="n">
        <x:v>-0.0116682049</x:v>
      </x:c>
      <x:c r="AQ127" s="39" t="n">
        <x:v>-0.0414261842</x:v>
      </x:c>
      <x:c r="AR127" s="39" t="n">
        <x:v>-0.0570945169</x:v>
      </x:c>
      <x:c r="AS127" s="39" t="n">
        <x:v>0.0411724834</x:v>
      </x:c>
    </x:row>
    <x:row r="128" ht="19" customHeight="1">
      <x:c r="A128" s="30" t="str">
        <x:v>Home FX</x:v>
      </x:c>
      <x:c r="B128" s="40" t="d">
        <x:v>2023-10-09T00:00:00.000Z</x:v>
      </x:c>
      <x:c r="C128" s="39" t="n">
        <x:v>-0.0326184849</x:v>
      </x:c>
      <x:c r="D128" s="39" t="n">
        <x:v>0.1011123187</x:v>
      </x:c>
      <x:c r="E128" s="39" t="n">
        <x:v>-0.0708998808</x:v>
      </x:c>
      <x:c r="F128" s="39" t="n">
        <x:v>-0.0496828386</x:v>
      </x:c>
      <x:c r="G128" s="39" t="n">
        <x:v>-0.0142299478</x:v>
      </x:c>
      <x:c r="H128" s="39" t="n">
        <x:v>-0.0697565011</x:v>
      </x:c>
      <x:c r="I128" s="39" t="n">
        <x:v>-0.0771676747</x:v>
      </x:c>
      <x:c r="J128" s="39" t="n">
        <x:v>-0.1639957788</x:v>
      </x:c>
      <x:c r="K128" s="39" t="n">
        <x:v>0.0522850664</x:v>
      </x:c>
      <x:c r="L128" s="39" t="n">
        <x:v>-0.1286773126</x:v>
      </x:c>
      <x:c r="M128" s="39" t="n">
        <x:v>0.0289036437</x:v>
      </x:c>
      <x:c r="N128" s="39" t="n">
        <x:v>-0.0567512486</x:v>
      </x:c>
      <x:c r="O128" s="39" t="n">
        <x:v>-0.0275846409</x:v>
      </x:c>
      <x:c r="P128" s="39" t="n">
        <x:v>0.0462387485</x:v>
      </x:c>
      <x:c r="Q128" s="39" t="n">
        <x:v>-0.0908863379</x:v>
      </x:c>
      <x:c r="R128" s="39" t="n">
        <x:v>-0.057420648</x:v>
      </x:c>
      <x:c r="S128" s="39" t="n">
        <x:v>0.0579510634</x:v>
      </x:c>
      <x:c r="T128" s="39" t="n">
        <x:v>-0.0253841025</x:v>
      </x:c>
      <x:c r="U128" s="39" t="n">
        <x:v>-0.1507213991</x:v>
      </x:c>
      <x:c r="V128" s="39" t="n">
        <x:v>0.0429949253</x:v>
      </x:c>
      <x:c r="W128" s="39" t="n">
        <x:v>-0.1078818936</x:v>
      </x:c>
      <x:c r="X128" s="39" t="n">
        <x:v>-0.0273140221</x:v>
      </x:c>
      <x:c r="Y128" s="39" t="n">
        <x:v>-0.0078312335</x:v>
      </x:c>
      <x:c r="Z128" s="39" t="n">
        <x:v>-0.0221838679</x:v>
      </x:c>
      <x:c r="AA128" s="39" t="n">
        <x:v>0.1093214261</x:v>
      </x:c>
      <x:c r="AB128" s="39" t="n">
        <x:v>-0.00480661</x:v>
      </x:c>
      <x:c r="AC128" s="39" t="n">
        <x:v>-0.0869756367</x:v>
      </x:c>
      <x:c r="AD128" s="39" t="n">
        <x:v>-0.057906758</x:v>
      </x:c>
      <x:c r="AE128" s="39" t="n">
        <x:v>-0.064425687</x:v>
      </x:c>
      <x:c r="AF128" s="39" t="n">
        <x:v>-0.0345750715</x:v>
      </x:c>
      <x:c r="AG128" s="39" t="n">
        <x:v>-0.1161817684</x:v>
      </x:c>
      <x:c r="AH128" s="39" t="n">
        <x:v>0.0593803543</x:v>
      </x:c>
      <x:c r="AI128" s="39" t="n">
        <x:v>0.0342623804</x:v>
      </x:c>
      <x:c r="AJ128" s="39" t="n">
        <x:v>0.0556638512</x:v>
      </x:c>
      <x:c r="AK128" s="39" t="n">
        <x:v>0.0090455279</x:v>
      </x:c>
      <x:c r="AL128" s="39" t="n">
        <x:v>-0.1233661523</x:v>
      </x:c>
      <x:c r="AM128" s="39" t="n">
        <x:v>-0.0074396328</x:v>
      </x:c>
      <x:c r="AN128" s="39" t="n">
        <x:v>-0.0002862273</x:v>
      </x:c>
      <x:c r="AO128" s="39" t="n">
        <x:v>0.0183433833</x:v>
      </x:c>
      <x:c r="AP128" s="39" t="n">
        <x:v>-0.0945659267</x:v>
      </x:c>
      <x:c r="AQ128" s="39" t="n">
        <x:v>-0.0896385268</x:v>
      </x:c>
      <x:c r="AR128" s="39" t="n">
        <x:v>-0.0284123986</x:v>
      </x:c>
      <x:c r="AS128" s="39" t="n">
        <x:v>-0.0628074259</x:v>
      </x:c>
    </x:row>
    <x:row r="129" ht="19" customHeight="1">
      <x:c r="A129" s="30" t="str">
        <x:v>Home FX</x:v>
      </x:c>
      <x:c r="B129" s="40" t="d">
        <x:v>2023-11-06T00:00:00.000Z</x:v>
      </x:c>
      <x:c r="C129" s="39" t="n">
        <x:v>0.0856909679</x:v>
      </x:c>
      <x:c r="D129" s="39" t="n">
        <x:v>-0.1864083294</x:v>
      </x:c>
      <x:c r="E129" s="39" t="n">
        <x:v>0.0536164057</x:v>
      </x:c>
      <x:c r="F129" s="39" t="n">
        <x:v>0.0320864805</x:v>
      </x:c>
      <x:c r="G129" s="39" t="n">
        <x:v>0.0452847104</x:v>
      </x:c>
      <x:c r="H129" s="39" t="n">
        <x:v>0.1737053401</x:v>
      </x:c>
      <x:c r="I129" s="39" t="n">
        <x:v>0.1005229834</x:v>
      </x:c>
      <x:c r="J129" s="39" t="n">
        <x:v>0.1663243193</x:v>
      </x:c>
      <x:c r="K129" s="39" t="n">
        <x:v>-0.0179945271</x:v>
      </x:c>
      <x:c r="L129" s="39" t="n">
        <x:v>-0.0270965872</x:v>
      </x:c>
      <x:c r="M129" s="39" t="n">
        <x:v>-0.0610191961</x:v>
      </x:c>
      <x:c r="N129" s="39" t="n">
        <x:v>-0.1146331655</x:v>
      </x:c>
      <x:c r="O129" s="39" t="n">
        <x:v>0.101418101</x:v>
      </x:c>
      <x:c r="P129" s="39" t="n">
        <x:v>-0.015387983</x:v>
      </x:c>
      <x:c r="Q129" s="39" t="n">
        <x:v>-0.0591629338</x:v>
      </x:c>
      <x:c r="R129" s="39" t="n">
        <x:v>0.0936708238</x:v>
      </x:c>
      <x:c r="S129" s="39" t="n">
        <x:v>-0.0103690052</x:v>
      </x:c>
      <x:c r="T129" s="39" t="n">
        <x:v>0.0308146613</x:v>
      </x:c>
      <x:c r="U129" s="39" t="n">
        <x:v>-0.3377651946</x:v>
      </x:c>
      <x:c r="V129" s="39" t="n">
        <x:v>0.0115479268</x:v>
      </x:c>
      <x:c r="W129" s="39" t="n">
        <x:v>0.2283542972</x:v>
      </x:c>
      <x:c r="X129" s="39" t="n">
        <x:v>-0.044200441</x:v>
      </x:c>
      <x:c r="Y129" s="39" t="n">
        <x:v>0.0848675662</x:v>
      </x:c>
      <x:c r="Z129" s="39" t="n">
        <x:v>-0.1418602926</x:v>
      </x:c>
      <x:c r="AA129" s="39" t="n">
        <x:v>0.0343989553</x:v>
      </x:c>
      <x:c r="AB129" s="39" t="n">
        <x:v>-0.1303292213</x:v>
      </x:c>
      <x:c r="AC129" s="39" t="n">
        <x:v>-0.2615147224</x:v>
      </x:c>
      <x:c r="AD129" s="39" t="n">
        <x:v>0.0515296508</x:v>
      </x:c>
      <x:c r="AE129" s="39" t="n">
        <x:v>-0.1644773465</x:v>
      </x:c>
      <x:c r="AF129" s="39" t="n">
        <x:v>-0.0319626099</x:v>
      </x:c>
      <x:c r="AG129" s="39" t="n">
        <x:v>0.0613655449</x:v>
      </x:c>
      <x:c r="AH129" s="39" t="n">
        <x:v>0.0223607943</x:v>
      </x:c>
      <x:c r="AI129" s="39" t="n">
        <x:v>0.1204806711</x:v>
      </x:c>
      <x:c r="AJ129" s="39" t="n">
        <x:v>-0.0189819033</x:v>
      </x:c>
      <x:c r="AK129" s="39" t="n">
        <x:v>0.0096704075</x:v>
      </x:c>
      <x:c r="AL129" s="39" t="n">
        <x:v>-0.0203801013</x:v>
      </x:c>
      <x:c r="AM129" s="39" t="n">
        <x:v>0.1200472748</x:v>
      </x:c>
      <x:c r="AN129" s="39" t="n">
        <x:v>-0.0352341776</x:v>
      </x:c>
      <x:c r="AO129" s="39" t="n">
        <x:v>0.0197451655</x:v>
      </x:c>
      <x:c r="AP129" s="39" t="n">
        <x:v>-0.0011274576</x:v>
      </x:c>
      <x:c r="AQ129" s="39" t="n">
        <x:v>0.0696961974</x:v>
      </x:c>
      <x:c r="AR129" s="39" t="n">
        <x:v>-0.0629624557</x:v>
      </x:c>
      <x:c r="AS129" s="39" t="n">
        <x:v>0.0156779105</x:v>
      </x:c>
    </x:row>
    <x:row r="130" ht="19" customHeight="1">
      <x:c r="A130" s="30" t="str">
        <x:v>Home FX</x:v>
      </x:c>
      <x:c r="B130" s="40" t="d">
        <x:v>2023-12-04T00:00:00.000Z</x:v>
      </x:c>
      <x:c r="C130" s="39" t="n">
        <x:v>0.070224845</x:v>
      </x:c>
      <x:c r="D130" s="39" t="n">
        <x:v>0.0914824203</x:v>
      </x:c>
      <x:c r="E130" s="39" t="n">
        <x:v>0.024933994</x:v>
      </x:c>
      <x:c r="F130" s="39" t="n">
        <x:v>0.0668856684</x:v>
      </x:c>
      <x:c r="G130" s="39" t="n">
        <x:v>0.0541074118</x:v>
      </x:c>
      <x:c r="H130" s="39" t="n">
        <x:v>0.0567227253</x:v>
      </x:c>
      <x:c r="I130" s="39" t="n">
        <x:v>0.0268259675</x:v>
      </x:c>
      <x:c r="J130" s="39" t="n">
        <x:v>0.034792373</x:v>
      </x:c>
      <x:c r="K130" s="39" t="n">
        <x:v>0.003035553</x:v>
      </x:c>
      <x:c r="L130" s="39" t="n">
        <x:v>0.0087493159</x:v>
      </x:c>
      <x:c r="M130" s="39" t="n">
        <x:v>-0.0334029035</x:v>
      </x:c>
      <x:c r="N130" s="39" t="n">
        <x:v>-0.0168571882</x:v>
      </x:c>
      <x:c r="O130" s="39" t="n">
        <x:v>-0.0169317414</x:v>
      </x:c>
      <x:c r="P130" s="39" t="n">
        <x:v>0.0622990134</x:v>
      </x:c>
      <x:c r="Q130" s="39" t="n">
        <x:v>0.1618582003</x:v>
      </x:c>
      <x:c r="R130" s="39" t="n">
        <x:v>0.2110629806</x:v>
      </x:c>
      <x:c r="S130" s="39" t="n">
        <x:v>-0.0206907894</x:v>
      </x:c>
      <x:c r="T130" s="39" t="n">
        <x:v>0.2084113561</x:v>
      </x:c>
      <x:c r="U130" s="39" t="n">
        <x:v>0.1383220499</x:v>
      </x:c>
      <x:c r="V130" s="39" t="n">
        <x:v>0.0821189608</x:v>
      </x:c>
      <x:c r="W130" s="39" t="n">
        <x:v>0.0146331005</x:v>
      </x:c>
      <x:c r="X130" s="39" t="n">
        <x:v>0.0045732543</x:v>
      </x:c>
      <x:c r="Y130" s="39" t="n">
        <x:v>-0.005380956</x:v>
      </x:c>
      <x:c r="Z130" s="39" t="n">
        <x:v>0.1448778465</x:v>
      </x:c>
      <x:c r="AA130" s="39" t="n">
        <x:v>0.0049049774</x:v>
      </x:c>
      <x:c r="AB130" s="39" t="n">
        <x:v>0.0112340478</x:v>
      </x:c>
      <x:c r="AC130" s="39" t="n">
        <x:v>0.5767480157</x:v>
      </x:c>
      <x:c r="AD130" s="39" t="n">
        <x:v>-0.0426906692</x:v>
      </x:c>
      <x:c r="AE130" s="39" t="n">
        <x:v>0.1115375963</x:v>
      </x:c>
      <x:c r="AF130" s="39" t="n">
        <x:v>0.0163381312</x:v>
      </x:c>
      <x:c r="AG130" s="39" t="n">
        <x:v>0.2210246543</x:v>
      </x:c>
      <x:c r="AH130" s="39" t="n">
        <x:v>0.0774630249</x:v>
      </x:c>
      <x:c r="AI130" s="39" t="n">
        <x:v>0.0844433954</x:v>
      </x:c>
      <x:c r="AJ130" s="39" t="n">
        <x:v>0.0024410136</x:v>
      </x:c>
      <x:c r="AK130" s="39" t="n">
        <x:v>0.0274552923</x:v>
      </x:c>
      <x:c r="AL130" s="39" t="n">
        <x:v>-0.1138822168</x:v>
      </x:c>
      <x:c r="AM130" s="39" t="n">
        <x:v>0.0144455233</x:v>
      </x:c>
      <x:c r="AN130" s="39" t="n">
        <x:v>0.0181374178</x:v>
      </x:c>
      <x:c r="AO130" s="39" t="n">
        <x:v>0.057313608</x:v>
      </x:c>
      <x:c r="AP130" s="39" t="n">
        <x:v>0.1210049706</x:v>
      </x:c>
      <x:c r="AQ130" s="39" t="n">
        <x:v>0.0411596164</x:v>
      </x:c>
      <x:c r="AR130" s="39" t="n">
        <x:v>0.0561343948</x:v>
      </x:c>
      <x:c r="AS130" s="39" t="n">
        <x:v>0.0072419525</x:v>
      </x:c>
    </x:row>
    <x:row r="131" ht="19" customHeight="1">
      <x:c r="A131" s="30" t="str">
        <x:v>Home FX</x:v>
      </x:c>
      <x:c r="B131" s="40" t="d">
        <x:v>2024-01-01T00:00:00.000Z</x:v>
      </x:c>
      <x:c r="C131" s="39" t="n">
        <x:v>0.0500542537</x:v>
      </x:c>
      <x:c r="D131" s="39" t="n">
        <x:v>-0.0586160765</x:v>
      </x:c>
      <x:c r="E131" s="39" t="n">
        <x:v>0.0555089208</x:v>
      </x:c>
      <x:c r="F131" s="39" t="n">
        <x:v>0.0192192332</x:v>
      </x:c>
      <x:c r="G131" s="39" t="n">
        <x:v>-0.0214334245</x:v>
      </x:c>
      <x:c r="H131" s="39" t="n">
        <x:v>-0.0138772159</x:v>
      </x:c>
      <x:c r="I131" s="39" t="n">
        <x:v>-0.0152766615</x:v>
      </x:c>
      <x:c r="J131" s="39" t="n">
        <x:v>0.0098888076</x:v>
      </x:c>
      <x:c r="K131" s="39" t="n">
        <x:v>-0.0733330609</x:v>
      </x:c>
      <x:c r="L131" s="39" t="n">
        <x:v>0.051008153</x:v>
      </x:c>
      <x:c r="M131" s="39" t="n">
        <x:v>0.0595779647</x:v>
      </x:c>
      <x:c r="N131" s="39" t="n">
        <x:v>-0.0117519926</x:v>
      </x:c>
      <x:c r="O131" s="39" t="n">
        <x:v>0.1007821487</x:v>
      </x:c>
      <x:c r="P131" s="39" t="n">
        <x:v>0.045879326</x:v>
      </x:c>
      <x:c r="Q131" s="39" t="n">
        <x:v>0.1674466485</x:v>
      </x:c>
      <x:c r="R131" s="39" t="n">
        <x:v>0.1327055378</x:v>
      </x:c>
      <x:c r="S131" s="39" t="n">
        <x:v>-0.0366974994</x:v>
      </x:c>
      <x:c r="T131" s="39" t="n">
        <x:v>-0.0165349462</x:v>
      </x:c>
      <x:c r="U131" s="39" t="n">
        <x:v>0.3328408895</x:v>
      </x:c>
      <x:c r="V131" s="39" t="n">
        <x:v>0.0334159889</x:v>
      </x:c>
      <x:c r="W131" s="39" t="n">
        <x:v>0.0448776528</x:v>
      </x:c>
      <x:c r="X131" s="39" t="n">
        <x:v>0.0294475337</x:v>
      </x:c>
      <x:c r="Y131" s="39" t="n">
        <x:v>0.1113915724</x:v>
      </x:c>
      <x:c r="Z131" s="39" t="n">
        <x:v>0.0325391108</x:v>
      </x:c>
      <x:c r="AA131" s="39" t="n">
        <x:v>0.0097517463</x:v>
      </x:c>
      <x:c r="AB131" s="39" t="n">
        <x:v>-0.1074087647</x:v>
      </x:c>
      <x:c r="AC131" s="39" t="n">
        <x:v>-0.1076676749</x:v>
      </x:c>
      <x:c r="AD131" s="39" t="n">
        <x:v>0.015912244</x:v>
      </x:c>
      <x:c r="AE131" s="39" t="n">
        <x:v>0.0753922783</x:v>
      </x:c>
      <x:c r="AF131" s="39" t="n">
        <x:v>0.0663978833</x:v>
      </x:c>
      <x:c r="AG131" s="39" t="n">
        <x:v>0.0178626292</x:v>
      </x:c>
      <x:c r="AH131" s="39" t="n">
        <x:v>0.0230392192</x:v>
      </x:c>
      <x:c r="AI131" s="39" t="n">
        <x:v>0.0740919731</x:v>
      </x:c>
      <x:c r="AJ131" s="39" t="n">
        <x:v>0.0345602786</x:v>
      </x:c>
      <x:c r="AK131" s="39" t="n">
        <x:v>0.0093091659</x:v>
      </x:c>
      <x:c r="AL131" s="39" t="n">
        <x:v>0.0564098101</x:v>
      </x:c>
      <x:c r="AM131" s="39" t="n">
        <x:v>-0.0179110895</x:v>
      </x:c>
      <x:c r="AN131" s="39" t="n">
        <x:v>0.0056056714</x:v>
      </x:c>
      <x:c r="AO131" s="39" t="n">
        <x:v>0.0963116802</x:v>
      </x:c>
      <x:c r="AP131" s="39" t="n">
        <x:v>0.0504684391</x:v>
      </x:c>
      <x:c r="AQ131" s="39" t="n">
        <x:v>0.0183794135</x:v>
      </x:c>
      <x:c r="AR131" s="39" t="n">
        <x:v>0.0436164418</x:v>
      </x:c>
      <x:c r="AS131" s="39" t="n">
        <x:v>0.0357026766</x:v>
      </x:c>
    </x:row>
    <x:row r="132" ht="19" customHeight="1">
      <x:c r="A132" s="30" t="str">
        <x:v>Home FX</x:v>
      </x:c>
      <x:c r="B132" s="40" t="d">
        <x:v>2024-01-29T00:00:00.000Z</x:v>
      </x:c>
      <x:c r="C132" s="39" t="n">
        <x:v>0.1493598033</x:v>
      </x:c>
      <x:c r="D132" s="39" t="n">
        <x:v>0.047545952</x:v>
      </x:c>
      <x:c r="E132" s="39" t="n">
        <x:v>-0.0695704987</x:v>
      </x:c>
      <x:c r="F132" s="39" t="n">
        <x:v>-0.0340705619</x:v>
      </x:c>
      <x:c r="G132" s="39" t="n">
        <x:v>0.0689401822</x:v>
      </x:c>
      <x:c r="H132" s="39" t="n">
        <x:v>0.1195123765</x:v>
      </x:c>
      <x:c r="I132" s="39" t="n">
        <x:v>0.1747170598</x:v>
      </x:c>
      <x:c r="J132" s="39" t="n">
        <x:v>0.1727592495</x:v>
      </x:c>
      <x:c r="K132" s="39" t="n">
        <x:v>0.0828192856</x:v>
      </x:c>
      <x:c r="L132" s="39" t="n">
        <x:v>0.076878274</x:v>
      </x:c>
      <x:c r="M132" s="39" t="n">
        <x:v>-0.0609674662</x:v>
      </x:c>
      <x:c r="N132" s="39" t="n">
        <x:v>-0.0847366426</x:v>
      </x:c>
      <x:c r="O132" s="39" t="n">
        <x:v>-0.0102151968</x:v>
      </x:c>
      <x:c r="P132" s="39" t="n">
        <x:v>0.1561784271</x:v>
      </x:c>
      <x:c r="Q132" s="39" t="n">
        <x:v>0.0781732764</x:v>
      </x:c>
      <x:c r="R132" s="39" t="n">
        <x:v>0.0117049793</x:v>
      </x:c>
      <x:c r="S132" s="39" t="n">
        <x:v>0.0377336791</x:v>
      </x:c>
      <x:c r="T132" s="39" t="n">
        <x:v>0.0834100349</x:v>
      </x:c>
      <x:c r="U132" s="39" t="n">
        <x:v>-0.1359850821</x:v>
      </x:c>
      <x:c r="V132" s="39" t="n">
        <x:v>0.053047538</x:v>
      </x:c>
      <x:c r="W132" s="39" t="n">
        <x:v>0.1818438844</x:v>
      </x:c>
      <x:c r="X132" s="39" t="n">
        <x:v>0.0483905239</x:v>
      </x:c>
      <x:c r="Y132" s="39" t="n">
        <x:v>0.0370914546</x:v>
      </x:c>
      <x:c r="Z132" s="39" t="n">
        <x:v>-0.1653516673</x:v>
      </x:c>
      <x:c r="AA132" s="39" t="n">
        <x:v>0.1142191277</x:v>
      </x:c>
      <x:c r="AB132" s="39" t="n">
        <x:v>-0.0063997834</x:v>
      </x:c>
      <x:c r="AC132" s="39" t="n">
        <x:v>-0.0170336255</x:v>
      </x:c>
      <x:c r="AD132" s="39" t="n">
        <x:v>0.0792193342</x:v>
      </x:c>
      <x:c r="AE132" s="39" t="n">
        <x:v>0.0251446143</x:v>
      </x:c>
      <x:c r="AF132" s="39" t="n">
        <x:v>-0.1124698408</x:v>
      </x:c>
      <x:c r="AG132" s="39" t="n">
        <x:v>-0.1802294067</x:v>
      </x:c>
      <x:c r="AH132" s="39" t="n">
        <x:v>0.0638957211</x:v>
      </x:c>
      <x:c r="AI132" s="39" t="n">
        <x:v>0.2583539626</x:v>
      </x:c>
      <x:c r="AJ132" s="39" t="n">
        <x:v>0.0794396391</x:v>
      </x:c>
      <x:c r="AK132" s="39" t="n">
        <x:v>-0.0069547531</x:v>
      </x:c>
      <x:c r="AL132" s="39" t="n">
        <x:v>0.0290113156</x:v>
      </x:c>
      <x:c r="AM132" s="39" t="n">
        <x:v>0.1161909925</x:v>
      </x:c>
      <x:c r="AN132" s="39" t="n">
        <x:v>0.0497440726</x:v>
      </x:c>
      <x:c r="AO132" s="39" t="n">
        <x:v>0.083015994</x:v>
      </x:c>
      <x:c r="AP132" s="39" t="n">
        <x:v>0.0424559912</x:v>
      </x:c>
      <x:c r="AQ132" s="39" t="n">
        <x:v>0.0150535744</x:v>
      </x:c>
      <x:c r="AR132" s="39" t="n">
        <x:v>-0.0295901973</x:v>
      </x:c>
      <x:c r="AS132" s="39" t="n">
        <x:v>0.0692158813</x:v>
      </x:c>
    </x:row>
    <x:row r="133" ht="19" customHeight="1">
      <x:c r="A133" s="30" t="str">
        <x:v>Home FX</x:v>
      </x:c>
      <x:c r="B133" s="40" t="d">
        <x:v>2024-02-26T00:00:00.000Z</x:v>
      </x:c>
      <x:c r="C133" s="39" t="n">
        <x:v>0.2126232411</x:v>
      </x:c>
      <x:c r="D133" s="39" t="n">
        <x:v>0.1247413643</x:v>
      </x:c>
      <x:c r="E133" s="39" t="n">
        <x:v>0.0941091895</x:v>
      </x:c>
      <x:c r="F133" s="39" t="n">
        <x:v>0.010878826</x:v>
      </x:c>
      <x:c r="G133" s="39" t="n">
        <x:v>0.1497751613</x:v>
      </x:c>
      <x:c r="H133" s="39" t="n">
        <x:v>0.0842842725</x:v>
      </x:c>
      <x:c r="I133" s="39" t="n">
        <x:v>0.038634607</x:v>
      </x:c>
      <x:c r="J133" s="39" t="n">
        <x:v>0.323898729</x:v>
      </x:c>
      <x:c r="K133" s="39" t="n">
        <x:v>0.0649948668</x:v>
      </x:c>
      <x:c r="L133" s="39" t="n">
        <x:v>0.0407493017</x:v>
      </x:c>
      <x:c r="M133" s="39" t="n">
        <x:v>0.0862345196</x:v>
      </x:c>
      <x:c r="N133" s="39" t="n">
        <x:v>0.0285352517</x:v>
      </x:c>
      <x:c r="O133" s="39" t="n">
        <x:v>-0.0907818911</x:v>
      </x:c>
      <x:c r="P133" s="39" t="n">
        <x:v>0.105855349</x:v>
      </x:c>
      <x:c r="Q133" s="39" t="n">
        <x:v>0.0773541723</x:v>
      </x:c>
      <x:c r="R133" s="39" t="n">
        <x:v>0.0757164763</x:v>
      </x:c>
      <x:c r="S133" s="39" t="n">
        <x:v>0.0627438087</x:v>
      </x:c>
      <x:c r="T133" s="39" t="n">
        <x:v>0.2001419728</x:v>
      </x:c>
      <x:c r="U133" s="39" t="n">
        <x:v>-0.0267314408</x:v>
      </x:c>
      <x:c r="V133" s="39" t="n">
        <x:v>0.2121625224</x:v>
      </x:c>
      <x:c r="W133" s="39" t="n">
        <x:v>0.0975274728</x:v>
      </x:c>
      <x:c r="X133" s="39" t="n">
        <x:v>-0.0549757039</x:v>
      </x:c>
      <x:c r="Y133" s="39" t="n">
        <x:v>0.1007710592</x:v>
      </x:c>
      <x:c r="Z133" s="39" t="n">
        <x:v>-0.078565411</x:v>
      </x:c>
      <x:c r="AA133" s="39" t="n">
        <x:v>0.0408758442</x:v>
      </x:c>
      <x:c r="AB133" s="39" t="n">
        <x:v>0.0320614389</x:v>
      </x:c>
      <x:c r="AC133" s="39" t="n">
        <x:v>-0.2289268521</x:v>
      </x:c>
      <x:c r="AD133" s="39" t="n">
        <x:v>0.0050585847</x:v>
      </x:c>
      <x:c r="AE133" s="39" t="n">
        <x:v>0.0546775343</x:v>
      </x:c>
      <x:c r="AF133" s="39" t="n">
        <x:v>0.010217095</x:v>
      </x:c>
      <x:c r="AG133" s="39" t="n">
        <x:v>-0.0483423088</x:v>
      </x:c>
      <x:c r="AH133" s="39" t="n">
        <x:v>0.0949253071</x:v>
      </x:c>
      <x:c r="AI133" s="39" t="n">
        <x:v>0.1387607775</x:v>
      </x:c>
      <x:c r="AJ133" s="39" t="n">
        <x:v>0.168753042</x:v>
      </x:c>
      <x:c r="AK133" s="39" t="n">
        <x:v>0.0627953708</x:v>
      </x:c>
      <x:c r="AL133" s="39" t="n">
        <x:v>-0.0163750775</x:v>
      </x:c>
      <x:c r="AM133" s="39" t="n">
        <x:v>0.0128696385</x:v>
      </x:c>
      <x:c r="AN133" s="39" t="n">
        <x:v>-0.0395497159</x:v>
      </x:c>
      <x:c r="AO133" s="39" t="n">
        <x:v>0.0577932485</x:v>
      </x:c>
      <x:c r="AP133" s="39" t="n">
        <x:v>0.0774536267</x:v>
      </x:c>
      <x:c r="AQ133" s="39" t="n">
        <x:v>-0.0177447593</x:v>
      </x:c>
      <x:c r="AR133" s="39" t="n">
        <x:v>0.0444488204</x:v>
      </x:c>
      <x:c r="AS133" s="39" t="n">
        <x:v>0.0432605499</x:v>
      </x:c>
    </x:row>
    <x:row r="134" ht="19" customHeight="1">
      <x:c r="A134" s="30" t="str">
        <x:v>Home FX</x:v>
      </x:c>
      <x:c r="B134" s="40" t="d">
        <x:v>2024-03-25T00:00:00.000Z</x:v>
      </x:c>
      <x:c r="C134" s="39" t="n">
        <x:v>0.2660690986</x:v>
      </x:c>
      <x:c r="D134" s="39" t="n">
        <x:v>0.0662084572</x:v>
      </x:c>
      <x:c r="E134" s="39" t="n">
        <x:v>0.0138807898</x:v>
      </x:c>
      <x:c r="F134" s="39" t="n">
        <x:v>0.0540811076</x:v>
      </x:c>
      <x:c r="G134" s="39" t="n">
        <x:v>0.0951137921</x:v>
      </x:c>
      <x:c r="H134" s="39" t="n">
        <x:v>0.0833895269</x:v>
      </x:c>
      <x:c r="I134" s="39" t="n">
        <x:v>0.0128868705</x:v>
      </x:c>
      <x:c r="J134" s="39" t="n">
        <x:v>0.0119544127</x:v>
      </x:c>
      <x:c r="K134" s="39" t="n">
        <x:v>-0.0716655599</x:v>
      </x:c>
      <x:c r="L134" s="39" t="n">
        <x:v>0.1872518943</x:v>
      </x:c>
      <x:c r="M134" s="39" t="n">
        <x:v>0.0091668954</x:v>
      </x:c>
      <x:c r="N134" s="39" t="n">
        <x:v>0.0546758909</x:v>
      </x:c>
      <x:c r="O134" s="39" t="n">
        <x:v>-0.0255134646</x:v>
      </x:c>
      <x:c r="P134" s="39" t="n">
        <x:v>0.063617344</x:v>
      </x:c>
      <x:c r="Q134" s="39" t="n">
        <x:v>-0.0155213646</x:v>
      </x:c>
      <x:c r="R134" s="39" t="n">
        <x:v>-0.0061462317</x:v>
      </x:c>
      <x:c r="S134" s="39" t="n">
        <x:v>-0.0136878189</x:v>
      </x:c>
      <x:c r="T134" s="39" t="n">
        <x:v>-0.0336029149</x:v>
      </x:c>
      <x:c r="U134" s="39" t="n">
        <x:v>0.1221613692</x:v>
      </x:c>
      <x:c r="V134" s="39" t="n">
        <x:v>-0.0046736926</x:v>
      </x:c>
      <x:c r="W134" s="39" t="n">
        <x:v>-0.0209471941</x:v>
      </x:c>
      <x:c r="X134" s="39" t="n">
        <x:v>0.0136591512</x:v>
      </x:c>
      <x:c r="Y134" s="39" t="n">
        <x:v>0.2302692484</x:v>
      </x:c>
      <x:c r="Z134" s="39" t="n">
        <x:v>0.131642665</x:v>
      </x:c>
      <x:c r="AA134" s="39" t="n">
        <x:v>0.1030258522</x:v>
      </x:c>
      <x:c r="AB134" s="39" t="n">
        <x:v>0.0561494855</x:v>
      </x:c>
      <x:c r="AC134" s="39" t="n">
        <x:v>0.0229190178</x:v>
      </x:c>
      <x:c r="AD134" s="39" t="n">
        <x:v>0.0226543714</x:v>
      </x:c>
      <x:c r="AE134" s="39" t="n">
        <x:v>0.0690379267</x:v>
      </x:c>
      <x:c r="AF134" s="39" t="n">
        <x:v>0.1474532937</x:v>
      </x:c>
      <x:c r="AG134" s="39" t="n">
        <x:v>-0.0381663174</x:v>
      </x:c>
      <x:c r="AH134" s="39" t="n">
        <x:v>-0.0036273133</x:v>
      </x:c>
      <x:c r="AI134" s="39" t="n">
        <x:v>-0.1238254811</x:v>
      </x:c>
      <x:c r="AJ134" s="39" t="n">
        <x:v>-0.0057047625</x:v>
      </x:c>
      <x:c r="AK134" s="39" t="n">
        <x:v>0.0082745514</x:v>
      </x:c>
      <x:c r="AL134" s="39" t="n">
        <x:v>-0.0219258021</x:v>
      </x:c>
      <x:c r="AM134" s="39" t="n">
        <x:v>0.013355194</x:v>
      </x:c>
      <x:c r="AN134" s="39" t="n">
        <x:v>0.1024935222</x:v>
      </x:c>
      <x:c r="AO134" s="39" t="n">
        <x:v>-0.0242668657</x:v>
      </x:c>
      <x:c r="AP134" s="39" t="n">
        <x:v>0.0040111787</x:v>
      </x:c>
      <x:c r="AQ134" s="39" t="n">
        <x:v>0.0377681372</x:v>
      </x:c>
      <x:c r="AR134" s="39" t="n">
        <x:v>-0.0262506287</x:v>
      </x:c>
      <x:c r="AS134" s="39" t="n">
        <x:v>0.034667994</x:v>
      </x:c>
    </x:row>
    <x:row r="135" ht="19" customHeight="1">
      <x:c r="A135" s="30" t="str">
        <x:v>Home FX</x:v>
      </x:c>
      <x:c r="B135" s="40" t="d">
        <x:v>2024-04-22T00:00:00.000Z</x:v>
      </x:c>
      <x:c r="C135" s="39" t="n">
        <x:v>0.0464974329</x:v>
      </x:c>
      <x:c r="D135" s="39" t="n">
        <x:v>0.0108909073</x:v>
      </x:c>
      <x:c r="E135" s="39" t="n">
        <x:v>-0.0106364089</x:v>
      </x:c>
      <x:c r="F135" s="39" t="n">
        <x:v>0.0083854272</x:v>
      </x:c>
      <x:c r="G135" s="39" t="n">
        <x:v>-0.0889315117</x:v>
      </x:c>
      <x:c r="H135" s="39" t="n">
        <x:v>0.0998416355</x:v>
      </x:c>
      <x:c r="I135" s="39" t="n">
        <x:v>-0.0045807693</x:v>
      </x:c>
      <x:c r="J135" s="39" t="n">
        <x:v>-0.0550176325</x:v>
      </x:c>
      <x:c r="K135" s="39" t="n">
        <x:v>-0.0904730568</x:v>
      </x:c>
      <x:c r="L135" s="39" t="n">
        <x:v>-0.0315346227</x:v>
      </x:c>
      <x:c r="M135" s="39" t="n">
        <x:v>-0.0426811382</x:v>
      </x:c>
      <x:c r="N135" s="39" t="n">
        <x:v>-0.0288225298</x:v>
      </x:c>
      <x:c r="O135" s="39" t="n">
        <x:v>-0.0131729999</x:v>
      </x:c>
      <x:c r="P135" s="39" t="n">
        <x:v>0.048502243</x:v>
      </x:c>
      <x:c r="Q135" s="39" t="n">
        <x:v>-0.1187700071</x:v>
      </x:c>
      <x:c r="R135" s="39" t="n">
        <x:v>-0.1415451613</x:v>
      </x:c>
      <x:c r="S135" s="39" t="n">
        <x:v>-0.0221452522</x:v>
      </x:c>
      <x:c r="T135" s="39" t="n">
        <x:v>-0.103615242</x:v>
      </x:c>
      <x:c r="U135" s="39" t="n">
        <x:v>0.0142613148</x:v>
      </x:c>
      <x:c r="V135" s="39" t="n">
        <x:v>-0.0162447513</x:v>
      </x:c>
      <x:c r="W135" s="39" t="n">
        <x:v>-0.0856439151</x:v>
      </x:c>
      <x:c r="X135" s="39" t="n">
        <x:v>-0.1187677588</x:v>
      </x:c>
      <x:c r="Y135" s="39" t="n">
        <x:v>-0.0284376356</x:v>
      </x:c>
      <x:c r="Z135" s="39" t="n">
        <x:v>0.1907658647</x:v>
      </x:c>
      <x:c r="AA135" s="39" t="n">
        <x:v>0.0068455064</x:v>
      </x:c>
      <x:c r="AB135" s="39" t="n">
        <x:v>0.7703346173</x:v>
      </x:c>
      <x:c r="AC135" s="39" t="n">
        <x:v>-0.1480433739</x:v>
      </x:c>
      <x:c r="AD135" s="39" t="n">
        <x:v>0.0005445917</x:v>
      </x:c>
      <x:c r="AE135" s="39" t="n">
        <x:v>-0.0407873906</x:v>
      </x:c>
      <x:c r="AF135" s="39" t="n">
        <x:v>-0.0348193352</x:v>
      </x:c>
      <x:c r="AG135" s="39" t="n">
        <x:v>-0.1554971395</x:v>
      </x:c>
      <x:c r="AH135" s="39" t="n">
        <x:v>-0.0553601665</x:v>
      </x:c>
      <x:c r="AI135" s="39" t="n">
        <x:v>-0.1485071315</x:v>
      </x:c>
      <x:c r="AJ135" s="39" t="n">
        <x:v>-0.0638290467</x:v>
      </x:c>
      <x:c r="AK135" s="39" t="n">
        <x:v>0.0103996709</x:v>
      </x:c>
      <x:c r="AL135" s="39" t="n">
        <x:v>0.0324361188</x:v>
      </x:c>
      <x:c r="AM135" s="39" t="n">
        <x:v>-0.0377833523</x:v>
      </x:c>
      <x:c r="AN135" s="39" t="n">
        <x:v>0.1414578645</x:v>
      </x:c>
      <x:c r="AO135" s="39" t="n">
        <x:v>-0.0033811469</x:v>
      </x:c>
      <x:c r="AP135" s="39" t="n">
        <x:v>-0.1466802957</x:v>
      </x:c>
      <x:c r="AQ135" s="39" t="n">
        <x:v>0.0098852966</x:v>
      </x:c>
      <x:c r="AR135" s="39" t="n">
        <x:v>-0.0859588803</x:v>
      </x:c>
      <x:c r="AS135" s="39" t="n">
        <x:v>-0.0485941136</x:v>
      </x:c>
    </x:row>
    <x:row r="136" ht="19" customHeight="1">
      <x:c r="A136" s="30" t="str">
        <x:v>Home FX</x:v>
      </x:c>
      <x:c r="B136" s="40" t="d">
        <x:v>2024-05-20T00:00:00.000Z</x:v>
      </x:c>
      <x:c r="C136" s="39" t="n">
        <x:v>0.3736769925</x:v>
      </x:c>
      <x:c r="D136" s="39" t="n">
        <x:v>-0.0061003136</x:v>
      </x:c>
      <x:c r="E136" s="39" t="n">
        <x:v>0.0576081839</x:v>
      </x:c>
      <x:c r="F136" s="39" t="n">
        <x:v>0.038660798</x:v>
      </x:c>
      <x:c r="G136" s="39" t="n">
        <x:v>-0.1126479602</x:v>
      </x:c>
      <x:c r="H136" s="39" t="n">
        <x:v>-0.0122693343</x:v>
      </x:c>
      <x:c r="I136" s="39" t="n">
        <x:v>0.0069004483</x:v>
      </x:c>
      <x:c r="J136" s="39" t="n">
        <x:v>0.138840749</x:v>
      </x:c>
      <x:c r="K136" s="39" t="n">
        <x:v>0.0129535031</x:v>
      </x:c>
      <x:c r="L136" s="39" t="n">
        <x:v>-0.0226628078</x:v>
      </x:c>
      <x:c r="M136" s="39" t="n">
        <x:v>-0.0273578483</x:v>
      </x:c>
      <x:c r="N136" s="39" t="n">
        <x:v>0.102903509</x:v>
      </x:c>
      <x:c r="O136" s="39" t="n">
        <x:v>-0.018429839</x:v>
      </x:c>
      <x:c r="P136" s="39" t="n">
        <x:v>0.0519501237</x:v>
      </x:c>
      <x:c r="Q136" s="39" t="n">
        <x:v>-0.0668049854</x:v>
      </x:c>
      <x:c r="R136" s="39" t="n">
        <x:v>0.0846565247</x:v>
      </x:c>
      <x:c r="S136" s="39" t="n">
        <x:v>0.0205671709</x:v>
      </x:c>
      <x:c r="T136" s="39" t="n">
        <x:v>-0.1879557511</x:v>
      </x:c>
      <x:c r="U136" s="39" t="n">
        <x:v>0.477316092</x:v>
      </x:c>
      <x:c r="V136" s="39" t="n">
        <x:v>-0.0837873488</x:v>
      </x:c>
      <x:c r="W136" s="39" t="n">
        <x:v>0.1560556047</x:v>
      </x:c>
      <x:c r="X136" s="39" t="n">
        <x:v>-0.0008560548</x:v>
      </x:c>
      <x:c r="Y136" s="39" t="n">
        <x:v>0.1321071794</x:v>
      </x:c>
      <x:c r="Z136" s="39" t="n">
        <x:v>-0.0194842118</x:v>
      </x:c>
      <x:c r="AA136" s="39" t="n">
        <x:v>-0.0220102734</x:v>
      </x:c>
      <x:c r="AB136" s="39" t="n">
        <x:v>-0.0600029241</x:v>
      </x:c>
      <x:c r="AC136" s="39" t="n">
        <x:v>-0.0051712307</x:v>
      </x:c>
      <x:c r="AD136" s="39" t="n">
        <x:v>0.0272210292</x:v>
      </x:c>
      <x:c r="AE136" s="39" t="n">
        <x:v>-0.042294986</x:v>
      </x:c>
      <x:c r="AF136" s="39" t="n">
        <x:v>0.0767250558</x:v>
      </x:c>
      <x:c r="AG136" s="39" t="n">
        <x:v>0.0470151123</x:v>
      </x:c>
      <x:c r="AH136" s="39" t="n">
        <x:v>-0.0857700076</x:v>
      </x:c>
      <x:c r="AI136" s="39" t="n">
        <x:v>0.0609172445</x:v>
      </x:c>
      <x:c r="AJ136" s="39" t="n">
        <x:v>0.1075201435</x:v>
      </x:c>
      <x:c r="AK136" s="39" t="n">
        <x:v>0.0804302776</x:v>
      </x:c>
      <x:c r="AL136" s="39" t="n">
        <x:v>0.0351248575</x:v>
      </x:c>
      <x:c r="AM136" s="39" t="n">
        <x:v>0.0647182623</x:v>
      </x:c>
      <x:c r="AN136" s="39" t="n">
        <x:v>0.0192830449</x:v>
      </x:c>
      <x:c r="AO136" s="39" t="n">
        <x:v>0.1152906041</x:v>
      </x:c>
      <x:c r="AP136" s="39" t="n">
        <x:v>-0.0333022724</x:v>
      </x:c>
      <x:c r="AQ136" s="39" t="n">
        <x:v>0.0046238844</x:v>
      </x:c>
      <x:c r="AR136" s="39" t="n">
        <x:v>0.0150899549</x:v>
      </x:c>
      <x:c r="AS136" s="39" t="n">
        <x:v>0.0144351903</x:v>
      </x:c>
    </x:row>
    <x:row r="137" ht="19" customHeight="1">
      <x:c r="A137" s="30" t="str">
        <x:v>Home FX</x:v>
      </x:c>
      <x:c r="B137" s="40" t="d">
        <x:v>2024-06-17T00:00:00.000Z</x:v>
      </x:c>
      <x:c r="C137" s="39" t="n">
        <x:v>-0.1774972405</x:v>
      </x:c>
      <x:c r="D137" s="39" t="n">
        <x:v>-0.0693929616</x:v>
      </x:c>
      <x:c r="E137" s="39" t="n">
        <x:v>-0.0243458011</x:v>
      </x:c>
      <x:c r="F137" s="39" t="n">
        <x:v>-0.0345786786</x:v>
      </x:c>
      <x:c r="G137" s="39" t="n">
        <x:v>0.0055788157</x:v>
      </x:c>
      <x:c r="H137" s="39" t="n">
        <x:v>0.0206489598</x:v>
      </x:c>
      <x:c r="I137" s="39" t="n">
        <x:v>0.0502786594</x:v>
      </x:c>
      <x:c r="J137" s="39" t="n">
        <x:v>-0.0881848248</x:v>
      </x:c>
      <x:c r="K137" s="39" t="n">
        <x:v>0.0769968043</x:v>
      </x:c>
      <x:c r="L137" s="39" t="n">
        <x:v>-0.0795153878</x:v>
      </x:c>
      <x:c r="M137" s="39" t="n">
        <x:v>-0.0652171628</x:v>
      </x:c>
      <x:c r="N137" s="39" t="n">
        <x:v>-0.1424174035</x:v>
      </x:c>
      <x:c r="O137" s="39" t="n">
        <x:v>0.0013699584</x:v>
      </x:c>
      <x:c r="P137" s="39" t="n">
        <x:v>0.014229149</x:v>
      </x:c>
      <x:c r="Q137" s="39" t="n">
        <x:v>-0.021096405</x:v>
      </x:c>
      <x:c r="R137" s="39" t="n">
        <x:v>-0.0742634169</x:v>
      </x:c>
      <x:c r="S137" s="39" t="n">
        <x:v>-0.1051349246</x:v>
      </x:c>
      <x:c r="T137" s="39" t="n">
        <x:v>0.0550264692</x:v>
      </x:c>
      <x:c r="U137" s="39" t="n">
        <x:v>-0.2480755174</x:v>
      </x:c>
      <x:c r="V137" s="39" t="n">
        <x:v>0.0213603593</x:v>
      </x:c>
      <x:c r="W137" s="39" t="n">
        <x:v>0.065943326</x:v>
      </x:c>
      <x:c r="X137" s="39" t="n">
        <x:v>-0.0017387066</x:v>
      </x:c>
      <x:c r="Y137" s="39" t="n">
        <x:v>0.0834131341</x:v>
      </x:c>
      <x:c r="Z137" s="39" t="n">
        <x:v>0.0140982018</x:v>
      </x:c>
      <x:c r="AA137" s="39" t="n">
        <x:v>0.0285280319</x:v>
      </x:c>
      <x:c r="AB137" s="39" t="n">
        <x:v>0.0356350302</x:v>
      </x:c>
      <x:c r="AC137" s="39" t="n">
        <x:v>-0.084870529</x:v>
      </x:c>
      <x:c r="AD137" s="39" t="n">
        <x:v>0.0196033496</x:v>
      </x:c>
      <x:c r="AE137" s="39" t="n">
        <x:v>-0.0297598191</x:v>
      </x:c>
      <x:c r="AF137" s="39" t="n">
        <x:v>0.1493465005</x:v>
      </x:c>
      <x:c r="AG137" s="39" t="n">
        <x:v>0.0129686511</x:v>
      </x:c>
      <x:c r="AH137" s="39" t="n">
        <x:v>-0.0264237956</x:v>
      </x:c>
      <x:c r="AI137" s="39" t="n">
        <x:v>-0.0349534401</x:v>
      </x:c>
      <x:c r="AJ137" s="39" t="n">
        <x:v>0.1009525119</x:v>
      </x:c>
      <x:c r="AK137" s="39" t="n">
        <x:v>0.0159272682</x:v>
      </x:c>
      <x:c r="AL137" s="39" t="n">
        <x:v>-0.0623089048</x:v>
      </x:c>
      <x:c r="AM137" s="39" t="n">
        <x:v>0.0497722173</x:v>
      </x:c>
      <x:c r="AN137" s="39" t="n">
        <x:v>0.0304842865</x:v>
      </x:c>
      <x:c r="AO137" s="39" t="n">
        <x:v>0.0519414086</x:v>
      </x:c>
      <x:c r="AP137" s="39" t="n">
        <x:v>0.1084277952</x:v>
      </x:c>
      <x:c r="AQ137" s="39" t="n">
        <x:v>0.0223992991</x:v>
      </x:c>
      <x:c r="AR137" s="39" t="n">
        <x:v>0.0134342839</x:v>
      </x:c>
      <x:c r="AS137" s="39" t="n">
        <x:v>0.0060369965</x:v>
      </x:c>
    </x:row>
    <x:row r="138" ht="19" customHeight="1">
      <x:c r="A138" s="30" t="str">
        <x:v>Home FX</x:v>
      </x:c>
      <x:c r="B138" s="40" t="d">
        <x:v>2024-07-15T00:00:00.000Z</x:v>
      </x:c>
      <x:c r="C138" s="39" t="n">
        <x:v>-0.1441872539</x:v>
      </x:c>
      <x:c r="D138" s="39" t="n">
        <x:v>0.1024230562</x:v>
      </x:c>
      <x:c r="E138" s="39" t="n">
        <x:v>0.0765317938</x:v>
      </x:c>
      <x:c r="F138" s="39" t="n">
        <x:v>0.0488808641</x:v>
      </x:c>
      <x:c r="G138" s="39" t="n">
        <x:v>-0.0694653429</x:v>
      </x:c>
      <x:c r="H138" s="39" t="n">
        <x:v>-0.2056739785</x:v>
      </x:c>
      <x:c r="I138" s="39" t="n">
        <x:v>-0.0361872894</x:v>
      </x:c>
      <x:c r="J138" s="39" t="n">
        <x:v>-0.0438836679</x:v>
      </x:c>
      <x:c r="K138" s="39" t="n">
        <x:v>-0.0854192817</x:v>
      </x:c>
      <x:c r="L138" s="39" t="n">
        <x:v>-0.0142544013</x:v>
      </x:c>
      <x:c r="M138" s="39" t="n">
        <x:v>-0.021409393</x:v>
      </x:c>
      <x:c r="N138" s="39" t="n">
        <x:v>-0.0275970448</x:v>
      </x:c>
      <x:c r="O138" s="39" t="n">
        <x:v>0.048250689</x:v>
      </x:c>
      <x:c r="P138" s="39" t="n">
        <x:v>-0.0925589752</x:v>
      </x:c>
      <x:c r="Q138" s="39" t="n">
        <x:v>0.0376978739</x:v>
      </x:c>
      <x:c r="R138" s="39" t="n">
        <x:v>-0.0353072348</x:v>
      </x:c>
      <x:c r="S138" s="39" t="n">
        <x:v>0.0308270724</x:v>
      </x:c>
      <x:c r="T138" s="39" t="n">
        <x:v>0.0104072234</x:v>
      </x:c>
      <x:c r="U138" s="39" t="n">
        <x:v>-0.1091090521</x:v>
      </x:c>
      <x:c r="V138" s="39" t="n">
        <x:v>0.0653274714</x:v>
      </x:c>
      <x:c r="W138" s="39" t="n">
        <x:v>-0.0905931387</x:v>
      </x:c>
      <x:c r="X138" s="39" t="n">
        <x:v>0.0553387752</x:v>
      </x:c>
      <x:c r="Y138" s="39" t="n">
        <x:v>-0.2252238926</x:v>
      </x:c>
      <x:c r="Z138" s="39" t="n">
        <x:v>0.1203151329</x:v>
      </x:c>
      <x:c r="AA138" s="39" t="n">
        <x:v>0.0542114729</x:v>
      </x:c>
      <x:c r="AB138" s="39" t="n">
        <x:v>-0.0700290779</x:v>
      </x:c>
      <x:c r="AC138" s="39" t="n">
        <x:v>0.2830942807</x:v>
      </x:c>
      <x:c r="AD138" s="39" t="n">
        <x:v>0.0047669604</x:v>
      </x:c>
      <x:c r="AE138" s="39" t="n">
        <x:v>0.1880378843</x:v>
      </x:c>
      <x:c r="AF138" s="39" t="n">
        <x:v>-0.0240579117</x:v>
      </x:c>
      <x:c r="AG138" s="39" t="n">
        <x:v>0.0197620221</x:v>
      </x:c>
      <x:c r="AH138" s="39" t="n">
        <x:v>0.0641244756</x:v>
      </x:c>
      <x:c r="AI138" s="39" t="n">
        <x:v>-0.069851317</x:v>
      </x:c>
      <x:c r="AJ138" s="39" t="n">
        <x:v>-0.0343325686</x:v>
      </x:c>
      <x:c r="AK138" s="39" t="n">
        <x:v>0.0549455621</x:v>
      </x:c>
      <x:c r="AL138" s="39" t="n">
        <x:v>-0.0344300396</x:v>
      </x:c>
      <x:c r="AM138" s="39" t="n">
        <x:v>-0.0323391886</x:v>
      </x:c>
      <x:c r="AN138" s="39" t="n">
        <x:v>-0.0124806611</x:v>
      </x:c>
      <x:c r="AO138" s="39" t="n">
        <x:v>-0.0136638752</x:v>
      </x:c>
      <x:c r="AP138" s="39" t="n">
        <x:v>0.023795895</x:v>
      </x:c>
      <x:c r="AQ138" s="39" t="n">
        <x:v>0.0445483571</x:v>
      </x:c>
      <x:c r="AR138" s="39" t="n">
        <x:v>0.0443157468</x:v>
      </x:c>
      <x:c r="AS138" s="39" t="n">
        <x:v>0.066658206</x:v>
      </x:c>
    </x:row>
    <x:row r="139" ht="19" customHeight="1">
      <x:c r="A139" s="30" t="str">
        <x:v>Home FX</x:v>
      </x:c>
      <x:c r="B139" s="40" t="d">
        <x:v>2024-08-12T00:00:00.000Z</x:v>
      </x:c>
      <x:c r="C139" s="39" t="n">
        <x:v>0.0424356674</x:v>
      </x:c>
      <x:c r="D139" s="39" t="n">
        <x:v>0.0047834524</x:v>
      </x:c>
      <x:c r="E139" s="39" t="n">
        <x:v>0.0562501133</x:v>
      </x:c>
      <x:c r="F139" s="39" t="n">
        <x:v>0.082778378</x:v>
      </x:c>
      <x:c r="G139" s="39" t="n">
        <x:v>-0.0799297605</x:v>
      </x:c>
      <x:c r="H139" s="39" t="n">
        <x:v>-0.0231720791</x:v>
      </x:c>
      <x:c r="I139" s="39" t="n">
        <x:v>-0.0386911931</x:v>
      </x:c>
      <x:c r="J139" s="39" t="n">
        <x:v>0.0964291007</x:v>
      </x:c>
      <x:c r="K139" s="39" t="n">
        <x:v>-0.1476235641</x:v>
      </x:c>
      <x:c r="L139" s="39" t="n">
        <x:v>0.0190924039</x:v>
      </x:c>
      <x:c r="M139" s="39" t="n">
        <x:v>0.1460713242</x:v>
      </x:c>
      <x:c r="N139" s="39" t="n">
        <x:v>-0.0891580291</x:v>
      </x:c>
      <x:c r="O139" s="39" t="n">
        <x:v>0.0237722918</x:v>
      </x:c>
      <x:c r="P139" s="39" t="n">
        <x:v>-0.0990091212</x:v>
      </x:c>
      <x:c r="Q139" s="39" t="n">
        <x:v>0.0080212651</x:v>
      </x:c>
      <x:c r="R139" s="39" t="n">
        <x:v>0.1545405061</x:v>
      </x:c>
      <x:c r="S139" s="39" t="n">
        <x:v>0.0452180847</x:v>
      </x:c>
      <x:c r="T139" s="39" t="n">
        <x:v>0.053039465</x:v>
      </x:c>
      <x:c r="U139" s="39" t="n">
        <x:v>-0.3820943538</x:v>
      </x:c>
      <x:c r="V139" s="39" t="n">
        <x:v>0.2202334351</x:v>
      </x:c>
      <x:c r="W139" s="39" t="n">
        <x:v>0.0715412309</x:v>
      </x:c>
      <x:c r="X139" s="39" t="n">
        <x:v>-0.0132498801</x:v>
      </x:c>
      <x:c r="Y139" s="39" t="n">
        <x:v>-0.0647821626</x:v>
      </x:c>
      <x:c r="Z139" s="39" t="n">
        <x:v>0.0758343427</x:v>
      </x:c>
      <x:c r="AA139" s="39" t="n">
        <x:v>0.0833961913</x:v>
      </x:c>
      <x:c r="AB139" s="39" t="n">
        <x:v>-0.1252097225</x:v>
      </x:c>
      <x:c r="AC139" s="39" t="n">
        <x:v>0.3226516972</x:v>
      </x:c>
      <x:c r="AD139" s="39" t="n">
        <x:v>-0.0004784203</x:v>
      </x:c>
      <x:c r="AE139" s="39" t="n">
        <x:v>-0.3097397541</x:v>
      </x:c>
      <x:c r="AF139" s="39" t="n">
        <x:v>-0.1062110854</x:v>
      </x:c>
      <x:c r="AG139" s="39" t="n">
        <x:v>0.0020425906</x:v>
      </x:c>
      <x:c r="AH139" s="39" t="n">
        <x:v>0.0307405952</x:v>
      </x:c>
      <x:c r="AI139" s="39" t="n">
        <x:v>-0.0230999894</x:v>
      </x:c>
      <x:c r="AJ139" s="39" t="n">
        <x:v>0.0850387321</x:v>
      </x:c>
      <x:c r="AK139" s="39" t="n">
        <x:v>0.0940892737</x:v>
      </x:c>
      <x:c r="AL139" s="39" t="n">
        <x:v>0.1030745134</x:v>
      </x:c>
      <x:c r="AM139" s="39" t="n">
        <x:v>-0.0479557355</x:v>
      </x:c>
      <x:c r="AN139" s="39" t="n">
        <x:v>-0.0991358257</x:v>
      </x:c>
      <x:c r="AO139" s="39" t="n">
        <x:v>0.0452486747</x:v>
      </x:c>
      <x:c r="AP139" s="39" t="n">
        <x:v>-0.0041138645</x:v>
      </x:c>
      <x:c r="AQ139" s="39" t="n">
        <x:v>0.0664293378</x:v>
      </x:c>
      <x:c r="AR139" s="39" t="n">
        <x:v>0.0343560634</x:v>
      </x:c>
      <x:c r="AS139" s="39" t="n">
        <x:v>0.0262233043</x:v>
      </x:c>
    </x:row>
    <x:row r="140" ht="19" customHeight="1">
      <x:c r="A140" s="30" t="str">
        <x:v>Home FX</x:v>
      </x:c>
      <x:c r="B140" s="40" t="d">
        <x:v>2024-09-09T00:00:00.000Z</x:v>
      </x:c>
      <x:c r="C140" s="39" t="n">
        <x:v>0.0875815923</x:v>
      </x:c>
      <x:c r="D140" s="39" t="n">
        <x:v>-0.0893763772</x:v>
      </x:c>
      <x:c r="E140" s="39" t="n">
        <x:v>0.0837391279</x:v>
      </x:c>
      <x:c r="F140" s="39" t="n">
        <x:v>0.0903451188</x:v>
      </x:c>
      <x:c r="G140" s="39" t="n">
        <x:v>0.0161823844</x:v>
      </x:c>
      <x:c r="H140" s="39" t="n">
        <x:v>0.0782893926</x:v>
      </x:c>
      <x:c r="I140" s="39" t="n">
        <x:v>0.0604062481</x:v>
      </x:c>
      <x:c r="J140" s="39" t="n">
        <x:v>0.0587034623</x:v>
      </x:c>
      <x:c r="K140" s="39" t="n">
        <x:v>-0.1099956985</x:v>
      </x:c>
      <x:c r="L140" s="39" t="n">
        <x:v>-0.1276557691</x:v>
      </x:c>
      <x:c r="M140" s="39" t="n">
        <x:v>-0.0264655831</x:v>
      </x:c>
      <x:c r="N140" s="39" t="n">
        <x:v>-0.0409955668</x:v>
      </x:c>
      <x:c r="O140" s="39" t="n">
        <x:v>-0.0077088614</x:v>
      </x:c>
      <x:c r="P140" s="39" t="n">
        <x:v>0.0174982956</x:v>
      </x:c>
      <x:c r="Q140" s="39" t="n">
        <x:v>-0.1916339739</x:v>
      </x:c>
      <x:c r="R140" s="39" t="n">
        <x:v>0.083145805</x:v>
      </x:c>
      <x:c r="S140" s="39" t="n">
        <x:v>0.0560177484</x:v>
      </x:c>
      <x:c r="T140" s="39" t="n">
        <x:v>-0.0548291088</x:v>
      </x:c>
      <x:c r="U140" s="39" t="n">
        <x:v>-0.2799188064</x:v>
      </x:c>
      <x:c r="V140" s="39" t="n">
        <x:v>0.0182977615</x:v>
      </x:c>
      <x:c r="W140" s="39" t="n">
        <x:v>0.0390425571</x:v>
      </x:c>
      <x:c r="X140" s="39" t="n">
        <x:v>-0.0020584718</x:v>
      </x:c>
      <x:c r="Y140" s="39" t="n">
        <x:v>-0.1964659928</x:v>
      </x:c>
      <x:c r="Z140" s="39" t="n">
        <x:v>0.0840986319</x:v>
      </x:c>
      <x:c r="AA140" s="39" t="n">
        <x:v>0.0928319164</x:v>
      </x:c>
      <x:c r="AB140" s="39" t="n">
        <x:v>0.311968602</x:v>
      </x:c>
      <x:c r="AC140" s="39" t="n">
        <x:v>0.037957721</x:v>
      </x:c>
      <x:c r="AD140" s="39" t="n">
        <x:v>0.0421489722</x:v>
      </x:c>
      <x:c r="AE140" s="39" t="n">
        <x:v>0.0197689307</x:v>
      </x:c>
      <x:c r="AF140" s="39" t="n">
        <x:v>-0.0988588814</x:v>
      </x:c>
      <x:c r="AG140" s="39" t="n">
        <x:v>-0.1607932915</x:v>
      </x:c>
      <x:c r="AH140" s="39" t="n">
        <x:v>-0.0341080449</x:v>
      </x:c>
      <x:c r="AI140" s="39" t="n">
        <x:v>0.0290209355</x:v>
      </x:c>
      <x:c r="AJ140" s="39" t="n">
        <x:v>0.0020056816</x:v>
      </x:c>
      <x:c r="AK140" s="39" t="n">
        <x:v>0.1312096277</x:v>
      </x:c>
      <x:c r="AL140" s="39" t="n">
        <x:v>0.0254793222</x:v>
      </x:c>
      <x:c r="AM140" s="39" t="n">
        <x:v>0.0332377336</x:v>
      </x:c>
      <x:c r="AN140" s="39" t="n">
        <x:v>-0.0384251106</x:v>
      </x:c>
      <x:c r="AO140" s="39" t="n">
        <x:v>0.059191121</x:v>
      </x:c>
      <x:c r="AP140" s="39" t="n">
        <x:v>0.0633179919</x:v>
      </x:c>
      <x:c r="AQ140" s="39" t="n">
        <x:v>0.0448874711</x:v>
      </x:c>
      <x:c r="AR140" s="39" t="n">
        <x:v>0.0527353193</x:v>
      </x:c>
      <x:c r="AS140" s="39" t="n">
        <x:v>0.0080904611</x:v>
      </x:c>
    </x:row>
    <x:row r="141" ht="19" customHeight="1">
      <x:c r="A141" s="30" t="str">
        <x:v>Home FX</x:v>
      </x:c>
      <x:c r="B141" s="40" t="d">
        <x:v>2024-10-07T00:00:00.000Z</x:v>
      </x:c>
      <x:c r="C141" s="39" t="n">
        <x:v>0.4532663342</x:v>
      </x:c>
      <x:c r="D141" s="39" t="n">
        <x:v>0.0127385703</x:v>
      </x:c>
      <x:c r="E141" s="39" t="n">
        <x:v>-0.069079886</x:v>
      </x:c>
      <x:c r="F141" s="39" t="n">
        <x:v>0.0325275596</x:v>
      </x:c>
      <x:c r="G141" s="39" t="n">
        <x:v>0.0457800302</x:v>
      </x:c>
      <x:c r="H141" s="39" t="n">
        <x:v>0.0520622051</x:v>
      </x:c>
      <x:c r="I141" s="39" t="n">
        <x:v>0.01465991</x:v>
      </x:c>
      <x:c r="J141" s="39" t="n">
        <x:v>0.2107092553</x:v>
      </x:c>
      <x:c r="K141" s="39" t="n">
        <x:v>0.0697168665</x:v>
      </x:c>
      <x:c r="L141" s="39" t="n">
        <x:v>0.0689989253</x:v>
      </x:c>
      <x:c r="M141" s="39" t="n">
        <x:v>0.1225899876</x:v>
      </x:c>
      <x:c r="N141" s="39" t="n">
        <x:v>0.0699735168</x:v>
      </x:c>
      <x:c r="O141" s="39" t="n">
        <x:v>0.0166493824</x:v>
      </x:c>
      <x:c r="P141" s="39" t="n">
        <x:v>-0.002544963</x:v>
      </x:c>
      <x:c r="Q141" s="39" t="n">
        <x:v>0.0928271443</x:v>
      </x:c>
      <x:c r="R141" s="39" t="n">
        <x:v>0.101755655</x:v>
      </x:c>
      <x:c r="S141" s="39" t="n">
        <x:v>0.0254601056</x:v>
      </x:c>
      <x:c r="T141" s="39" t="n">
        <x:v>0.2047241152</x:v>
      </x:c>
      <x:c r="U141" s="39" t="n">
        <x:v>-0.1867663018</x:v>
      </x:c>
      <x:c r="V141" s="39" t="n">
        <x:v>0.1607553618</x:v>
      </x:c>
      <x:c r="W141" s="39" t="n">
        <x:v>0.0427960956</x:v>
      </x:c>
      <x:c r="X141" s="39" t="n">
        <x:v>0.0587851142</x:v>
      </x:c>
      <x:c r="Y141" s="39" t="n">
        <x:v>0.1888274378</x:v>
      </x:c>
      <x:c r="Z141" s="39" t="n">
        <x:v>0.0128988831</x:v>
      </x:c>
      <x:c r="AA141" s="39" t="n">
        <x:v>-0.005884793</x:v>
      </x:c>
      <x:c r="AB141" s="39" t="n">
        <x:v>0.0533283537</x:v>
      </x:c>
      <x:c r="AC141" s="39" t="n">
        <x:v>0.2505361613</x:v>
      </x:c>
      <x:c r="AD141" s="39" t="n">
        <x:v>-0.0204555989</x:v>
      </x:c>
      <x:c r="AE141" s="39" t="n">
        <x:v>0.0033089085</x:v>
      </x:c>
      <x:c r="AF141" s="39" t="n">
        <x:v>0.2288314718</x:v>
      </x:c>
      <x:c r="AG141" s="39" t="n">
        <x:v>-0.0441187776</x:v>
      </x:c>
      <x:c r="AH141" s="39" t="n">
        <x:v>-0.0097909316</x:v>
      </x:c>
      <x:c r="AI141" s="39" t="n">
        <x:v>0.1149870359</x:v>
      </x:c>
      <x:c r="AJ141" s="39" t="n">
        <x:v>0.0106247272</x:v>
      </x:c>
      <x:c r="AK141" s="39" t="n">
        <x:v>-0.0423350847</x:v>
      </x:c>
      <x:c r="AL141" s="39" t="n">
        <x:v>0.0318295051</x:v>
      </x:c>
      <x:c r="AM141" s="39" t="n">
        <x:v>-0.0397911846</x:v>
      </x:c>
      <x:c r="AN141" s="39" t="n">
        <x:v>0.042563358</x:v>
      </x:c>
      <x:c r="AO141" s="39" t="n">
        <x:v>-0.035284921</x:v>
      </x:c>
      <x:c r="AP141" s="39" t="n">
        <x:v>0.0952045258</x:v>
      </x:c>
      <x:c r="AQ141" s="39" t="n">
        <x:v>-0.030821026</x:v>
      </x:c>
      <x:c r="AR141" s="39" t="n">
        <x:v>-0.0293216618</x:v>
      </x:c>
      <x:c r="AS141" s="39" t="n">
        <x:v>0.0327761941</x:v>
      </x:c>
    </x:row>
    <x:row r="142" ht="19" customHeight="1">
      <x:c r="A142" s="30" t="str">
        <x:v>Home FX</x:v>
      </x:c>
      <x:c r="B142" s="40" t="d">
        <x:v>2024-11-04T00:00:00.000Z</x:v>
      </x:c>
      <x:c r="C142" s="39" t="n">
        <x:v>0.1490706633</x:v>
      </x:c>
      <x:c r="D142" s="39" t="n">
        <x:v>-0.0724849474</x:v>
      </x:c>
      <x:c r="E142" s="39" t="n">
        <x:v>-0.0111455082</x:v>
      </x:c>
      <x:c r="F142" s="39" t="n">
        <x:v>0.1573032157</x:v>
      </x:c>
      <x:c r="G142" s="39" t="n">
        <x:v>0.0606442126</x:v>
      </x:c>
      <x:c r="H142" s="39" t="n">
        <x:v>0.0032622146</x:v>
      </x:c>
      <x:c r="I142" s="39" t="n">
        <x:v>0.1168804394</x:v>
      </x:c>
      <x:c r="J142" s="39" t="n">
        <x:v>0.1266926021</x:v>
      </x:c>
      <x:c r="K142" s="39" t="n">
        <x:v>-0.031550262</x:v>
      </x:c>
      <x:c r="L142" s="39" t="n">
        <x:v>-0.0484996258</x:v>
      </x:c>
      <x:c r="M142" s="39" t="n">
        <x:v>-0.0572578386</x:v>
      </x:c>
      <x:c r="N142" s="39" t="n">
        <x:v>0.0183724332</x:v>
      </x:c>
      <x:c r="O142" s="39" t="n">
        <x:v>0.0409640637</x:v>
      </x:c>
      <x:c r="P142" s="39" t="n">
        <x:v>0.0842621001</x:v>
      </x:c>
      <x:c r="Q142" s="39" t="n">
        <x:v>-0.0350743083</x:v>
      </x:c>
      <x:c r="R142" s="39" t="n">
        <x:v>-0.1588063417</x:v>
      </x:c>
      <x:c r="S142" s="39" t="n">
        <x:v>0.021091818</x:v>
      </x:c>
      <x:c r="T142" s="39" t="n">
        <x:v>-0.0287834534</x:v>
      </x:c>
      <x:c r="U142" s="39" t="n">
        <x:v>-0.2621267668</x:v>
      </x:c>
      <x:c r="V142" s="39" t="n">
        <x:v>0.3914608248</x:v>
      </x:c>
      <x:c r="W142" s="39" t="n">
        <x:v>0.1140842444</x:v>
      </x:c>
      <x:c r="X142" s="39" t="n">
        <x:v>0.0745386502</x:v>
      </x:c>
      <x:c r="Y142" s="39" t="n">
        <x:v>0.0545130426</x:v>
      </x:c>
      <x:c r="Z142" s="39" t="n">
        <x:v>-0.2238886542</x:v>
      </x:c>
      <x:c r="AA142" s="39" t="n">
        <x:v>0.0345130241</x:v>
      </x:c>
      <x:c r="AB142" s="39" t="n">
        <x:v>0.0290742273</x:v>
      </x:c>
      <x:c r="AC142" s="39" t="n">
        <x:v>0.6512574116</x:v>
      </x:c>
      <x:c r="AD142" s="39" t="n">
        <x:v>-0.0168732248</x:v>
      </x:c>
      <x:c r="AE142" s="39" t="n">
        <x:v>0.0437644624</x:v>
      </x:c>
      <x:c r="AF142" s="39" t="n">
        <x:v>0.0768461422</x:v>
      </x:c>
      <x:c r="AG142" s="39" t="n">
        <x:v>0.0052216442</x:v>
      </x:c>
      <x:c r="AH142" s="39" t="n">
        <x:v>-0.2955311892</x:v>
      </x:c>
      <x:c r="AI142" s="39" t="n">
        <x:v>-0.1513975276</x:v>
      </x:c>
      <x:c r="AJ142" s="39" t="n">
        <x:v>-0.1366488016</x:v>
      </x:c>
      <x:c r="AK142" s="39" t="n">
        <x:v>0.118485499</x:v>
      </x:c>
      <x:c r="AL142" s="39" t="n">
        <x:v>0.0509584228</x:v>
      </x:c>
      <x:c r="AM142" s="39" t="n">
        <x:v>0.0177578671</x:v>
      </x:c>
      <x:c r="AN142" s="39" t="n">
        <x:v>0.1060047048</x:v>
      </x:c>
      <x:c r="AO142" s="39" t="n">
        <x:v>0.0731768811</x:v>
      </x:c>
      <x:c r="AP142" s="39" t="n">
        <x:v>-0.0175709363</x:v>
      </x:c>
      <x:c r="AQ142" s="39" t="n">
        <x:v>-0.1014241351</x:v>
      </x:c>
      <x:c r="AR142" s="39" t="n">
        <x:v>-0.0452687556</x:v>
      </x:c>
      <x:c r="AS142" s="39" t="n">
        <x:v>0.0082974137</x:v>
      </x:c>
    </x:row>
    <x:row r="143" ht="19" customHeight="1">
      <x:c r="A143" s="30" t="str">
        <x:v>Home FX</x:v>
      </x:c>
      <x:c r="B143" s="40" t="d">
        <x:v>2024-12-02T00:00:00.000Z</x:v>
      </x:c>
      <x:c r="C143" s="39" t="n">
        <x:v>0.145643113</x:v>
      </x:c>
      <x:c r="D143" s="39" t="n">
        <x:v>0.14748253</x:v>
      </x:c>
      <x:c r="E143" s="39" t="n">
        <x:v>-0.0069486324</x:v>
      </x:c>
      <x:c r="F143" s="39" t="n">
        <x:v>0.0306564655</x:v>
      </x:c>
      <x:c r="G143" s="39" t="n">
        <x:v>0.199826129</x:v>
      </x:c>
      <x:c r="H143" s="39" t="n">
        <x:v>0.1289860156</x:v>
      </x:c>
      <x:c r="I143" s="39" t="n">
        <x:v>0.105266508</x:v>
      </x:c>
      <x:c r="J143" s="39" t="n">
        <x:v>0.0894795271</x:v>
      </x:c>
      <x:c r="K143" s="39" t="n">
        <x:v>-0.0626820812</x:v>
      </x:c>
      <x:c r="L143" s="39" t="n">
        <x:v>-0.0376396998</x:v>
      </x:c>
      <x:c r="M143" s="39" t="n">
        <x:v>0.0738556799</x:v>
      </x:c>
      <x:c r="N143" s="39" t="n">
        <x:v>0.0040867037</x:v>
      </x:c>
      <x:c r="O143" s="39" t="n">
        <x:v>0.0352941855</x:v>
      </x:c>
      <x:c r="P143" s="39" t="n">
        <x:v>0.0252083045</x:v>
      </x:c>
      <x:c r="Q143" s="39" t="n">
        <x:v>0.0850276512</x:v>
      </x:c>
      <x:c r="R143" s="39" t="n">
        <x:v>0.0515677147</x:v>
      </x:c>
      <x:c r="S143" s="39" t="n">
        <x:v>0.0716797275</x:v>
      </x:c>
      <x:c r="T143" s="39" t="n">
        <x:v>0.2591987038</x:v>
      </x:c>
      <x:c r="U143" s="39" t="n">
        <x:v>-0.0636173406</x:v>
      </x:c>
      <x:c r="V143" s="39" t="n">
        <x:v>0.1592403213</x:v>
      </x:c>
      <x:c r="W143" s="39" t="n">
        <x:v>0.196588571</x:v>
      </x:c>
      <x:c r="X143" s="39" t="n">
        <x:v>-0.021203712</x:v>
      </x:c>
      <x:c r="Y143" s="39" t="n">
        <x:v>-0.1224195885</x:v>
      </x:c>
      <x:c r="Z143" s="39" t="n">
        <x:v>-0.1036705042</x:v>
      </x:c>
      <x:c r="AA143" s="39" t="n">
        <x:v>-0.0327586547</x:v>
      </x:c>
      <x:c r="AB143" s="39" t="n">
        <x:v>-0.2792153847</x:v>
      </x:c>
      <x:c r="AC143" s="39" t="n">
        <x:v>-0.0589827864</x:v>
      </x:c>
      <x:c r="AD143" s="39" t="n">
        <x:v>0.0434573879</x:v>
      </x:c>
      <x:c r="AE143" s="39" t="n">
        <x:v>-0.0520229978</x:v>
      </x:c>
      <x:c r="AF143" s="39" t="n">
        <x:v>0.1009314758</x:v>
      </x:c>
      <x:c r="AG143" s="39" t="n">
        <x:v>0.0178825154</x:v>
      </x:c>
      <x:c r="AH143" s="39" t="n">
        <x:v>-0.0832611508</x:v>
      </x:c>
      <x:c r="AI143" s="39" t="n">
        <x:v>-0.0793690086</x:v>
      </x:c>
      <x:c r="AJ143" s="39" t="n">
        <x:v>-0.0050648751</x:v>
      </x:c>
      <x:c r="AK143" s="39" t="n">
        <x:v>-0.0555536002</x:v>
      </x:c>
      <x:c r="AL143" s="39" t="n">
        <x:v>-0.097218127</x:v>
      </x:c>
      <x:c r="AM143" s="39" t="n">
        <x:v>0.0614155274</x:v>
      </x:c>
      <x:c r="AN143" s="39" t="n">
        <x:v>-0.0250421203</x:v>
      </x:c>
      <x:c r="AO143" s="39" t="n">
        <x:v>0.0612363493</x:v>
      </x:c>
      <x:c r="AP143" s="39" t="n">
        <x:v>0.0802884988</x:v>
      </x:c>
      <x:c r="AQ143" s="39" t="n">
        <x:v>-0.0175241795</x:v>
      </x:c>
      <x:c r="AR143" s="39" t="n">
        <x:v>-0.0393917829</x:v>
      </x:c>
      <x:c r="AS143" s="39" t="n">
        <x:v>0.0184397535</x:v>
      </x:c>
    </x:row>
    <x:row r="144" ht="19" customHeight="1">
      <x:c r="A144" s="30" t="str">
        <x:v>Home FX</x:v>
      </x:c>
      <x:c r="B144" s="40" t="d">
        <x:v>2024-12-30T00:00:00.000Z</x:v>
      </x:c>
      <x:c r="C144" s="39" t="n">
        <x:v>0.0201833873</x:v>
      </x:c>
      <x:c r="D144" s="39" t="n">
        <x:v>-0.0599227315</x:v>
      </x:c>
      <x:c r="E144" s="39" t="n">
        <x:v>-0.0498247688</x:v>
      </x:c>
      <x:c r="F144" s="39" t="n">
        <x:v>0.0145417574</x:v>
      </x:c>
      <x:c r="G144" s="39" t="n">
        <x:v>-0.0547750951</x:v>
      </x:c>
      <x:c r="H144" s="39" t="n">
        <x:v>-0.1123174597</x:v>
      </x:c>
      <x:c r="I144" s="39" t="n">
        <x:v>-0.015504724</x:v>
      </x:c>
      <x:c r="J144" s="39" t="n">
        <x:v>-0.1263334547</x:v>
      </x:c>
      <x:c r="K144" s="39" t="n">
        <x:v>-0.0644487042</x:v>
      </x:c>
      <x:c r="L144" s="39" t="n">
        <x:v>-0.0699383844</x:v>
      </x:c>
      <x:c r="M144" s="39" t="n">
        <x:v>0.0009745108</x:v>
      </x:c>
      <x:c r="N144" s="39" t="n">
        <x:v>0.0270701528</x:v>
      </x:c>
      <x:c r="O144" s="39" t="n">
        <x:v>-0.1137133124</x:v>
      </x:c>
      <x:c r="P144" s="39" t="n">
        <x:v>-0.1277122364</x:v>
      </x:c>
      <x:c r="Q144" s="39" t="n">
        <x:v>0.0799800683</x:v>
      </x:c>
      <x:c r="R144" s="39" t="n">
        <x:v>-0.1446113991</x:v>
      </x:c>
      <x:c r="S144" s="39" t="n">
        <x:v>0.0002448284</x:v>
      </x:c>
      <x:c r="T144" s="39" t="n">
        <x:v>0.0191499644</x:v>
      </x:c>
      <x:c r="U144" s="39" t="n">
        <x:v>-0.0642861455</x:v>
      </x:c>
      <x:c r="V144" s="39" t="n">
        <x:v>-0.1658379577</x:v>
      </x:c>
      <x:c r="W144" s="39" t="n">
        <x:v>-0.0728589504</x:v>
      </x:c>
      <x:c r="X144" s="39" t="n">
        <x:v>-0.167285017</x:v>
      </x:c>
      <x:c r="Y144" s="39" t="n">
        <x:v>-0.1442788074</x:v>
      </x:c>
      <x:c r="Z144" s="39" t="n">
        <x:v>-0.0933303113</x:v>
      </x:c>
      <x:c r="AA144" s="39" t="n">
        <x:v>-0.0612025311</x:v>
      </x:c>
      <x:c r="AB144" s="39" t="n">
        <x:v>-0.022869397</x:v>
      </x:c>
      <x:c r="AC144" s="39" t="n">
        <x:v>-0.2287837283</x:v>
      </x:c>
      <x:c r="AD144" s="39" t="n">
        <x:v>-0.0631696519</x:v>
      </x:c>
      <x:c r="AE144" s="39" t="n">
        <x:v>-0.0761358315</x:v>
      </x:c>
      <x:c r="AF144" s="39" t="n">
        <x:v>-0.1070318533</x:v>
      </x:c>
      <x:c r="AG144" s="39" t="n">
        <x:v>0.1215819783</x:v>
      </x:c>
      <x:c r="AH144" s="39" t="n">
        <x:v>0.0008516519</x:v>
      </x:c>
      <x:c r="AI144" s="39" t="n">
        <x:v>-0.1234768408</x:v>
      </x:c>
      <x:c r="AJ144" s="39" t="n">
        <x:v>-0.0685121992</x:v>
      </x:c>
      <x:c r="AK144" s="39" t="n">
        <x:v>-0.0531659616</x:v>
      </x:c>
      <x:c r="AL144" s="39" t="n">
        <x:v>0.0616488713</x:v>
      </x:c>
      <x:c r="AM144" s="39" t="n">
        <x:v>-0.057465775</x:v>
      </x:c>
      <x:c r="AN144" s="39" t="n">
        <x:v>0.1162940085</x:v>
      </x:c>
      <x:c r="AO144" s="39" t="n">
        <x:v>-0.0981509447</x:v>
      </x:c>
      <x:c r="AP144" s="39" t="n">
        <x:v>-0.1267699825</x:v>
      </x:c>
      <x:c r="AQ144" s="39" t="n">
        <x:v>-0.015460551</x:v>
      </x:c>
      <x:c r="AR144" s="39" t="n">
        <x:v>-0.0429768267</x:v>
      </x:c>
      <x:c r="AS144" s="39" t="n">
        <x:v>-0.0451638363</x:v>
      </x:c>
    </x:row>
    <x:row r="145" ht="19" customHeight="1">
      <x:c r="A145" s="30" t="str">
        <x:v>Home FX</x:v>
      </x:c>
      <x:c r="B145" s="40" t="d">
        <x:v>2025-01-27T00:00:00.000Z</x:v>
      </x:c>
      <x:c r="C145" s="39" t="n">
        <x:v>0.0428795193</x:v>
      </x:c>
      <x:c r="D145" s="39" t="n">
        <x:v>-0.0402676341</x:v>
      </x:c>
      <x:c r="E145" s="39" t="n">
        <x:v>0.0828228407</x:v>
      </x:c>
      <x:c r="F145" s="39" t="n">
        <x:v>0.0696980512</x:v>
      </x:c>
      <x:c r="G145" s="39" t="n">
        <x:v>0.0211710296</x:v>
      </x:c>
      <x:c r="H145" s="39" t="n">
        <x:v>-0.0285719185</x:v>
      </x:c>
      <x:c r="I145" s="39" t="n">
        <x:v>0.0729906749</x:v>
      </x:c>
      <x:c r="J145" s="39" t="n">
        <x:v>-0.0333020262</x:v>
      </x:c>
      <x:c r="K145" s="39" t="n">
        <x:v>0.0043810958</x:v>
      </x:c>
      <x:c r="L145" s="39" t="n">
        <x:v>0.0950712859</x:v>
      </x:c>
      <x:c r="M145" s="39" t="n">
        <x:v>0.0511574144</x:v>
      </x:c>
      <x:c r="N145" s="39" t="n">
        <x:v>0.1147631296</x:v>
      </x:c>
      <x:c r="O145" s="39" t="n">
        <x:v>0.1576476641</x:v>
      </x:c>
      <x:c r="P145" s="39" t="n">
        <x:v>0.0204979009</x:v>
      </x:c>
      <x:c r="Q145" s="39" t="n">
        <x:v>-0.1047622376</x:v>
      </x:c>
      <x:c r="R145" s="39" t="n">
        <x:v>0.1867518194</x:v>
      </x:c>
      <x:c r="S145" s="39" t="n">
        <x:v>0.021414035</x:v>
      </x:c>
      <x:c r="T145" s="39" t="n">
        <x:v>0.2343025772</x:v>
      </x:c>
      <x:c r="U145" s="39" t="n">
        <x:v>-0.0845350705</x:v>
      </x:c>
      <x:c r="V145" s="39" t="n">
        <x:v>0.1019646312</x:v>
      </x:c>
      <x:c r="W145" s="39" t="n">
        <x:v>0.128822754</x:v>
      </x:c>
      <x:c r="X145" s="39" t="n">
        <x:v>-0.1301399023</x:v>
      </x:c>
      <x:c r="Y145" s="39" t="n">
        <x:v>0.0188989376</x:v>
      </x:c>
      <x:c r="Z145" s="39" t="n">
        <x:v>0.142643389</x:v>
      </x:c>
      <x:c r="AA145" s="39" t="n">
        <x:v>0.0453909945</x:v>
      </x:c>
      <x:c r="AB145" s="39" t="n">
        <x:v>-0.5452064138</x:v>
      </x:c>
      <x:c r="AC145" s="39" t="n">
        <x:v>0.0128966789</x:v>
      </x:c>
      <x:c r="AD145" s="39" t="n">
        <x:v>0.0140827853</x:v>
      </x:c>
      <x:c r="AE145" s="39" t="n">
        <x:v>0.0250342509</x:v>
      </x:c>
      <x:c r="AF145" s="39" t="n">
        <x:v>-0.0365979481</x:v>
      </x:c>
      <x:c r="AG145" s="39" t="n">
        <x:v>0.047748589</x:v>
      </x:c>
      <x:c r="AH145" s="39" t="n">
        <x:v>0.0595295672</x:v>
      </x:c>
      <x:c r="AI145" s="39" t="n">
        <x:v>-0.0975731981</x:v>
      </x:c>
      <x:c r="AJ145" s="39" t="n">
        <x:v>0.0456417036</x:v>
      </x:c>
      <x:c r="AK145" s="39" t="n">
        <x:v>0.1015897426</x:v>
      </x:c>
      <x:c r="AL145" s="39" t="n">
        <x:v>0.0130365751</x:v>
      </x:c>
      <x:c r="AM145" s="39" t="n">
        <x:v>-0.024703866</x:v>
      </x:c>
      <x:c r="AN145" s="39" t="n">
        <x:v>0.0772201712</x:v>
      </x:c>
      <x:c r="AO145" s="39" t="n">
        <x:v>0.0834206066</x:v>
      </x:c>
      <x:c r="AP145" s="39" t="n">
        <x:v>0.0711189905</x:v>
      </x:c>
      <x:c r="AQ145" s="39" t="n">
        <x:v>0.0345155712</x:v>
      </x:c>
      <x:c r="AR145" s="39" t="n">
        <x:v>0.0671241245</x:v>
      </x:c>
      <x:c r="AS145" s="39" t="n">
        <x:v>0.0409370448</x:v>
      </x:c>
    </x:row>
    <x:row r="146" ht="19" customHeight="1">
      <x:c r="A146" s="30" t="str">
        <x:v>Home FX</x:v>
      </x:c>
      <x:c r="B146" s="40" t="d">
        <x:v>2025-02-24T00:00:00.000Z</x:v>
      </x:c>
      <x:c r="C146" s="39" t="n">
        <x:v>-0.2899232366</x:v>
      </x:c>
      <x:c r="D146" s="39" t="n">
        <x:v>-0.1130026692</x:v>
      </x:c>
      <x:c r="E146" s="39" t="n">
        <x:v>0.1071643417</x:v>
      </x:c>
      <x:c r="F146" s="39" t="n">
        <x:v>0.1030463009</x:v>
      </x:c>
      <x:c r="G146" s="39" t="n">
        <x:v>0.0082651546</x:v>
      </x:c>
      <x:c r="H146" s="39" t="n">
        <x:v>-0.0988580563</x:v>
      </x:c>
      <x:c r="I146" s="39" t="n">
        <x:v>-0.1431847245</x:v>
      </x:c>
      <x:c r="J146" s="39" t="n">
        <x:v>-0.2331734418</x:v>
      </x:c>
      <x:c r="K146" s="39" t="n">
        <x:v>0.0022203783</x:v>
      </x:c>
      <x:c r="L146" s="39" t="n">
        <x:v>-0.0218098367</x:v>
      </x:c>
      <x:c r="M146" s="39" t="n">
        <x:v>-0.1561028139</x:v>
      </x:c>
      <x:c r="N146" s="39" t="n">
        <x:v>-0.0116502229</x:v>
      </x:c>
      <x:c r="O146" s="39" t="n">
        <x:v>-0.0161941939</x:v>
      </x:c>
      <x:c r="P146" s="39" t="n">
        <x:v>-0.0077188365</x:v>
      </x:c>
      <x:c r="Q146" s="39" t="n">
        <x:v>0.2167166816</x:v>
      </x:c>
      <x:c r="R146" s="39" t="n">
        <x:v>0.0411672056</x:v>
      </x:c>
      <x:c r="S146" s="39" t="n">
        <x:v>0.0891846746</x:v>
      </x:c>
      <x:c r="T146" s="39" t="n">
        <x:v>0.0616383536</x:v>
      </x:c>
      <x:c r="U146" s="39" t="n">
        <x:v>-0.306056108</x:v>
      </x:c>
      <x:c r="V146" s="39" t="n">
        <x:v>-0.2665224162</x:v>
      </x:c>
      <x:c r="W146" s="39" t="n">
        <x:v>0.0049191969</x:v>
      </x:c>
      <x:c r="X146" s="39" t="n">
        <x:v>0.0809171361</x:v>
      </x:c>
      <x:c r="Y146" s="39" t="n">
        <x:v>0.0327589334</x:v>
      </x:c>
      <x:c r="Z146" s="39" t="n">
        <x:v>0.003553688</x:v>
      </x:c>
      <x:c r="AA146" s="39" t="n">
        <x:v>0.170764625</x:v>
      </x:c>
      <x:c r="AB146" s="39" t="n">
        <x:v>-0.3566414444</x:v>
      </x:c>
      <x:c r="AC146" s="39" t="n">
        <x:v>0.037118538</x:v>
      </x:c>
      <x:c r="AD146" s="39" t="n">
        <x:v>0.0585410271</x:v>
      </x:c>
      <x:c r="AE146" s="39" t="n">
        <x:v>-0.0276882779</x:v>
      </x:c>
      <x:c r="AF146" s="39" t="n">
        <x:v>-0.0853166164</x:v>
      </x:c>
      <x:c r="AG146" s="39" t="n">
        <x:v>-0.0136379223</x:v>
      </x:c>
      <x:c r="AH146" s="39" t="n">
        <x:v>-0.1376515257</x:v>
      </x:c>
      <x:c r="AI146" s="39" t="n">
        <x:v>-0.1892631504</x:v>
      </x:c>
      <x:c r="AJ146" s="39" t="n">
        <x:v>0.1626880389</x:v>
      </x:c>
      <x:c r="AK146" s="39" t="n">
        <x:v>0.1546200799</x:v>
      </x:c>
      <x:c r="AL146" s="39" t="n">
        <x:v>0.0439009057</x:v>
      </x:c>
      <x:c r="AM146" s="39" t="n">
        <x:v>-0.0538548579</x:v>
      </x:c>
      <x:c r="AN146" s="39" t="n">
        <x:v>-0.2290240495</x:v>
      </x:c>
      <x:c r="AO146" s="39" t="n">
        <x:v>0.0872834199</x:v>
      </x:c>
      <x:c r="AP146" s="39" t="n">
        <x:v>-0.04820159</x:v>
      </x:c>
      <x:c r="AQ146" s="39" t="n">
        <x:v>0.1455784897</x:v>
      </x:c>
      <x:c r="AR146" s="39" t="n">
        <x:v>0.1129733314</x:v>
      </x:c>
      <x:c r="AS146" s="39" t="n">
        <x:v>0.1165473929</x:v>
      </x:c>
    </x:row>
    <x:row r="147" ht="19" customHeight="1">
      <x:c r="A147" s="30" t="str">
        <x:v>Home FX</x:v>
      </x:c>
      <x:c r="B147" s="40" t="d">
        <x:v>2025-03-24T00:00:00.000Z</x:v>
      </x:c>
      <x:c r="C147" s="39" t="n">
        <x:v>-0.1465156714</x:v>
      </x:c>
      <x:c r="D147" s="39" t="n">
        <x:v>-0.1222623078</x:v>
      </x:c>
      <x:c r="E147" s="39" t="n">
        <x:v>0.0109784565</x:v>
      </x:c>
      <x:c r="F147" s="39" t="n">
        <x:v>-0.0434024164</x:v>
      </x:c>
      <x:c r="G147" s="39" t="n">
        <x:v>-0.1911425805</x:v>
      </x:c>
      <x:c r="H147" s="39" t="n">
        <x:v>-0.1004878692</x:v>
      </x:c>
      <x:c r="I147" s="39" t="n">
        <x:v>-0.1242080967</x:v>
      </x:c>
      <x:c r="J147" s="39" t="n">
        <x:v>-0.1451858668</x:v>
      </x:c>
      <x:c r="K147" s="39" t="n">
        <x:v>-0.31263103</x:v>
      </x:c>
      <x:c r="L147" s="39" t="n">
        <x:v>0.0073502252</x:v>
      </x:c>
      <x:c r="M147" s="39" t="n">
        <x:v>-0.0588977273</x:v>
      </x:c>
      <x:c r="N147" s="39" t="n">
        <x:v>-0.0571413238</x:v>
      </x:c>
      <x:c r="O147" s="39" t="n">
        <x:v>-0.0537209707</x:v>
      </x:c>
      <x:c r="P147" s="39" t="n">
        <x:v>-0.2391581092</x:v>
      </x:c>
      <x:c r="Q147" s="39" t="n">
        <x:v>-0.0684893436</x:v>
      </x:c>
      <x:c r="R147" s="39" t="n">
        <x:v>-0.2908460718</x:v>
      </x:c>
      <x:c r="S147" s="39" t="n">
        <x:v>0.048425377</x:v>
      </x:c>
      <x:c r="T147" s="39" t="n">
        <x:v>-0.3013909298</x:v>
      </x:c>
      <x:c r="U147" s="39" t="n">
        <x:v>0.0066232649</x:v>
      </x:c>
      <x:c r="V147" s="39" t="n">
        <x:v>0.0157079758</x:v>
      </x:c>
      <x:c r="W147" s="39" t="n">
        <x:v>-0.0627132076</x:v>
      </x:c>
      <x:c r="X147" s="39" t="n">
        <x:v>0.0262304711</x:v>
      </x:c>
      <x:c r="Y147" s="39" t="n">
        <x:v>-0.0732730679</x:v>
      </x:c>
      <x:c r="Z147" s="39" t="n">
        <x:v>0.155875248</x:v>
      </x:c>
      <x:c r="AA147" s="39" t="n">
        <x:v>-0.0143872488</x:v>
      </x:c>
      <x:c r="AB147" s="39" t="n">
        <x:v>0.2675860791</x:v>
      </x:c>
      <x:c r="AC147" s="39" t="n">
        <x:v>-0.4413056163</x:v>
      </x:c>
      <x:c r="AD147" s="39" t="n">
        <x:v>-0.0436771268</x:v>
      </x:c>
      <x:c r="AE147" s="39" t="n">
        <x:v>0.0226712659</x:v>
      </x:c>
      <x:c r="AF147" s="39" t="n">
        <x:v>-0.2810942217</x:v>
      </x:c>
      <x:c r="AG147" s="39" t="n">
        <x:v>-0.009749272</x:v>
      </x:c>
      <x:c r="AH147" s="39" t="n">
        <x:v>0.2010542091</x:v>
      </x:c>
      <x:c r="AI147" s="39" t="n">
        <x:v>0.0425216349</x:v>
      </x:c>
      <x:c r="AJ147" s="39" t="n">
        <x:v>-0.1448046283</x:v>
      </x:c>
      <x:c r="AK147" s="39" t="n">
        <x:v>-0.0007534821</x:v>
      </x:c>
      <x:c r="AL147" s="39" t="n">
        <x:v>0.064671577</x:v>
      </x:c>
      <x:c r="AM147" s="39" t="n">
        <x:v>-0.060265151</x:v>
      </x:c>
      <x:c r="AN147" s="39" t="n">
        <x:v>-0.1248916986</x:v>
      </x:c>
      <x:c r="AO147" s="39" t="n">
        <x:v>-0.1547038444</x:v>
      </x:c>
      <x:c r="AP147" s="39" t="n">
        <x:v>-0.1229008596</x:v>
      </x:c>
      <x:c r="AQ147" s="39" t="n">
        <x:v>-0.0057998194</x:v>
      </x:c>
      <x:c r="AR147" s="39" t="n">
        <x:v>-0.01024054</x:v>
      </x:c>
      <x:c r="AS147" s="39" t="n">
        <x:v>0.0308347951</x:v>
      </x:c>
    </x:row>
    <x:row r="148" ht="19" customHeight="1">
      <x:c r="A148" s="30" t="str">
        <x:v>Home FX</x:v>
      </x:c>
      <x:c r="B148" s="40" t="d">
        <x:v>2025-04-21T00:00:00.000Z</x:v>
      </x:c>
      <x:c r="C148" s="39" t="n">
        <x:v>0.080540274</x:v>
      </x:c>
      <x:c r="D148" s="39" t="n">
        <x:v>-0.0265181883</x:v>
      </x:c>
      <x:c r="E148" s="39" t="n">
        <x:v>-0.0026830917</x:v>
      </x:c>
      <x:c r="F148" s="39" t="n">
        <x:v>0.0030837883</x:v>
      </x:c>
      <x:c r="G148" s="39" t="n">
        <x:v>-0.1078551336</x:v>
      </x:c>
      <x:c r="H148" s="39" t="n">
        <x:v>0.0479328538</x:v>
      </x:c>
      <x:c r="I148" s="39" t="n">
        <x:v>-0.0254688785</x:v>
      </x:c>
      <x:c r="J148" s="39" t="n">
        <x:v>0.2657570686</x:v>
      </x:c>
      <x:c r="K148" s="39" t="n">
        <x:v>-0.1807686509</x:v>
      </x:c>
      <x:c r="L148" s="39" t="n">
        <x:v>-0.1873878546</x:v>
      </x:c>
      <x:c r="M148" s="39" t="n">
        <x:v>0.0180599246</x:v>
      </x:c>
      <x:c r="N148" s="39" t="n">
        <x:v>0.0195336313</x:v>
      </x:c>
      <x:c r="O148" s="39" t="n">
        <x:v>0.0200032758</x:v>
      </x:c>
      <x:c r="P148" s="39" t="n">
        <x:v>0.0051229803</x:v>
      </x:c>
      <x:c r="Q148" s="39" t="n">
        <x:v>0.0183558218</x:v>
      </x:c>
      <x:c r="R148" s="39" t="n">
        <x:v>-0.1374266054</x:v>
      </x:c>
      <x:c r="S148" s="39" t="n">
        <x:v>0.0201198209</x:v>
      </x:c>
      <x:c r="T148" s="39" t="n">
        <x:v>0.0671825275</x:v>
      </x:c>
      <x:c r="U148" s="39" t="n">
        <x:v>-0.1744888778</x:v>
      </x:c>
      <x:c r="V148" s="39" t="n">
        <x:v>0.1577277295</x:v>
      </x:c>
      <x:c r="W148" s="39" t="n">
        <x:v>0.2152000235</x:v>
      </x:c>
      <x:c r="X148" s="39" t="n">
        <x:v>-0.0888117054</x:v>
      </x:c>
      <x:c r="Y148" s="39" t="n">
        <x:v>-0.1325951182</x:v>
      </x:c>
      <x:c r="Z148" s="39" t="n">
        <x:v>0.1498689352</x:v>
      </x:c>
      <x:c r="AA148" s="39" t="n">
        <x:v>-0.0659216889</x:v>
      </x:c>
      <x:c r="AB148" s="39" t="n">
        <x:v>-0.2791115586</x:v>
      </x:c>
      <x:c r="AC148" s="39" t="n">
        <x:v>0.0377511937</x:v>
      </x:c>
      <x:c r="AD148" s="39" t="n">
        <x:v>-0.0474341591</x:v>
      </x:c>
      <x:c r="AE148" s="39" t="n">
        <x:v>0.0422106436</x:v>
      </x:c>
      <x:c r="AF148" s="39" t="n">
        <x:v>0.0366189572</x:v>
      </x:c>
      <x:c r="AG148" s="39" t="n">
        <x:v>0.0344298955</x:v>
      </x:c>
      <x:c r="AH148" s="39" t="n">
        <x:v>0.1253443443</x:v>
      </x:c>
      <x:c r="AI148" s="39" t="n">
        <x:v>-0.0857028837</x:v>
      </x:c>
      <x:c r="AJ148" s="39" t="n">
        <x:v>0.094747337</x:v>
      </x:c>
      <x:c r="AK148" s="39" t="n">
        <x:v>-0.0560594225</x:v>
      </x:c>
      <x:c r="AL148" s="39" t="n">
        <x:v>-0.0961814611</x:v>
      </x:c>
      <x:c r="AM148" s="39" t="n">
        <x:v>0.0441382706</x:v>
      </x:c>
      <x:c r="AN148" s="39" t="n">
        <x:v>0.0628844542</x:v>
      </x:c>
      <x:c r="AO148" s="39" t="n">
        <x:v>0.0649373481</x:v>
      </x:c>
      <x:c r="AP148" s="39" t="n">
        <x:v>-0.0020755714</x:v>
      </x:c>
      <x:c r="AQ148" s="39" t="n">
        <x:v>0.0282109438</x:v>
      </x:c>
      <x:c r="AR148" s="39" t="n">
        <x:v>-0.0747805456</x:v>
      </x:c>
      <x:c r="AS148" s="39" t="n">
        <x:v>0.0114628689</x:v>
      </x:c>
    </x:row>
    <x:row r="149" ht="19" customHeight="1">
      <x:c r="A149" s="30" t="str">
        <x:v>Home FX</x:v>
      </x:c>
      <x:c r="B149" s="40" t="d">
        <x:v>2025-05-19T00:00:00.000Z</x:v>
      </x:c>
      <x:c r="C149" s="39" t="n">
        <x:v>0.293747019</x:v>
      </x:c>
      <x:c r="D149" s="39" t="n">
        <x:v>0.0101192952</x:v>
      </x:c>
      <x:c r="E149" s="39" t="n">
        <x:v>-0.0369429239</x:v>
      </x:c>
      <x:c r="F149" s="39" t="n">
        <x:v>-0.0187145081</x:v>
      </x:c>
      <x:c r="G149" s="39" t="n">
        <x:v>0.2577412466</x:v>
      </x:c>
      <x:c r="H149" s="39" t="n">
        <x:v>-0.0296836403</x:v>
      </x:c>
      <x:c r="I149" s="39" t="n">
        <x:v>0.081361757</x:v>
      </x:c>
      <x:c r="J149" s="39" t="n">
        <x:v>0.2271533367</x:v>
      </x:c>
      <x:c r="K149" s="39" t="n">
        <x:v>0.2566924175</x:v>
      </x:c>
      <x:c r="L149" s="39" t="n">
        <x:v>0.1714280134</x:v>
      </x:c>
      <x:c r="M149" s="39" t="n">
        <x:v>0.172495835</x:v>
      </x:c>
      <x:c r="N149" s="39" t="n">
        <x:v>0.1400343184</x:v>
      </x:c>
      <x:c r="O149" s="39" t="n">
        <x:v>0.0956950607</x:v>
      </x:c>
      <x:c r="P149" s="39" t="n">
        <x:v>0.2741415759</x:v>
      </x:c>
      <x:c r="Q149" s="39" t="n">
        <x:v>-0.0285741969</x:v>
      </x:c>
      <x:c r="R149" s="39" t="n">
        <x:v>-0.1242909142</x:v>
      </x:c>
      <x:c r="S149" s="39" t="n">
        <x:v>0.0853746288</x:v>
      </x:c>
      <x:c r="T149" s="39" t="n">
        <x:v>0.35295489</x:v>
      </x:c>
      <x:c r="U149" s="39" t="n">
        <x:v>-0.0474537318</x:v>
      </x:c>
      <x:c r="V149" s="39" t="n">
        <x:v>0.2533716511</x:v>
      </x:c>
      <x:c r="W149" s="39" t="n">
        <x:v>0.096971258</x:v>
      </x:c>
      <x:c r="X149" s="39" t="n">
        <x:v>0.0239533188</x:v>
      </x:c>
      <x:c r="Y149" s="39" t="n">
        <x:v>0.207891027</x:v>
      </x:c>
      <x:c r="Z149" s="39" t="n">
        <x:v>-0.0071247884</x:v>
      </x:c>
      <x:c r="AA149" s="39" t="n">
        <x:v>0.0599133428</x:v>
      </x:c>
      <x:c r="AB149" s="39" t="n">
        <x:v>0.1081032808</x:v>
      </x:c>
      <x:c r="AC149" s="39" t="n">
        <x:v>-0.0962746805</x:v>
      </x:c>
      <x:c r="AD149" s="39" t="n">
        <x:v>0.0391408264</x:v>
      </x:c>
      <x:c r="AE149" s="39" t="n">
        <x:v>0.0606120069</x:v>
      </x:c>
      <x:c r="AF149" s="39" t="n">
        <x:v>0.0927023056</x:v>
      </x:c>
      <x:c r="AG149" s="39" t="n">
        <x:v>0.1698915754</x:v>
      </x:c>
      <x:c r="AH149" s="39" t="n">
        <x:v>-0.0076814064</x:v>
      </x:c>
      <x:c r="AI149" s="39" t="n">
        <x:v>0.1747190667</x:v>
      </x:c>
      <x:c r="AJ149" s="39" t="n">
        <x:v>-0.2809064427</x:v>
      </x:c>
      <x:c r="AK149" s="39" t="n">
        <x:v>0.0258362473</x:v>
      </x:c>
      <x:c r="AL149" s="39" t="n">
        <x:v>0.0849150415</x:v>
      </x:c>
      <x:c r="AM149" s="39" t="n">
        <x:v>0.1858265044</x:v>
      </x:c>
      <x:c r="AN149" s="39" t="n">
        <x:v>0.0520838008</x:v>
      </x:c>
      <x:c r="AO149" s="39" t="n">
        <x:v>0.0434438886</x:v>
      </x:c>
      <x:c r="AP149" s="39" t="n">
        <x:v>0.0188262189</x:v>
      </x:c>
      <x:c r="AQ149" s="39" t="n">
        <x:v>-0.002575788</x:v>
      </x:c>
      <x:c r="AR149" s="39" t="n">
        <x:v>-0.0140968183</x:v>
      </x:c>
      <x:c r="AS149" s="39" t="n">
        <x:v>-0.0702882775</x:v>
      </x:c>
    </x:row>
    <x:row r="150" ht="19" customHeight="1">
      <x:c r="A150" s="30" t="str">
        <x:v>Home FX</x:v>
      </x:c>
      <x:c r="B150" s="40" t="d">
        <x:v>2025-06-16T00:00:00.000Z</x:v>
      </x:c>
      <x:c r="C150" s="39" t="n">
        <x:v>0.2125294656</x:v>
      </x:c>
      <x:c r="D150" s="39" t="n">
        <x:v>-0.0011227547</x:v>
      </x:c>
      <x:c r="E150" s="39" t="n">
        <x:v>-0.0148040454</x:v>
      </x:c>
      <x:c r="F150" s="39" t="n">
        <x:v>-0.0302808818</x:v>
      </x:c>
      <x:c r="G150" s="39" t="n">
        <x:v>0.0933091147</x:v>
      </x:c>
      <x:c r="H150" s="39" t="n">
        <x:v>0.0557449368</x:v>
      </x:c>
      <x:c r="I150" s="39" t="n">
        <x:v>0.0567999426</x:v>
      </x:c>
      <x:c r="J150" s="39" t="n">
        <x:v>0.0787208482</x:v>
      </x:c>
      <x:c r="K150" s="39" t="n">
        <x:v>0.1482137261</x:v>
      </x:c>
      <x:c r="L150" s="39" t="n">
        <x:v>0.1248603276</x:v>
      </x:c>
      <x:c r="M150" s="39" t="n">
        <x:v>0.162677732</x:v>
      </x:c>
      <x:c r="N150" s="39" t="n">
        <x:v>-0.0518522529</x:v>
      </x:c>
      <x:c r="O150" s="39" t="n">
        <x:v>-0.0215440434</x:v>
      </x:c>
      <x:c r="P150" s="39" t="n">
        <x:v>0.2261078117</x:v>
      </x:c>
      <x:c r="Q150" s="39" t="n">
        <x:v>0.0927451261</x:v>
      </x:c>
      <x:c r="R150" s="39" t="n">
        <x:v>-0.0305146559</x:v>
      </x:c>
      <x:c r="S150" s="39" t="n">
        <x:v>-0.0423042285</x:v>
      </x:c>
      <x:c r="T150" s="39" t="n">
        <x:v>0.1691760874</x:v>
      </x:c>
      <x:c r="U150" s="39" t="n">
        <x:v>-0.0185029055</x:v>
      </x:c>
      <x:c r="V150" s="39" t="n">
        <x:v>0.0816746606</x:v>
      </x:c>
      <x:c r="W150" s="39" t="n">
        <x:v>0.0510535012</x:v>
      </x:c>
      <x:c r="X150" s="39" t="n">
        <x:v>0.000388322</x:v>
      </x:c>
      <x:c r="Y150" s="39" t="n">
        <x:v>0.3759585418</x:v>
      </x:c>
      <x:c r="Z150" s="39" t="n">
        <x:v>0.1160660183</x:v>
      </x:c>
      <x:c r="AA150" s="39" t="n">
        <x:v>-0.0760243785</x:v>
      </x:c>
      <x:c r="AB150" s="39" t="n">
        <x:v>0.0865080825</x:v>
      </x:c>
      <x:c r="AC150" s="39" t="n">
        <x:v>0.3326785289</x:v>
      </x:c>
      <x:c r="AD150" s="39" t="n">
        <x:v>-0.0559442943</x:v>
      </x:c>
      <x:c r="AE150" s="39" t="n">
        <x:v>0.029432643</x:v>
      </x:c>
      <x:c r="AF150" s="39" t="n">
        <x:v>0.050690276</x:v>
      </x:c>
      <x:c r="AG150" s="39" t="n">
        <x:v>-0.024128087</x:v>
      </x:c>
      <x:c r="AH150" s="39" t="n">
        <x:v>0.0653255426</x:v>
      </x:c>
      <x:c r="AI150" s="39" t="n">
        <x:v>0.201877667</x:v>
      </x:c>
      <x:c r="AJ150" s="39" t="n">
        <x:v>0.0890398801</x:v>
      </x:c>
      <x:c r="AK150" s="39" t="n">
        <x:v>0.0184726243</x:v>
      </x:c>
      <x:c r="AL150" s="39" t="n">
        <x:v>-0.0783099836</x:v>
      </x:c>
      <x:c r="AM150" s="39" t="n">
        <x:v>0.0786916599</x:v>
      </x:c>
      <x:c r="AN150" s="39" t="n">
        <x:v>-0.0130180251</x:v>
      </x:c>
      <x:c r="AO150" s="39" t="n">
        <x:v>-0.0380286406</x:v>
      </x:c>
      <x:c r="AP150" s="39" t="n">
        <x:v>-0.040964916</x:v>
      </x:c>
      <x:c r="AQ150" s="39" t="n">
        <x:v>-0.0463737736</x:v>
      </x:c>
      <x:c r="AR150" s="39" t="n">
        <x:v>-0.0164536919</x:v>
      </x:c>
      <x:c r="AS150" s="39" t="n">
        <x:v>-0.0504860693</x:v>
      </x:c>
    </x:row>
    <x:row r="151" ht="19" customHeight="1">
      <x:c r="A151" s="30" t="str">
        <x:v>Home FX</x:v>
      </x:c>
      <x:c r="B151" s="40" t="d">
        <x:v>2025-07-14T00:00:00.000Z</x:v>
      </x:c>
      <x:c r="C151" s="39" t="n">
        <x:v>0.056886716</x:v>
      </x:c>
      <x:c r="D151" s="39" t="n">
        <x:v>-0.2242844417</x:v>
      </x:c>
      <x:c r="E151" s="39" t="n">
        <x:v>0.0734660686</x:v>
      </x:c>
      <x:c r="F151" s="39" t="n">
        <x:v>0.0882399685</x:v>
      </x:c>
      <x:c r="G151" s="39" t="n">
        <x:v>0.0488947918</x:v>
      </x:c>
      <x:c r="H151" s="39" t="n">
        <x:v>0.0293022236</x:v>
      </x:c>
      <x:c r="I151" s="39" t="n">
        <x:v>0.1026103805</x:v>
      </x:c>
      <x:c r="J151" s="39" t="n">
        <x:v>0.139806996</x:v>
      </x:c>
      <x:c r="K151" s="39" t="n">
        <x:v>0.12937937</x:v>
      </x:c>
      <x:c r="L151" s="39" t="n">
        <x:v>0.0478041218</x:v>
      </x:c>
      <x:c r="M151" s="39" t="n">
        <x:v>-0.1089604003</x:v>
      </x:c>
      <x:c r="N151" s="39" t="n">
        <x:v>0.0066527714</x:v>
      </x:c>
      <x:c r="O151" s="39" t="n">
        <x:v>0.0139449151</x:v>
      </x:c>
      <x:c r="P151" s="39" t="n">
        <x:v>0.1863346448</x:v>
      </x:c>
      <x:c r="Q151" s="39" t="n">
        <x:v>-0.0739366162</x:v>
      </x:c>
      <x:c r="R151" s="39" t="n">
        <x:v>0.1032983729</x:v>
      </x:c>
      <x:c r="S151" s="39" t="n">
        <x:v>0.0035183049</x:v>
      </x:c>
      <x:c r="T151" s="39" t="n">
        <x:v>0.1303954851</x:v>
      </x:c>
      <x:c r="U151" s="39" t="n">
        <x:v>0.2557059901</x:v>
      </x:c>
      <x:c r="V151" s="39" t="n">
        <x:v>-0.0376451913</x:v>
      </x:c>
      <x:c r="W151" s="39" t="n">
        <x:v>-0.0246979929</x:v>
      </x:c>
      <x:c r="X151" s="39" t="n">
        <x:v>0.0127984531</x:v>
      </x:c>
      <x:c r="Y151" s="39" t="n">
        <x:v>-0.1039919499</x:v>
      </x:c>
      <x:c r="Z151" s="39" t="n">
        <x:v>-0.0009341734</x:v>
      </x:c>
      <x:c r="AA151" s="39" t="n">
        <x:v>-0.0829228749</x:v>
      </x:c>
      <x:c r="AB151" s="39" t="n">
        <x:v>0.29775227</x:v>
      </x:c>
      <x:c r="AC151" s="39" t="n">
        <x:v>0.4087815875</x:v>
      </x:c>
      <x:c r="AD151" s="39" t="n">
        <x:v>-0.0251793885</x:v>
      </x:c>
      <x:c r="AE151" s="39" t="n">
        <x:v>0.071269889</x:v>
      </x:c>
      <x:c r="AF151" s="39" t="n">
        <x:v>0.2196857047</x:v>
      </x:c>
      <x:c r="AG151" s="39" t="n">
        <x:v>0.1946146963</x:v>
      </x:c>
      <x:c r="AH151" s="39" t="n">
        <x:v>0.1109786688</x:v>
      </x:c>
      <x:c r="AI151" s="39" t="n">
        <x:v>0.2749858787</x:v>
      </x:c>
      <x:c r="AJ151" s="39" t="n">
        <x:v>0.0159120243</x:v>
      </x:c>
      <x:c r="AK151" s="39" t="n">
        <x:v>0.0684486561</x:v>
      </x:c>
      <x:c r="AL151" s="39" t="n">
        <x:v>-0.1269174899</x:v>
      </x:c>
      <x:c r="AM151" s="39" t="n">
        <x:v>0.0899325576</x:v>
      </x:c>
      <x:c r="AN151" s="39" t="n">
        <x:v>0.1425296808</x:v>
      </x:c>
      <x:c r="AO151" s="39" t="n">
        <x:v>-0.0413092105</x:v>
      </x:c>
      <x:c r="AP151" s="39" t="n">
        <x:v>0.0375059705</x:v>
      </x:c>
      <x:c r="AQ151" s="39" t="n">
        <x:v>0.0198002399</x:v>
      </x:c>
      <x:c r="AR151" s="39" t="n">
        <x:v>0.1207200377</x:v>
      </x:c>
      <x:c r="AS151" s="39" t="n">
        <x:v>-0.0313409836</x:v>
      </x:c>
    </x:row>
    <x:row r="152" ht="19" customHeight="1">
      <x:c r="A152" s="30" t="str">
        <x:v>Home FX</x:v>
      </x:c>
      <x:c r="B152" s="40" t="d">
        <x:v>2025-08-11T00:00:00.000Z</x:v>
      </x:c>
      <x:c r="C152" s="39" t="n">
        <x:v>0.0305192617</x:v>
      </x:c>
      <x:c r="D152" s="39" t="n">
        <x:v>-0.1336299369</x:v>
      </x:c>
      <x:c r="E152" s="39" t="n">
        <x:v>0.0690202664</x:v>
      </x:c>
      <x:c r="F152" s="39" t="n">
        <x:v>0.0518674874</x:v>
      </x:c>
      <x:c r="G152" s="39" t="n">
        <x:v>-0.0702302518</x:v>
      </x:c>
      <x:c r="H152" s="39" t="n">
        <x:v>-0.2793177395</x:v>
      </x:c>
      <x:c r="I152" s="39" t="n">
        <x:v>0.0295568054</x:v>
      </x:c>
      <x:c r="J152" s="39" t="n">
        <x:v>0.2848201961</x:v>
      </x:c>
      <x:c r="K152" s="39" t="n">
        <x:v>-0.0140487458</x:v>
      </x:c>
      <x:c r="L152" s="39" t="n">
        <x:v>-0.0799291632</x:v>
      </x:c>
      <x:c r="M152" s="39" t="n">
        <x:v>-0.0958890351</x:v>
      </x:c>
      <x:c r="N152" s="39" t="n">
        <x:v>-0.0636396141</x:v>
      </x:c>
      <x:c r="O152" s="39" t="n">
        <x:v>0.0165346306</x:v>
      </x:c>
      <x:c r="P152" s="39" t="n">
        <x:v>0.1361922585</x:v>
      </x:c>
      <x:c r="Q152" s="39" t="n">
        <x:v>0.1951265631</x:v>
      </x:c>
      <x:c r="R152" s="39" t="n">
        <x:v>0.069224944</x:v>
      </x:c>
      <x:c r="S152" s="39" t="n">
        <x:v>-0.0039204644</x:v>
      </x:c>
      <x:c r="T152" s="39" t="n">
        <x:v>0.0246495001</x:v>
      </x:c>
      <x:c r="U152" s="39" t="n">
        <x:v>-0.1508632085</x:v>
      </x:c>
      <x:c r="V152" s="39" t="n">
        <x:v>-0.0033777091</x:v>
      </x:c>
      <x:c r="W152" s="39" t="n">
        <x:v>0.0334650428</x:v>
      </x:c>
      <x:c r="X152" s="39" t="n">
        <x:v>-0.0442112592</x:v>
      </x:c>
      <x:c r="Y152" s="39" t="n">
        <x:v>0.075971389</x:v>
      </x:c>
      <x:c r="Z152" s="39" t="n">
        <x:v>0.2415066541</x:v>
      </x:c>
      <x:c r="AA152" s="39" t="n">
        <x:v>0.0041341501</x:v>
      </x:c>
      <x:c r="AB152" s="39" t="n">
        <x:v>0.0765396911</x:v>
      </x:c>
      <x:c r="AC152" s="39" t="n">
        <x:v>-0.277162391</x:v>
      </x:c>
      <x:c r="AD152" s="39" t="n">
        <x:v>-0.006593713</x:v>
      </x:c>
      <x:c r="AE152" s="39" t="n">
        <x:v>0.0525569946</x:v>
      </x:c>
      <x:c r="AF152" s="39" t="n">
        <x:v>0.0032616649</x:v>
      </x:c>
      <x:c r="AG152" s="39" t="n">
        <x:v>0.0351381935</x:v>
      </x:c>
      <x:c r="AH152" s="39" t="n">
        <x:v>0.0622834264</x:v>
      </x:c>
      <x:c r="AI152" s="39" t="n">
        <x:v>0.169371458</x:v>
      </x:c>
      <x:c r="AJ152" s="39" t="n">
        <x:v>-0.1290214338</x:v>
      </x:c>
      <x:c r="AK152" s="39" t="n">
        <x:v>0.0390620624</x:v>
      </x:c>
      <x:c r="AL152" s="39" t="n">
        <x:v>-0.175623124</x:v>
      </x:c>
      <x:c r="AM152" s="39" t="n">
        <x:v>0.0270880521</x:v>
      </x:c>
      <x:c r="AN152" s="39" t="n">
        <x:v>0.1336686132</x:v>
      </x:c>
      <x:c r="AO152" s="39" t="n">
        <x:v>0.032152153</x:v>
      </x:c>
      <x:c r="AP152" s="39" t="n">
        <x:v>0.1454261421</x:v>
      </x:c>
      <x:c r="AQ152" s="39" t="n">
        <x:v>0.001381102</x:v>
      </x:c>
      <x:c r="AR152" s="39" t="n">
        <x:v>0.1048927304</x:v>
      </x:c>
      <x:c r="AS152" s="39" t="n">
        <x:v>0.009858638</x:v>
      </x:c>
    </x:row>
    <x:row r="153" ht="19" customHeight="1">
      <x:c r="A153" s="30" t="str">
        <x:v>Home FX</x:v>
      </x:c>
      <x:c r="B153" s="40" t="d">
        <x:v>2025-09-08T00:00:00.000Z</x:v>
      </x:c>
      <x:c r="C153" s="39" t="n">
        <x:v>0.0850183949</x:v>
      </x:c>
      <x:c r="D153" s="39" t="n">
        <x:v>-0.2477811629</x:v>
      </x:c>
      <x:c r="E153" s="39" t="n">
        <x:v>-0.0319520334</x:v>
      </x:c>
      <x:c r="F153" s="39" t="n">
        <x:v>0.0182381207</x:v>
      </x:c>
      <x:c r="G153" s="39" t="n">
        <x:v>0.0068903142</x:v>
      </x:c>
      <x:c r="H153" s="39" t="n">
        <x:v>-0.1832766126</x:v>
      </x:c>
      <x:c r="I153" s="39" t="n">
        <x:v>-0.0175409292</x:v>
      </x:c>
      <x:c r="J153" s="39" t="n">
        <x:v>0.1421035906</x:v>
      </x:c>
      <x:c r="K153" s="39" t="n">
        <x:v>0.3015346217</x:v>
      </x:c>
      <x:c r="L153" s="39" t="n">
        <x:v>0.1900885677</x:v>
      </x:c>
      <x:c r="M153" s="39" t="n">
        <x:v>-0.0044021232</x:v>
      </x:c>
      <x:c r="N153" s="39" t="n">
        <x:v>-0.0102179566</x:v>
      </x:c>
      <x:c r="O153" s="39" t="n">
        <x:v>0.0105632774</x:v>
      </x:c>
      <x:c r="P153" s="39" t="n">
        <x:v>0.3696709112</x:v>
      </x:c>
      <x:c r="Q153" s="39" t="n">
        <x:v>-0.0328001336</x:v>
      </x:c>
      <x:c r="R153" s="39" t="n">
        <x:v>0.1951967974</x:v>
      </x:c>
      <x:c r="S153" s="39" t="n">
        <x:v>-0.0539408535</x:v>
      </x:c>
      <x:c r="T153" s="39" t="n">
        <x:v>0.135291098</x:v>
      </x:c>
      <x:c r="U153" s="39" t="n">
        <x:v>-0.2453949702</x:v>
      </x:c>
      <x:c r="V153" s="39" t="n">
        <x:v>0.0034996022</x:v>
      </x:c>
      <x:c r="W153" s="39" t="n">
        <x:v>-0.0582018379</x:v>
      </x:c>
      <x:c r="X153" s="39" t="n">
        <x:v>-0.0163991258</x:v>
      </x:c>
      <x:c r="Y153" s="39" t="n">
        <x:v>0.3677499986</x:v>
      </x:c>
      <x:c r="Z153" s="39" t="n">
        <x:v>0.1916396712</x:v>
      </x:c>
      <x:c r="AA153" s="39" t="n">
        <x:v>0.0063788839</x:v>
      </x:c>
      <x:c r="AB153" s="39" t="n">
        <x:v>0.0027266329</x:v>
      </x:c>
      <x:c r="AC153" s="39" t="n">
        <x:v>-0.0222116137</x:v>
      </x:c>
      <x:c r="AD153" s="39" t="n">
        <x:v>0.0317060429</x:v>
      </x:c>
      <x:c r="AE153" s="39" t="n">
        <x:v>0.0290319442</x:v>
      </x:c>
      <x:c r="AF153" s="39" t="n">
        <x:v>0.2180044066</x:v>
      </x:c>
      <x:c r="AG153" s="39" t="n">
        <x:v>-0.1198229821</x:v>
      </x:c>
      <x:c r="AH153" s="39" t="n">
        <x:v>0.0506147505</x:v>
      </x:c>
      <x:c r="AI153" s="39" t="n">
        <x:v>-0.1577734943</x:v>
      </x:c>
      <x:c r="AJ153" s="39" t="n">
        <x:v>0.1040326654</x:v>
      </x:c>
      <x:c r="AK153" s="39" t="n">
        <x:v>0.0524806098</x:v>
      </x:c>
      <x:c r="AL153" s="39" t="n">
        <x:v>0.080529454</x:v>
      </x:c>
      <x:c r="AM153" s="39" t="n">
        <x:v>-0.0255870645</x:v>
      </x:c>
      <x:c r="AN153" s="39" t="n">
        <x:v>0.2338425644</x:v>
      </x:c>
      <x:c r="AO153" s="39" t="n">
        <x:v>-0.0059681667</x:v>
      </x:c>
      <x:c r="AP153" s="39" t="n">
        <x:v>0.0872313568</x:v>
      </x:c>
      <x:c r="AQ153" s="39" t="n">
        <x:v>-0.0594421251</x:v>
      </x:c>
      <x:c r="AR153" s="39" t="n">
        <x:v>0.0214221609</x:v>
      </x:c>
      <x:c r="AS153" s="39" t="n">
        <x:v>0.0476454225</x:v>
      </x:c>
    </x:row>
    <x:row r="154" ht="19" customHeight="1">
      <x:c r="A154" s="30" t="str">
        <x:v>Home FX</x:v>
      </x:c>
      <x:c r="B154" s="40" t="d">
        <x:v>2025-10-06T00:00:00.000Z</x:v>
      </x:c>
      <x:c r="C154" s="39" t="n">
        <x:v>-0.0880816772</x:v>
      </x:c>
      <x:c r="D154" s="39" t="n">
        <x:v>0.0221101815</x:v>
      </x:c>
      <x:c r="E154" s="39" t="n">
        <x:v>0.0949559307</x:v>
      </x:c>
      <x:c r="F154" s="39" t="n">
        <x:v>0.0759904748</x:v>
      </x:c>
      <x:c r="G154" s="39" t="n">
        <x:v>-0.085311389</x:v>
      </x:c>
      <x:c r="H154" s="39" t="n">
        <x:v>0.0430275423</x:v>
      </x:c>
      <x:c r="I154" s="39" t="n">
        <x:v>-0.0751822581</x:v>
      </x:c>
      <x:c r="J154" s="39" t="n">
        <x:v>0.1127717782</x:v>
      </x:c>
      <x:c r="K154" s="39" t="n">
        <x:v>0.1417524776</x:v>
      </x:c>
      <x:c r="L154" s="39" t="n">
        <x:v>0.011715451</x:v>
      </x:c>
      <x:c r="M154" s="39" t="n">
        <x:v>0.0280412966</x:v>
      </x:c>
      <x:c r="N154" s="39" t="n">
        <x:v>0.0872225068</x:v>
      </x:c>
      <x:c r="O154" s="39" t="n">
        <x:v>-0.0698994719</x:v>
      </x:c>
      <x:c r="P154" s="39" t="n">
        <x:v>0.2369564485</x:v>
      </x:c>
      <x:c r="Q154" s="39" t="n">
        <x:v>0.0985940615</x:v>
      </x:c>
      <x:c r="R154" s="39" t="n">
        <x:v>0.0621936525</x:v>
      </x:c>
      <x:c r="S154" s="39" t="n">
        <x:v>0.048628088</x:v>
      </x:c>
      <x:c r="T154" s="39" t="n">
        <x:v>-0.0488916813</x:v>
      </x:c>
      <x:c r="U154" s="39" t="n">
        <x:v>0.1873334839</x:v>
      </x:c>
      <x:c r="V154" s="39" t="n">
        <x:v>-0.1032625713</x:v>
      </x:c>
      <x:c r="W154" s="39" t="n">
        <x:v>0.0372624249</x:v>
      </x:c>
      <x:c r="X154" s="39" t="n">
        <x:v>-0.1485285483</x:v>
      </x:c>
      <x:c r="Y154" s="39" t="n">
        <x:v>0.2052423242</x:v>
      </x:c>
      <x:c r="Z154" s="39" t="n">
        <x:v>0.1016682403</x:v>
      </x:c>
      <x:c r="AA154" s="39" t="n">
        <x:v>-0.0475264707</x:v>
      </x:c>
      <x:c r="AB154" s="39" t="n">
        <x:v>0.6578875083</x:v>
      </x:c>
      <x:c r="AC154" s="39" t="n">
        <x:v>-0.3704156364</x:v>
      </x:c>
      <x:c r="AD154" s="39" t="n">
        <x:v>-0.0757241589</x:v>
      </x:c>
      <x:c r="AE154" s="39" t="n">
        <x:v>-0.0331681651</x:v>
      </x:c>
      <x:c r="AF154" s="39" t="n">
        <x:v>-0.0115770774</x:v>
      </x:c>
      <x:c r="AG154" s="39" t="n">
        <x:v>-0.0346359802</x:v>
      </x:c>
      <x:c r="AH154" s="39" t="n">
        <x:v>0.0421132421</x:v>
      </x:c>
      <x:c r="AI154" s="39" t="n">
        <x:v>0.4310919035</x:v>
      </x:c>
      <x:c r="AJ154" s="39" t="n">
        <x:v>0.1395306169</x:v>
      </x:c>
      <x:c r="AK154" s="39" t="n">
        <x:v>-0.0270041725</x:v>
      </x:c>
      <x:c r="AL154" s="39" t="n">
        <x:v>0.2218132747</x:v>
      </x:c>
      <x:c r="AM154" s="39" t="n">
        <x:v>0.0029450427</x:v>
      </x:c>
      <x:c r="AN154" s="39" t="n">
        <x:v>-0.0251338578</x:v>
      </x:c>
      <x:c r="AO154" s="39" t="n">
        <x:v>-0.0566326083</x:v>
      </x:c>
      <x:c r="AP154" s="39" t="n">
        <x:v>-0.1669405149</x:v>
      </x:c>
      <x:c r="AQ154" s="39" t="n">
        <x:v>0.0114693276</x:v>
      </x:c>
      <x:c r="AR154" s="39" t="n">
        <x:v>0.0974085706</x:v>
      </x:c>
      <x:c r="AS154" s="39" t="n">
        <x:v>-0.013303514</x:v>
      </x:c>
    </x:row>
    <x:row r="155" ht="19" customHeight="1">
      <x:c r="A155" s="30" t="str">
        <x:v>Home FX</x:v>
      </x:c>
      <x:c r="B155" s="40" t="d">
        <x:v>2025-11-03T00:00:00.000Z</x:v>
      </x:c>
      <x:c r="C155" s="39" t="n">
        <x:v>-0.0434647777</x:v>
      </x:c>
      <x:c r="D155" s="39" t="n">
        <x:v>0.334606808</x:v>
      </x:c>
      <x:c r="E155" s="39" t="n">
        <x:v>0.0529618985</x:v>
      </x:c>
      <x:c r="F155" s="39" t="n">
        <x:v>0.0288493178</x:v>
      </x:c>
      <x:c r="G155" s="39" t="n">
        <x:v>0.0202738184</x:v>
      </x:c>
      <x:c r="H155" s="39" t="n">
        <x:v>-0.379277047</x:v>
      </x:c>
      <x:c r="I155" s="39" t="n">
        <x:v>0.1752686622</x:v>
      </x:c>
      <x:c r="J155" s="39" t="n">
        <x:v>0.22651007</x:v>
      </x:c>
      <x:c r="K155" s="39" t="n">
        <x:v>0.3471194086</x:v>
      </x:c>
      <x:c r="L155" s="39" t="n">
        <x:v>0.1518871187</x:v>
      </x:c>
      <x:c r="M155" s="39" t="n">
        <x:v>-0.0902158889</x:v>
      </x:c>
      <x:c r="N155" s="39" t="n">
        <x:v>-0.0610279758</x:v>
      </x:c>
      <x:c r="O155" s="39" t="n">
        <x:v>-0.259573691</x:v>
      </x:c>
      <x:c r="P155" s="39" t="n">
        <x:v>0.4961125826</x:v>
      </x:c>
      <x:c r="Q155" s="39" t="n">
        <x:v>-0.0882911695</x:v>
      </x:c>
      <x:c r="R155" s="39" t="n">
        <x:v>0.4068166639</x:v>
      </x:c>
      <x:c r="S155" s="39" t="n">
        <x:v>0.0265120717</x:v>
      </x:c>
      <x:c r="T155" s="39" t="n">
        <x:v>0.1223831318</x:v>
      </x:c>
      <x:c r="U155" s="39" t="n">
        <x:v>-0.1283206222</x:v>
      </x:c>
      <x:c r="V155" s="39" t="n">
        <x:v>-0.2219246707</x:v>
      </x:c>
      <x:c r="W155" s="39" t="n">
        <x:v>-0.1442403762</x:v>
      </x:c>
      <x:c r="X155" s="39" t="n">
        <x:v>-0.1068908623</x:v>
      </x:c>
      <x:c r="Y155" s="39" t="n">
        <x:v>0.3885280289</x:v>
      </x:c>
      <x:c r="Z155" s="39" t="n">
        <x:v>-0.0298718364</x:v>
      </x:c>
      <x:c r="AA155" s="39" t="n">
        <x:v>-0.143109129</x:v>
      </x:c>
      <x:c r="AB155" s="39" t="n">
        <x:v>0.1797471359</x:v>
      </x:c>
      <x:c r="AC155" s="39" t="n">
        <x:v>-0.330753606</x:v>
      </x:c>
      <x:c r="AD155" s="39" t="n">
        <x:v>-0.0162548886</x:v>
      </x:c>
      <x:c r="AE155" s="39" t="n">
        <x:v>0.2272284794</x:v>
      </x:c>
      <x:c r="AF155" s="39" t="n">
        <x:v>-0.0571189479</x:v>
      </x:c>
      <x:c r="AG155" s="39" t="n">
        <x:v>-0.1144609549</x:v>
      </x:c>
      <x:c r="AH155" s="39" t="n">
        <x:v>0.1290748963</x:v>
      </x:c>
      <x:c r="AI155" s="39" t="n">
        <x:v>0.1196395229</x:v>
      </x:c>
      <x:c r="AJ155" s="39" t="n">
        <x:v>0.148851844</x:v>
      </x:c>
      <x:c r="AK155" s="39" t="n">
        <x:v>0.1966355423</x:v>
      </x:c>
      <x:c r="AL155" s="39" t="n">
        <x:v>0.3459520238</x:v>
      </x:c>
      <x:c r="AM155" s="39" t="n">
        <x:v>-0.0403639469</x:v>
      </x:c>
      <x:c r="AN155" s="39" t="n">
        <x:v>0.2363979339</x:v>
      </x:c>
      <x:c r="AO155" s="39" t="n">
        <x:v>-0.0092543677</x:v>
      </x:c>
      <x:c r="AP155" s="39" t="n">
        <x:v>-0.017871826</x:v>
      </x:c>
      <x:c r="AQ155" s="39" t="n">
        <x:v>0.073400176</x:v>
      </x:c>
      <x:c r="AR155" s="39" t="n">
        <x:v>-0.0316426295</x:v>
      </x:c>
      <x:c r="AS155" s="39" t="n">
        <x:v>0.0289071912</x:v>
      </x:c>
    </x:row>
    <x:row r="156" ht="19" customHeight="1">
      <x:c r="A156" s="30" t="str">
        <x:v>Home FX</x:v>
      </x:c>
      <x:c r="B156" s="40" t="d">
        <x:v>2025-12-01T00:00:00.000Z</x:v>
      </x:c>
      <x:c r="C156" s="39" t="n">
        <x:v>-0.1943939573</x:v>
      </x:c>
      <x:c r="D156" s="39" t="n">
        <x:v>0.0443687848</x:v>
      </x:c>
      <x:c r="E156" s="39" t="n">
        <x:v>-0.0360381877</x:v>
      </x:c>
      <x:c r="F156" s="39" t="n">
        <x:v>-0.035569581</x:v>
      </x:c>
      <x:c r="G156" s="39" t="n">
        <x:v>-0.0734787367</x:v>
      </x:c>
      <x:c r="H156" s="39" t="n">
        <x:v>0.151593104</x:v>
      </x:c>
      <x:c r="I156" s="39" t="n">
        <x:v>-0.0916280316</x:v>
      </x:c>
      <x:c r="J156" s="39" t="n">
        <x:v>0.0698257255</x:v>
      </x:c>
      <x:c r="K156" s="39" t="n">
        <x:v>-0.0746459177</x:v>
      </x:c>
      <x:c r="L156" s="39" t="n">
        <x:v>-0.0031757738</x:v>
      </x:c>
      <x:c r="M156" s="39" t="n">
        <x:v>-0.0670567345</x:v>
      </x:c>
      <x:c r="N156" s="39" t="n">
        <x:v>0.0647062517</x:v>
      </x:c>
      <x:c r="O156" s="39" t="n">
        <x:v>0.1064564067</x:v>
      </x:c>
      <x:c r="P156" s="39" t="n">
        <x:v>0.0533115963</x:v>
      </x:c>
      <x:c r="Q156" s="39" t="n">
        <x:v>0.0377338129</x:v>
      </x:c>
      <x:c r="R156" s="39" t="n">
        <x:v>-0.0352094358</x:v>
      </x:c>
      <x:c r="S156" s="39" t="n">
        <x:v>-0.0300087935</x:v>
      </x:c>
      <x:c r="T156" s="39" t="n">
        <x:v>-0.2146767513</x:v>
      </x:c>
      <x:c r="U156" s="39" t="n">
        <x:v>0.1766933934</x:v>
      </x:c>
      <x:c r="V156" s="39" t="n">
        <x:v>-0.1304985656</x:v>
      </x:c>
      <x:c r="W156" s="39" t="n">
        <x:v>-0.1403809088</x:v>
      </x:c>
      <x:c r="X156" s="39" t="n">
        <x:v>-0.0021349378</x:v>
      </x:c>
      <x:c r="Y156" s="39" t="n">
        <x:v>-0.004298126</x:v>
      </x:c>
      <x:c r="Z156" s="39" t="n">
        <x:v>0.1116124672</x:v>
      </x:c>
      <x:c r="AA156" s="39" t="n">
        <x:v>0.0372524666</x:v>
      </x:c>
      <x:c r="AB156" s="39" t="n">
        <x:v>0.1540082663</x:v>
      </x:c>
      <x:c r="AC156" s="39" t="n">
        <x:v>0.2794378935</x:v>
      </x:c>
      <x:c r="AD156" s="39" t="n">
        <x:v>-0.0354617872</x:v>
      </x:c>
      <x:c r="AE156" s="39" t="n">
        <x:v>-0.0200135981</x:v>
      </x:c>
      <x:c r="AF156" s="39" t="n">
        <x:v>-0.0074838746</x:v>
      </x:c>
      <x:c r="AG156" s="39" t="n">
        <x:v>0.053572611</x:v>
      </x:c>
      <x:c r="AH156" s="39" t="n">
        <x:v>-0.0172394491</x:v>
      </x:c>
      <x:c r="AI156" s="39" t="n">
        <x:v>-0.1006466097</x:v>
      </x:c>
      <x:c r="AJ156" s="39" t="n">
        <x:v>0.1318222539</x:v>
      </x:c>
      <x:c r="AK156" s="39" t="n">
        <x:v>0.1096917877</x:v>
      </x:c>
      <x:c r="AL156" s="39" t="n">
        <x:v>-0.1955229873</x:v>
      </x:c>
      <x:c r="AM156" s="39" t="n">
        <x:v>-0.037941813</x:v>
      </x:c>
      <x:c r="AN156" s="39" t="n">
        <x:v>0.2066729935</x:v>
      </x:c>
      <x:c r="AO156" s="39" t="n">
        <x:v>-0.0450476273</x:v>
      </x:c>
      <x:c r="AP156" s="39" t="n">
        <x:v>-0.0569386325</x:v>
      </x:c>
      <x:c r="AQ156" s="39" t="n">
        <x:v>-0.0012068158</x:v>
      </x:c>
      <x:c r="AR156" s="39" t="n">
        <x:v>0.1246395819</x:v>
      </x:c>
      <x:c r="AS156" s="39" t="n">
        <x:v>0.0153521649</x:v>
      </x:c>
    </x:row>
    <x:row r="157" ht="19" customHeight="1">
      <x:c r="A157" s="30" t="str">
        <x:v>Home FX</x:v>
      </x:c>
      <x:c r="B157" s="40" t="d">
        <x:v>2025-12-29T00:00:00.000Z</x:v>
      </x:c>
      <x:c r="C157" s="39" t="n">
        <x:v>-0.0152080045</x:v>
      </x:c>
      <x:c r="D157" s="39" t="n">
        <x:v>-0.0990445755</x:v>
      </x:c>
      <x:c r="E157" s="39" t="n">
        <x:v>-0.0219368003</x:v>
      </x:c>
      <x:c r="F157" s="39" t="n">
        <x:v>-0.0056636164</x:v>
      </x:c>
      <x:c r="G157" s="39" t="n">
        <x:v>0.0992535516</x:v>
      </x:c>
      <x:c r="H157" s="39" t="n">
        <x:v>0.1471753239</x:v>
      </x:c>
      <x:c r="I157" s="39" t="n">
        <x:v>-0.0196600404</x:v>
      </x:c>
      <x:c r="J157" s="39" t="n">
        <x:v>0.0031874521</x:v>
      </x:c>
      <x:c r="K157" s="39" t="n">
        <x:v>-0.0412665573</x:v>
      </x:c>
      <x:c r="L157" s="39" t="n">
        <x:v>-0.0769860592</x:v>
      </x:c>
      <x:c r="M157" s="39" t="n">
        <x:v>0.0421363419</x:v>
      </x:c>
      <x:c r="N157" s="39" t="n">
        <x:v>-0.0050949237</x:v>
      </x:c>
      <x:c r="O157" s="39" t="n">
        <x:v>0.0279835723</x:v>
      </x:c>
      <x:c r="P157" s="39" t="n">
        <x:v>0.1562254996</x:v>
      </x:c>
      <x:c r="Q157" s="39" t="n">
        <x:v>0.0375107178</x:v>
      </x:c>
      <x:c r="R157" s="39" t="n">
        <x:v>0.0203813531</x:v>
      </x:c>
      <x:c r="S157" s="39" t="n">
        <x:v>0.0002905191</x:v>
      </x:c>
      <x:c r="T157" s="39" t="n">
        <x:v>-0.036748523</x:v>
      </x:c>
      <x:c r="U157" s="39" t="n">
        <x:v>0.1598221714</x:v>
      </x:c>
      <x:c r="V157" s="39" t="n">
        <x:v>0.0331906753</x:v>
      </x:c>
      <x:c r="W157" s="39" t="n">
        <x:v>-0.1432365165</x:v>
      </x:c>
      <x:c r="X157" s="39" t="n">
        <x:v>0.1161251649</x:v>
      </x:c>
      <x:c r="Y157" s="39" t="n">
        <x:v>0.4221168928</x:v>
      </x:c>
      <x:c r="Z157" s="39" t="n">
        <x:v>0.1777655617</x:v>
      </x:c>
      <x:c r="AA157" s="39" t="n">
        <x:v>0.0178330825</x:v>
      </x:c>
      <x:c r="AB157" s="39" t="n">
        <x:v>-0.1287285757</x:v>
      </x:c>
      <x:c r="AC157" s="39" t="n">
        <x:v>-0.029081727</x:v>
      </x:c>
      <x:c r="AD157" s="39" t="n">
        <x:v>-0.0172197701</x:v>
      </x:c>
      <x:c r="AE157" s="39" t="n">
        <x:v>0.0347857738</x:v>
      </x:c>
      <x:c r="AF157" s="39" t="n">
        <x:v>0.0612020618</x:v>
      </x:c>
      <x:c r="AG157" s="39" t="n">
        <x:v>0.178440918</x:v>
      </x:c>
      <x:c r="AH157" s="39" t="n">
        <x:v>0.2045848148</x:v>
      </x:c>
      <x:c r="AI157" s="39" t="n">
        <x:v>0.036867395</x:v>
      </x:c>
      <x:c r="AJ157" s="39" t="n">
        <x:v>0.0991778149</x:v>
      </x:c>
      <x:c r="AK157" s="39" t="n">
        <x:v>-0.1314498761</x:v>
      </x:c>
      <x:c r="AL157" s="39" t="n">
        <x:v>0.0817619189</x:v>
      </x:c>
      <x:c r="AM157" s="39" t="n">
        <x:v>-0.0316295788</x:v>
      </x:c>
      <x:c r="AN157" s="39" t="n">
        <x:v>-0.0274870876</x:v>
      </x:c>
      <x:c r="AO157" s="39" t="n">
        <x:v>-0.067980006</x:v>
      </x:c>
      <x:c r="AP157" s="39" t="n">
        <x:v>-0.0371343199</x:v>
      </x:c>
      <x:c r="AQ157" s="39" t="n">
        <x:v>-0.0187163649</x:v>
      </x:c>
      <x:c r="AR157" s="39" t="n">
        <x:v>0.0391861651</x:v>
      </x:c>
      <x:c r="AS157" s="39" t="n">
        <x:v>-0.0221361365</x:v>
      </x:c>
    </x:row>
    <x:row r="158" ht="19" customHeight="1">
      <x:c r="A158" s="30" t="str">
        <x:v>Home FX</x:v>
      </x:c>
      <x:c r="B158" s="40" t="d">
        <x:v>2026-01-26T00:00:00.000Z</x:v>
      </x:c>
      <x:c r="C158" s="39" t="n">
        <x:v>-0.0638151392</x:v>
      </x:c>
      <x:c r="D158" s="39" t="n">
        <x:v>0.2828601573</x:v>
      </x:c>
      <x:c r="E158" s="39" t="n">
        <x:v>0.050573981</x:v>
      </x:c>
      <x:c r="F158" s="39" t="n">
        <x:v>0.0321057662</x:v>
      </x:c>
      <x:c r="G158" s="39" t="n">
        <x:v>0.0126903452</x:v>
      </x:c>
      <x:c r="H158" s="39" t="n">
        <x:v>0.0542389965</x:v>
      </x:c>
      <x:c r="I158" s="39" t="n">
        <x:v>0.0824844337</x:v>
      </x:c>
      <x:c r="J158" s="39" t="n">
        <x:v>0.1939113642</x:v>
      </x:c>
      <x:c r="K158" s="39" t="n">
        <x:v>0.4055734166</x:v>
      </x:c>
      <x:c r="L158" s="39" t="n">
        <x:v>0.1396131378</x:v>
      </x:c>
      <x:c r="M158" s="39" t="n">
        <x:v>0.2271974453</x:v>
      </x:c>
      <x:c r="N158" s="39" t="n">
        <x:v>0.1240040213</x:v>
      </x:c>
      <x:c r="O158" s="39" t="n">
        <x:v>0.0501780291</x:v>
      </x:c>
      <x:c r="P158" s="39" t="n">
        <x:v>0.4314331684</x:v>
      </x:c>
      <x:c r="Q158" s="39" t="n">
        <x:v>0.0637349219</x:v>
      </x:c>
      <x:c r="R158" s="39" t="n">
        <x:v>0.1810451952</x:v>
      </x:c>
      <x:c r="S158" s="39" t="n">
        <x:v>0.1041285043</x:v>
      </x:c>
      <x:c r="T158" s="39" t="n">
        <x:v>-0.1501824779</x:v>
      </x:c>
      <x:c r="U158" s="39" t="n">
        <x:v>0.5346386106</x:v>
      </x:c>
      <x:c r="V158" s="39" t="n">
        <x:v>-0.2293619004</x:v>
      </x:c>
      <x:c r="W158" s="39" t="n">
        <x:v>-0.1290729919</x:v>
      </x:c>
      <x:c r="X158" s="39" t="n">
        <x:v>0.1254220633</x:v>
      </x:c>
      <x:c r="Y158" s="39" t="n">
        <x:v>0.4112501076</x:v>
      </x:c>
      <x:c r="Z158" s="39" t="n">
        <x:v>0.1565310765</x:v>
      </x:c>
      <x:c r="AA158" s="39" t="n">
        <x:v>-0.0294298891</x:v>
      </x:c>
      <x:c r="AB158" s="39" t="n">
        <x:v>0.2870383166</x:v>
      </x:c>
      <x:c r="AC158" s="39" t="n">
        <x:v>-0.2328785771</x:v>
      </x:c>
      <x:c r="AD158" s="39" t="n">
        <x:v>0.1126749654</x:v>
      </x:c>
      <x:c r="AE158" s="39" t="n">
        <x:v>0.059540886</x:v>
      </x:c>
      <x:c r="AF158" s="39" t="n">
        <x:v>-0.1742466422</x:v>
      </x:c>
      <x:c r="AG158" s="39" t="n">
        <x:v>0.0386928365</x:v>
      </x:c>
      <x:c r="AH158" s="39" t="n">
        <x:v>0.2764578433</x:v>
      </x:c>
      <x:c r="AI158" s="39" t="n">
        <x:v>0.0864906223</x:v>
      </x:c>
      <x:c r="AJ158" s="39" t="n">
        <x:v>-0.0612451696</x:v>
      </x:c>
      <x:c r="AK158" s="39" t="n">
        <x:v>0.0113545131</x:v>
      </x:c>
      <x:c r="AL158" s="39" t="n">
        <x:v>-0.0422037003</x:v>
      </x:c>
      <x:c r="AM158" s="39" t="n">
        <x:v>-0.1418063201</x:v>
      </x:c>
      <x:c r="AN158" s="39" t="n">
        <x:v>0.1050275256</x:v>
      </x:c>
      <x:c r="AO158" s="39" t="n">
        <x:v>0.1455356308</x:v>
      </x:c>
      <x:c r="AP158" s="39" t="n">
        <x:v>0.1199066443</x:v>
      </x:c>
      <x:c r="AQ158" s="39" t="n">
        <x:v>0.1186966558</x:v>
      </x:c>
      <x:c r="AR158" s="39" t="n">
        <x:v>0.1375051579</x:v>
      </x:c>
      <x:c r="AS158" s="39" t="n">
        <x:v>-0.0501128758</x:v>
      </x:c>
    </x:row>
    <x:row r="159" ht="19" customHeight="1">
      <x:c r="A159" s="30" t="str">
        <x:v>Home FX</x:v>
      </x:c>
      <x:c r="B159" s="40" t="d">
        <x:v>2026-02-23T00:00:00.000Z</x:v>
      </x:c>
      <x:c r="C159" s="39" t="n">
        <x:v>0.1424594139</x:v>
      </x:c>
      <x:c r="D159" s="39" t="n">
        <x:v>-0.1082263053</x:v>
      </x:c>
      <x:c r="E159" s="39" t="n">
        <x:v>0.1806547237</x:v>
      </x:c>
      <x:c r="F159" s="39" t="n">
        <x:v>0.1783640917</x:v>
      </x:c>
      <x:c r="G159" s="39" t="n">
        <x:v>-0.0940445832</x:v>
      </x:c>
      <x:c r="H159" s="39" t="n">
        <x:v>-0.0660083669</x:v>
      </x:c>
      <x:c r="I159" s="39" t="n">
        <x:v>-0.1987573346</x:v>
      </x:c>
      <x:c r="J159" s="39" t="n">
        <x:v>0.3414289766</x:v>
      </x:c>
      <x:c r="K159" s="39" t="n">
        <x:v>-0.0723680673</x:v>
      </x:c>
      <x:c r="L159" s="39" t="n">
        <x:v>0.1924712913</x:v>
      </x:c>
      <x:c r="M159" s="39" t="n">
        <x:v>0.1077619836</x:v>
      </x:c>
      <x:c r="N159" s="39" t="n">
        <x:v>0.1181731558</x:v>
      </x:c>
      <x:c r="O159" s="39" t="n">
        <x:v>0.1146338313</x:v>
      </x:c>
      <x:c r="P159" s="39" t="n">
        <x:v>0.1694281758</x:v>
      </x:c>
      <x:c r="Q159" s="39" t="n">
        <x:v>0.0427376142</x:v>
      </x:c>
      <x:c r="R159" s="39" t="n">
        <x:v>0.022147993</x:v>
      </x:c>
      <x:c r="S159" s="39" t="n">
        <x:v>0.1523628883</x:v>
      </x:c>
      <x:c r="T159" s="39" t="n">
        <x:v>-0.0449324203</x:v>
      </x:c>
      <x:c r="U159" s="39" t="n">
        <x:v>0.2970619718</x:v>
      </x:c>
      <x:c r="V159" s="39" t="n">
        <x:v>0.1746779297</x:v>
      </x:c>
      <x:c r="W159" s="39" t="n">
        <x:v>0.2162693028</x:v>
      </x:c>
      <x:c r="X159" s="39" t="n">
        <x:v>0.0606676196</x:v>
      </x:c>
      <x:c r="Y159" s="39" t="n">
        <x:v>-0.0092344447</x:v>
      </x:c>
      <x:c r="Z159" s="39" t="n">
        <x:v>0.2220478519</x:v>
      </x:c>
      <x:c r="AA159" s="39" t="n">
        <x:v>0.0408559892</x:v>
      </x:c>
      <x:c r="AB159" s="39" t="n">
        <x:v>0.007981272</x:v>
      </x:c>
      <x:c r="AC159" s="39" t="n">
        <x:v>-0.556403086</x:v>
      </x:c>
      <x:c r="AD159" s="39" t="n">
        <x:v>0.1473431337</x:v>
      </x:c>
      <x:c r="AE159" s="39" t="n">
        <x:v>0.0392436538</x:v>
      </x:c>
      <x:c r="AF159" s="39" t="n">
        <x:v>-0.0035398006</x:v>
      </x:c>
      <x:c r="AG159" s="39" t="n">
        <x:v>-0.0408465762</x:v>
      </x:c>
      <x:c r="AH159" s="39" t="n">
        <x:v>0.0892461033</x:v>
      </x:c>
      <x:c r="AI159" s="39" t="n">
        <x:v>-0.2549754412</x:v>
      </x:c>
      <x:c r="AJ159" s="39" t="n">
        <x:v>0.024157368</x:v>
      </x:c>
      <x:c r="AK159" s="39" t="n">
        <x:v>0.1498704505</x:v>
      </x:c>
      <x:c r="AL159" s="39" t="n">
        <x:v>0.2622274709</x:v>
      </x:c>
      <x:c r="AM159" s="39" t="n">
        <x:v>-0.1354847145</x:v>
      </x:c>
      <x:c r="AN159" s="39" t="n">
        <x:v>-0.1229765421</x:v>
      </x:c>
      <x:c r="AO159" s="39" t="n">
        <x:v>0.1100864362</x:v>
      </x:c>
      <x:c r="AP159" s="39" t="n">
        <x:v>0.0247013621</x:v>
      </x:c>
      <x:c r="AQ159" s="39" t="n">
        <x:v>0.1314606147</x:v>
      </x:c>
      <x:c r="AR159" s="39" t="n">
        <x:v>0.143672804</x:v>
      </x:c>
      <x:c r="AS159" s="39" t="n">
        <x:v>0.0754331316</x:v>
      </x:c>
    </x:row>
    <x:row r="160" ht="19" customHeight="1">
      <x:c r="A160" s="30" t="str">
        <x:v>Home FX</x:v>
      </x:c>
      <x:c r="B160" s="40" t="d">
        <x:v>2026-03-23T00:00:00.000Z</x:v>
      </x:c>
      <x:c r="C160" s="39" t="n">
        <x:v>-0.170607414</x:v>
      </x:c>
      <x:c r="D160" s="39" t="n">
        <x:v>0.3592576881</x:v>
      </x:c>
      <x:c r="E160" s="39" t="n">
        <x:v>-0.043510789</x:v>
      </x:c>
      <x:c r="F160" s="39" t="n">
        <x:v>0.0394058562</x:v>
      </x:c>
      <x:c r="G160" s="39" t="n">
        <x:v>-0.2121708276</x:v>
      </x:c>
      <x:c r="H160" s="39" t="n">
        <x:v>-0.2892038192</x:v>
      </x:c>
      <x:c r="I160" s="39" t="n">
        <x:v>-0.0804025102</x:v>
      </x:c>
      <x:c r="J160" s="39" t="n">
        <x:v>-0.0683155596</x:v>
      </x:c>
      <x:c r="K160" s="39" t="n">
        <x:v>-0.0220946197</x:v>
      </x:c>
      <x:c r="L160" s="39" t="n">
        <x:v>0.3354362564</x:v>
      </x:c>
      <x:c r="M160" s="39" t="n">
        <x:v>0.4867748597</x:v>
      </x:c>
      <x:c r="N160" s="39" t="n">
        <x:v>0.0064992816</x:v>
      </x:c>
      <x:c r="O160" s="39" t="n">
        <x:v>-0.2079545788</x:v>
      </x:c>
      <x:c r="P160" s="39" t="n">
        <x:v>-0.0235092267</x:v>
      </x:c>
      <x:c r="Q160" s="39" t="n">
        <x:v>-0.0922962997</x:v>
      </x:c>
      <x:c r="R160" s="39" t="n">
        <x:v>0.5759807236</x:v>
      </x:c>
      <x:c r="S160" s="39" t="n">
        <x:v>-0.0930672454</x:v>
      </x:c>
      <x:c r="T160" s="39" t="n">
        <x:v>0.2542012104</x:v>
      </x:c>
      <x:c r="U160" s="39" t="n">
        <x:v>-0.1200815843</x:v>
      </x:c>
      <x:c r="V160" s="39" t="n">
        <x:v>-0.3586130359</x:v>
      </x:c>
      <x:c r="W160" s="39" t="n">
        <x:v>-0.0457338022</x:v>
      </x:c>
      <x:c r="X160" s="39" t="n">
        <x:v>-0.1370115452</x:v>
      </x:c>
      <x:c r="Y160" s="39" t="n">
        <x:v>-0.2215793403</x:v>
      </x:c>
      <x:c r="Z160" s="39" t="n">
        <x:v>-0.3697282315</x:v>
      </x:c>
      <x:c r="AA160" s="39" t="n">
        <x:v>-0.1109455224</x:v>
      </x:c>
      <x:c r="AB160" s="39" t="n">
        <x:v>0.3961697262</x:v>
      </x:c>
      <x:c r="AC160" s="39" t="n">
        <x:v>-0.1461349623</x:v>
      </x:c>
      <x:c r="AD160" s="39" t="n">
        <x:v>-0.2444317638</x:v>
      </x:c>
      <x:c r="AE160" s="39" t="n">
        <x:v>-0.3310313314</x:v>
      </x:c>
      <x:c r="AF160" s="39" t="n">
        <x:v>0.1779829794</x:v>
      </x:c>
      <x:c r="AG160" s="39" t="n">
        <x:v>-0.2739854473</x:v>
      </x:c>
      <x:c r="AH160" s="39" t="n">
        <x:v>-0.2347831089</x:v>
      </x:c>
      <x:c r="AI160" s="39" t="n">
        <x:v>0.0136608804</x:v>
      </x:c>
      <x:c r="AJ160" s="39" t="n">
        <x:v>-0.2786063582</x:v>
      </x:c>
      <x:c r="AK160" s="39" t="n">
        <x:v>-0.0869806338</x:v>
      </x:c>
      <x:c r="AL160" s="39" t="n">
        <x:v>0.0467779311</x:v>
      </x:c>
      <x:c r="AM160" s="39" t="n">
        <x:v>-0.1482500041</x:v>
      </x:c>
      <x:c r="AN160" s="39" t="n">
        <x:v>-0.1962567947</x:v>
      </x:c>
      <x:c r="AO160" s="39" t="n">
        <x:v>-0.0416768431</x:v>
      </x:c>
      <x:c r="AP160" s="39" t="n">
        <x:v>-0.2499274343</x:v>
      </x:c>
      <x:c r="AQ160" s="39" t="n">
        <x:v>-0.1042947081</x:v>
      </x:c>
      <x:c r="AR160" s="39" t="n">
        <x:v>-0.0503892101</x:v>
      </x:c>
      <x:c r="AS160" s="39" t="n">
        <x:v>-0.115666921</x:v>
      </x:c>
    </x:row>
    <x:row r="161" ht="19" customHeight="1">
      <x:c r="A161" s="30" t="str">
        <x:v>Home FX</x:v>
      </x:c>
      <x:c r="B161" s="40" t="d">
        <x:v>2026-04-20T00:00:00.000Z</x:v>
      </x:c>
      <x:c r="C161" s="39" t="n">
        <x:v>0.0868435644</x:v>
      </x:c>
      <x:c r="D161" s="39" t="n">
        <x:v>-0.1133984139</x:v>
      </x:c>
      <x:c r="E161" s="39" t="n">
        <x:v>0.0547364759</x:v>
      </x:c>
      <x:c r="F161" s="39" t="n">
        <x:v>0.0526664131</x:v>
      </x:c>
      <x:c r="G161" s="39" t="n">
        <x:v>0.1635629787</x:v>
      </x:c>
      <x:c r="H161" s="39" t="n">
        <x:v>0.1613129597</x:v>
      </x:c>
      <x:c r="I161" s="39" t="n">
        <x:v>0.4396853229</x:v>
      </x:c>
      <x:c r="J161" s="39" t="n">
        <x:v>0.3653761703</x:v>
      </x:c>
      <x:c r="K161" s="39" t="n">
        <x:v>0.552662845</x:v>
      </x:c>
      <x:c r="L161" s="39" t="n">
        <x:v>-0.1180177782</x:v>
      </x:c>
      <x:c r="M161" s="39" t="n">
        <x:v>-0.1890015744</x:v>
      </x:c>
      <x:c r="N161" s="39" t="n">
        <x:v>-0.10191734</x:v>
      </x:c>
      <x:c r="O161" s="39" t="n">
        <x:v>-0.1220459214</x:v>
      </x:c>
      <x:c r="P161" s="39" t="n">
        <x:v>0.6001402255</x:v>
      </x:c>
      <x:c r="Q161" s="39" t="n">
        <x:v>0.05360987</x:v>
      </x:c>
      <x:c r="R161" s="39" t="n">
        <x:v>0.2449096406</x:v>
      </x:c>
      <x:c r="S161" s="39" t="n">
        <x:v>-0.0471641768</x:v>
      </x:c>
      <x:c r="T161" s="39" t="n">
        <x:v>0.0309180143</x:v>
      </x:c>
      <x:c r="U161" s="39" t="n">
        <x:v>0.0365231784</x:v>
      </x:c>
      <x:c r="V161" s="39" t="n">
        <x:v>-0.1242942654</x:v>
      </x:c>
      <x:c r="W161" s="39" t="n">
        <x:v>-0.0166744061</x:v>
      </x:c>
      <x:c r="X161" s="39" t="n">
        <x:v>-0.0250366783</x:v>
      </x:c>
      <x:c r="Y161" s="39" t="n">
        <x:v>0.5166896263</x:v>
      </x:c>
      <x:c r="Z161" s="39" t="n">
        <x:v>0.2619577046</x:v>
      </x:c>
      <x:c r="AA161" s="39" t="n">
        <x:v>0.016864858</x:v>
      </x:c>
      <x:c r="AB161" s="39" t="n">
        <x:v>0.6879418269</x:v>
      </x:c>
      <x:c r="AC161" s="39" t="n">
        <x:v>0.4721090733</x:v>
      </x:c>
      <x:c r="AD161" s="39" t="n">
        <x:v>0.0706174342</x:v>
      </x:c>
      <x:c r="AE161" s="39" t="n">
        <x:v>0.1332113546</x:v>
      </x:c>
      <x:c r="AF161" s="39" t="n">
        <x:v>0.2541256054</x:v>
      </x:c>
      <x:c r="AG161" s="39" t="n">
        <x:v>0.3112944509</x:v>
      </x:c>
      <x:c r="AH161" s="39" t="n">
        <x:v>-0.095076334</x:v>
      </x:c>
      <x:c r="AI161" s="39" t="n">
        <x:v>0.8506314282</x:v>
      </x:c>
      <x:c r="AJ161" s="39" t="n">
        <x:v>0.0101616843</x:v>
      </x:c>
      <x:c r="AK161" s="39" t="n">
        <x:v>0.1004859236</x:v>
      </x:c>
      <x:c r="AL161" s="39" t="n">
        <x:v>0.3969120041</x:v>
      </x:c>
      <x:c r="AM161" s="39" t="n">
        <x:v>0.2725199786</x:v>
      </x:c>
      <x:c r="AN161" s="39" t="n">
        <x:v>0.3559996166</x:v>
      </x:c>
      <x:c r="AO161" s="39" t="n">
        <x:v>0.0428259562</x:v>
      </x:c>
      <x:c r="AP161" s="39" t="n">
        <x:v>0.0678074755</x:v>
      </x:c>
      <x:c r="AQ161" s="39" t="n">
        <x:v>0.018906195</x:v>
      </x:c>
      <x:c r="AR161" s="39" t="n">
        <x:v>-0.0866567878</x:v>
      </x:c>
      <x:c r="AS161" s="39" t="n">
        <x:v>0.0027707262</x:v>
      </x:c>
    </x:row>
    <x:row r="162" ht="19" customHeight="1">
      <x:c r="A162" s="30" t="str">
        <x:v>Home FX</x:v>
      </x:c>
      <x:c r="B162" s="40" t="d">
        <x:v>2026-05-18T00:00:00.000Z</x:v>
      </x:c>
      <x:c r="C162" s="39" t="n">
        <x:v>-0.0800308211</x:v>
      </x:c>
      <x:c r="D162" s="39" t="n">
        <x:v>0.0622003868</x:v>
      </x:c>
      <x:c r="E162" s="39" t="n">
        <x:v>-0.0259484905</x:v>
      </x:c>
      <x:c r="F162" s="39" t="n">
        <x:v>-0.0087771024</x:v>
      </x:c>
      <x:c r="G162" s="39" t="n">
        <x:v>0.0061770458</x:v>
      </x:c>
      <x:c r="H162" s="39" t="n">
        <x:v>-0.0624671587</x:v>
      </x:c>
      <x:c r="I162" s="39" t="n">
        <x:v>0.0139500732</x:v>
      </x:c>
      <x:c r="J162" s="39" t="n">
        <x:v>0.091876543</x:v>
      </x:c>
      <x:c r="K162" s="39" t="n">
        <x:v>0.4919052347</x:v>
      </x:c>
      <x:c r="L162" s="39" t="n">
        <x:v>0.080598002</x:v>
      </x:c>
      <x:c r="M162" s="39" t="n">
        <x:v>0.0165440327</x:v>
      </x:c>
      <x:c r="N162" s="39" t="n">
        <x:v>-0.021862952</x:v>
      </x:c>
      <x:c r="O162" s="39" t="n">
        <x:v>0.0098942251</x:v>
      </x:c>
      <x:c r="P162" s="39" t="n">
        <x:v>0.2877320825</x:v>
      </x:c>
      <x:c r="Q162" s="39" t="n">
        <x:v>0.1205253529</x:v>
      </x:c>
      <x:c r="R162" s="39" t="n">
        <x:v>0.8087011623</x:v>
      </x:c>
      <x:c r="S162" s="39" t="n">
        <x:v>0.0339942336</x:v>
      </x:c>
      <x:c r="T162" s="39" t="n">
        <x:v>0.0682756085</x:v>
      </x:c>
      <x:c r="U162" s="39" t="n">
        <x:v>-0.125295654</x:v>
      </x:c>
      <x:c r="V162" s="39" t="n">
        <x:v>-0.045086848</x:v>
      </x:c>
      <x:c r="W162" s="39" t="n">
        <x:v>-0.0673545085</x:v>
      </x:c>
      <x:c r="X162" s="39" t="n">
        <x:v>-0.1414857793</x:v>
      </x:c>
      <x:c r="Y162" s="39" t="n">
        <x:v>0.6562404537</x:v>
      </x:c>
      <x:c r="Z162" s="39" t="n">
        <x:v>-0.1817941198</x:v>
      </x:c>
      <x:c r="AA162" s="39" t="n">
        <x:v>-0.0109428762</x:v>
      </x:c>
      <x:c r="AB162" s="39" t="n">
        <x:v>-0.2065043331</x:v>
      </x:c>
      <x:c r="AC162" s="39" t="n">
        <x:v>-0.2527936012</x:v>
      </x:c>
      <x:c r="AD162" s="39" t="n">
        <x:v>-0.0405821228</x:v>
      </x:c>
      <x:c r="AE162" s="39" t="n">
        <x:v>0.3172092635</x:v>
      </x:c>
      <x:c r="AF162" s="39" t="n">
        <x:v>0.4581048376</x:v>
      </x:c>
      <x:c r="AG162" s="39" t="n">
        <x:v>-0.0944072916</x:v>
      </x:c>
      <x:c r="AH162" s="39" t="n">
        <x:v>-0.1807244067</x:v>
      </x:c>
      <x:c r="AI162" s="39" t="n">
        <x:v>0.4695267301</x:v>
      </x:c>
      <x:c r="AJ162" s="39" t="n">
        <x:v>0.2985110499</x:v>
      </x:c>
      <x:c r="AK162" s="39" t="n">
        <x:v>0.0608581888</x:v>
      </x:c>
      <x:c r="AL162" s="39" t="n">
        <x:v>0.6093853344</x:v>
      </x:c>
      <x:c r="AM162" s="39" t="n">
        <x:v>-0.0193467817</x:v>
      </x:c>
      <x:c r="AN162" s="39" t="n">
        <x:v>0.1685181077</x:v>
      </x:c>
      <x:c r="AO162" s="39" t="n">
        <x:v>0.0289088796</x:v>
      </x:c>
      <x:c r="AP162" s="39" t="n">
        <x:v>-0.1116918726</x:v>
      </x:c>
      <x:c r="AQ162" s="39" t="n">
        <x:v>0.0974234003</x:v>
      </x:c>
      <x:c r="AR162" s="39" t="n">
        <x:v>0.0470263332</x:v>
      </x:c>
      <x:c r="AS162" s="39" t="n">
        <x:v>0.056682358</x:v>
      </x:c>
    </x:row>
    <x:row r="163" ht="19" customHeight="1">
      <x:c r="A163" s="30" t="str">
        <x:v>Home FX</x:v>
      </x:c>
      <x:c r="B163" s="40" t="d">
        <x:v>2026-06-15T00:00:00.000Z</x:v>
      </x:c>
      <x:c r="C163" s="39" t="n">
        <x:v>0.0752784602</x:v>
      </x:c>
      <x:c r="D163" s="39" t="n">
        <x:v>-0.1888908411</x:v>
      </x:c>
      <x:c r="E163" s="39" t="n">
        <x:v>-0.0484390383</x:v>
      </x:c>
      <x:c r="F163" s="39" t="n">
        <x:v>-0.0185851604</x:v>
      </x:c>
      <x:c r="G163" s="39" t="n">
        <x:v>0.013852259</x:v>
      </x:c>
      <x:c r="H163" s="39" t="n">
        <x:v>-0.0197008737</x:v>
      </x:c>
      <x:c r="I163" s="39" t="n">
        <x:v>-0.138356334</x:v>
      </x:c>
      <x:c r="J163" s="39" t="n">
        <x:v>0.1181107498</x:v>
      </x:c>
      <x:c r="K163" s="39" t="n">
        <x:v>0.4534877931</x:v>
      </x:c>
      <x:c r="L163" s="39" t="n">
        <x:v>-0.0710419278</x:v>
      </x:c>
      <x:c r="M163" s="39" t="n">
        <x:v>-0.2696980396</x:v>
      </x:c>
      <x:c r="N163" s="39" t="n">
        <x:v>-0.130984783</x:v>
      </x:c>
      <x:c r="O163" s="39" t="n">
        <x:v>0.1398707553</x:v>
      </x:c>
      <x:c r="P163" s="39" t="n">
        <x:v>0.696554973</x:v>
      </x:c>
      <x:c r="Q163" s="39" t="n">
        <x:v>-0.104898365</x:v>
      </x:c>
      <x:c r="R163" s="39" t="n">
        <x:v>0.1438555084</x:v>
      </x:c>
      <x:c r="S163" s="39" t="n">
        <x:v>-0.2609345326</x:v>
      </x:c>
      <x:c r="T163" s="39" t="n">
        <x:v>0.0577180075</x:v>
      </x:c>
      <x:c r="U163" s="39" t="n">
        <x:v>0.5001867706</x:v>
      </x:c>
      <x:c r="V163" s="39" t="n">
        <x:v>0.1488967409</x:v>
      </x:c>
      <x:c r="W163" s="39" t="n">
        <x:v>-0.2180055072</x:v>
      </x:c>
      <x:c r="X163" s="39" t="n">
        <x:v>-0.1881195906</x:v>
      </x:c>
      <x:c r="Y163" s="39" t="n">
        <x:v>0.6634857721</x:v>
      </x:c>
      <x:c r="Z163" s="39" t="n">
        <x:v>-0.0548871155</x:v>
      </x:c>
      <x:c r="AA163" s="39" t="n">
        <x:v>0.042684209</x:v>
      </x:c>
      <x:c r="AB163" s="39" t="n">
        <x:v>0.284844421</x:v>
      </x:c>
      <x:c r="AC163" s="39" t="n">
        <x:v>0.2045991365</x:v>
      </x:c>
      <x:c r="AD163" s="39" t="n">
        <x:v>0.064886648</x:v>
      </x:c>
      <x:c r="AE163" s="39" t="n">
        <x:v>-0.0966649438</x:v>
      </x:c>
      <x:c r="AF163" s="39" t="n">
        <x:v>0.3788150144</x:v>
      </x:c>
      <x:c r="AG163" s="39" t="n">
        <x:v>0.0269719456</x:v>
      </x:c>
      <x:c r="AH163" s="39" t="n">
        <x:v>-0.1802948443</x:v>
      </x:c>
      <x:c r="AI163" s="39" t="n">
        <x:v>0.2242244189</x:v>
      </x:c>
      <x:c r="AJ163" s="39" t="n">
        <x:v>0.0499667706</x:v>
      </x:c>
      <x:c r="AK163" s="39" t="n">
        <x:v>-0.0725141598</x:v>
      </x:c>
      <x:c r="AL163" s="39" t="n">
        <x:v>-0.2315214987</x:v>
      </x:c>
      <x:c r="AM163" s="39" t="n">
        <x:v>-0.158191833</x:v>
      </x:c>
      <x:c r="AN163" s="39" t="n">
        <x:v>-0.0631058793</x:v>
      </x:c>
      <x:c r="AO163" s="39" t="n">
        <x:v>-0.1249662774</x:v>
      </x:c>
      <x:c r="AP163" s="39" t="n">
        <x:v>0.1175730616</x:v>
      </x:c>
      <x:c r="AQ163" s="39" t="n">
        <x:v>-0.0314758051</x:v>
      </x:c>
      <x:c r="AR163" s="39" t="n">
        <x:v>-0.0321747952</x:v>
      </x:c>
      <x:c r="AS163" s="39" t="n">
        <x:v>0.0101634027</x:v>
      </x:c>
    </x:row>
    <x:row r="164" ht="19" customHeight="1">
      <x:c r="A164" s="30" t="str">
        <x:v>Home FX</x:v>
      </x:c>
      <x:c r="B164" s="40" t="d">
        <x:v>2026-07-13T00:00:00.000Z</x:v>
      </x:c>
      <x:c r="C164" s="39" t="n">
        <x:v>-0.0827582749</x:v>
      </x:c>
      <x:c r="D164" s="39" t="n">
        <x:v>-0.145322325</x:v>
      </x:c>
      <x:c r="E164" s="39" t="n">
        <x:v>0.0559374692</x:v>
      </x:c>
      <x:c r="F164" s="39" t="n">
        <x:v>0.031006744</x:v>
      </x:c>
      <x:c r="G164" s="39" t="n">
        <x:v>-0.0883481659</x:v>
      </x:c>
      <x:c r="H164" s="39" t="n">
        <x:v>0.0951758144</x:v>
      </x:c>
      <x:c r="I164" s="39" t="n">
        <x:v>0.0188661656</x:v>
      </x:c>
      <x:c r="J164" s="39" t="n">
        <x:v>-0.2636586143</x:v>
      </x:c>
      <x:c r="K164" s="39" t="n">
        <x:v>-0.550194112</x:v>
      </x:c>
      <x:c r="L164" s="39" t="n">
        <x:v>0.4414398616</x:v>
      </x:c>
      <x:c r="M164" s="39" t="n">
        <x:v>0.2697662126</x:v>
      </x:c>
      <x:c r="N164" s="39" t="n">
        <x:v>0.152095412</x:v>
      </x:c>
      <x:c r="O164" s="39" t="n">
        <x:v>-0.0495531747</x:v>
      </x:c>
      <x:c r="P164" s="39" t="n">
        <x:v>-0.7299996911</x:v>
      </x:c>
      <x:c r="Q164" s="39" t="n">
        <x:v>0.193888791</x:v>
      </x:c>
      <x:c r="R164" s="39" t="n">
        <x:v>-0.6147623806</x:v>
      </x:c>
      <x:c r="S164" s="39" t="n">
        <x:v>-0.0088386004</x:v>
      </x:c>
      <x:c r="T164" s="39" t="n">
        <x:v>0.3502308926</x:v>
      </x:c>
      <x:c r="U164" s="39" t="n">
        <x:v>-0.055569251</x:v>
      </x:c>
      <x:c r="V164" s="39" t="n">
        <x:v>0.3047688179</x:v>
      </x:c>
      <x:c r="W164" s="39" t="n">
        <x:v>-0.1883501414</x:v>
      </x:c>
      <x:c r="X164" s="39" t="n">
        <x:v>0.1182208653</x:v>
      </x:c>
      <x:c r="Y164" s="39" t="n">
        <x:v>-0.4724700925</x:v>
      </x:c>
      <x:c r="Z164" s="39" t="n">
        <x:v>-0.2382389158</x:v>
      </x:c>
      <x:c r="AA164" s="39" t="n">
        <x:v>0.0250913018</x:v>
      </x:c>
      <x:c r="AB164" s="39" t="n">
        <x:v>0.4049458529</x:v>
      </x:c>
      <x:c r="AC164" s="39" t="n">
        <x:v>-0.154072193</x:v>
      </x:c>
      <x:c r="AD164" s="39" t="n">
        <x:v>-0.0043493341</x:v>
      </x:c>
      <x:c r="AE164" s="39" t="n">
        <x:v>0.0196250937</x:v>
      </x:c>
      <x:c r="AF164" s="39" t="n">
        <x:v>-0.0557023776</x:v>
      </x:c>
      <x:c r="AG164" s="39" t="n">
        <x:v>-0.0649882549</x:v>
      </x:c>
      <x:c r="AH164" s="39" t="n">
        <x:v>-0.0960184555</x:v>
      </x:c>
      <x:c r="AI164" s="39" t="n">
        <x:v>-0.1316037153</x:v>
      </x:c>
      <x:c r="AJ164" s="39" t="n">
        <x:v>0.1155289701</x:v>
      </x:c>
      <x:c r="AK164" s="39" t="n">
        <x:v>0.2662666193</x:v>
      </x:c>
      <x:c r="AL164" s="39" t="n">
        <x:v>-0.4850857735</x:v>
      </x:c>
      <x:c r="AM164" s="39" t="n">
        <x:v>0.0609120728</x:v>
      </x:c>
      <x:c r="AN164" s="39" t="n">
        <x:v>-0.0971621903</x:v>
      </x:c>
      <x:c r="AO164" s="39" t="n">
        <x:v>-0.0182594331</x:v>
      </x:c>
      <x:c r="AP164" s="39" t="n">
        <x:v>0.0222688894</x:v>
      </x:c>
      <x:c r="AQ164" s="39" t="n">
        <x:v>0.0440335761</x:v>
      </x:c>
      <x:c r="AR164" s="39" t="n">
        <x:v>0.167361</x:v>
      </x:c>
      <x:c r="AS164" s="39" t="n">
        <x:v>0.0048302825</x:v>
      </x:c>
    </x:row>
    <x:row r="165" ht="19" customHeight="1">
      <x:c r="A165" s="30" t="str">
        <x:v>Home FX</x:v>
      </x:c>
      <x:c r="B165" s="40" t="d">
        <x:v>2026-08-10T00:00:00.000Z</x:v>
      </x:c>
      <x:c r="C165" s="39" t="n">
        <x:v>-0.0797728912</x:v>
      </x:c>
      <x:c r="D165" s="39" t="n">
        <x:v>0.0671452481</x:v>
      </x:c>
      <x:c r="E165" s="39" t="n">
        <x:v>-0.0715017669</x:v>
      </x:c>
      <x:c r="F165" s="39" t="n">
        <x:v>-0.0710610298</x:v>
      </x:c>
      <x:c r="G165" s="39" t="n">
        <x:v>0.1487690153</x:v>
      </x:c>
      <x:c r="H165" s="39" t="n">
        <x:v>-0.0458292821</x:v>
      </x:c>
      <x:c r="I165" s="39" t="n">
        <x:v>0.1001987869</x:v>
      </x:c>
      <x:c r="J165" s="39" t="n">
        <x:v>0.0969418172</x:v>
      </x:c>
      <x:c r="K165" s="39" t="n">
        <x:v>0.2434816336</x:v>
      </x:c>
      <x:c r="L165" s="39" t="n">
        <x:v>0.1693516199</x:v>
      </x:c>
      <x:c r="M165" s="39" t="n">
        <x:v>-0.0346000359</x:v>
      </x:c>
      <x:c r="N165" s="39" t="n">
        <x:v>-0.0347818083</x:v>
      </x:c>
      <x:c r="O165" s="39" t="n">
        <x:v>-0.0067504251</x:v>
      </x:c>
      <x:c r="P165" s="39" t="n">
        <x:v>0.1061178556</x:v>
      </x:c>
      <x:c r="Q165" s="39" t="n">
        <x:v>-0.1067864454</x:v>
      </x:c>
      <x:c r="R165" s="39" t="n">
        <x:v>0.1466498678</x:v>
      </x:c>
      <x:c r="S165" s="39" t="n">
        <x:v>0.1593465578</x:v>
      </x:c>
      <x:c r="T165" s="39" t="n">
        <x:v>0.2130532066</x:v>
      </x:c>
      <x:c r="U165" s="39" t="n">
        <x:v>0.0397035707</x:v>
      </x:c>
      <x:c r="V165" s="39" t="n">
        <x:v>0.303276271</x:v>
      </x:c>
      <x:c r="W165" s="39" t="n">
        <x:v>0.2076346271</x:v>
      </x:c>
      <x:c r="X165" s="39" t="n">
        <x:v>0.1585380729</x:v>
      </x:c>
      <x:c r="Y165" s="39" t="n">
        <x:v>0.2235813074</x:v>
      </x:c>
      <x:c r="Z165" s="39" t="n">
        <x:v>0.4507509107</x:v>
      </x:c>
      <x:c r="AA165" s="39" t="n">
        <x:v>0.0130886371</x:v>
      </x:c>
      <x:c r="AB165" s="39" t="n">
        <x:v>0.2989605974</x:v>
      </x:c>
      <x:c r="AC165" s="39" t="n">
        <x:v>0.0508415618</x:v>
      </x:c>
      <x:c r="AD165" s="39" t="n">
        <x:v>-0.0487537759</x:v>
      </x:c>
      <x:c r="AE165" s="39" t="n">
        <x:v>0.0340531353</x:v>
      </x:c>
      <x:c r="AF165" s="39" t="n">
        <x:v>0.4105268767</x:v>
      </x:c>
      <x:c r="AG165" s="39" t="n">
        <x:v>0.1311585201</x:v>
      </x:c>
      <x:c r="AH165" s="39" t="n">
        <x:v>0.3261411175</x:v>
      </x:c>
      <x:c r="AI165" s="39" t="n">
        <x:v>0.0610927946</x:v>
      </x:c>
      <x:c r="AJ165" s="39" t="n">
        <x:v>0.0038456525</x:v>
      </x:c>
      <x:c r="AK165" s="39" t="n">
        <x:v>-0.0472414825</x:v>
      </x:c>
      <x:c r="AL165" s="39" t="n">
        <x:v>0.0769532006</x:v>
      </x:c>
      <x:c r="AM165" s="39" t="n">
        <x:v>0.3800253133</x:v>
      </x:c>
      <x:c r="AN165" s="39" t="n">
        <x:v>-0.004160151</x:v>
      </x:c>
      <x:c r="AO165" s="39" t="n">
        <x:v>0.0378616985</x:v>
      </x:c>
      <x:c r="AP165" s="39" t="n">
        <x:v>-0.0000489794</x:v>
      </x:c>
      <x:c r="AQ165" s="39" t="n">
        <x:v>0.1203927656</x:v>
      </x:c>
      <x:c r="AR165" s="39" t="n">
        <x:v>0.047164254</x:v>
      </x:c>
      <x:c r="AS165" s="39" t="n">
        <x:v>0.0436792941</x:v>
      </x:c>
    </x:row>
    <x:row r="166" ht="19" customHeight="1">
      <x:c r="A166" s="30" t="str">
        <x:v>Other FX</x:v>
      </x:c>
      <x:c r="B166" s="40" t="d">
        <x:v>2020-07-20T00:00:00.000Z</x:v>
      </x:c>
      <x:c r="C166" s="39" t="n">
        <x:v>0.0220390063</x:v>
      </x:c>
      <x:c r="D166" s="39" t="n">
        <x:v>0.0541093915</x:v>
      </x:c>
      <x:c r="E166" s="39" t="n">
        <x:v>0.042773797</x:v>
      </x:c>
      <x:c r="F166" s="39" t="n">
        <x:v>0.0616212415</x:v>
      </x:c>
      <x:c r="G166" s="39" t="n">
        <x:v>0.0260844853</x:v>
      </x:c>
      <x:c r="H166" s="39" t="n">
        <x:v>0.0313987053</x:v>
      </x:c>
      <x:c r="I166" s="39" t="n">
        <x:v>0.060334672</x:v>
      </x:c>
      <x:c r="J166" s="39" t="n">
        <x:v>-0.0365189708</x:v>
      </x:c>
      <x:c r="K166" s="39" t="n">
        <x:v>-0.0511783034</x:v>
      </x:c>
      <x:c r="L166" s="39" t="n">
        <x:v>0.0157935009</x:v>
      </x:c>
      <x:c r="M166" s="39" t="n">
        <x:v>0.0587088521</x:v>
      </x:c>
      <x:c r="N166" s="39" t="n">
        <x:v>-0.0197878183</x:v>
      </x:c>
      <x:c r="O166" s="39" t="n">
        <x:v>0.075624703</x:v>
      </x:c>
      <x:c r="P166" s="39" t="n">
        <x:v>-0.0521578659</x:v>
      </x:c>
      <x:c r="Q166" s="39" t="n">
        <x:v>-0.0657486741</x:v>
      </x:c>
      <x:c r="R166" s="39"/>
      <x:c r="S166" s="39" t="n">
        <x:v>0.0009156149</x:v>
      </x:c>
      <x:c r="T166" s="39" t="n">
        <x:v>0.0028997815</x:v>
      </x:c>
      <x:c r="U166" s="39" t="n">
        <x:v>0.0572636368</x:v>
      </x:c>
      <x:c r="V166" s="39" t="n">
        <x:v>-0.0625549678</x:v>
      </x:c>
      <x:c r="W166" s="39" t="n">
        <x:v>0.043632435</x:v>
      </x:c>
      <x:c r="X166" s="39" t="n">
        <x:v>0.0476157138</x:v>
      </x:c>
      <x:c r="Y166" s="39" t="n">
        <x:v>-0.0662517541</x:v>
      </x:c>
      <x:c r="Z166" s="39" t="n">
        <x:v>-0.0069065292</x:v>
      </x:c>
      <x:c r="AA166" s="39" t="n">
        <x:v>0.0661737627</x:v>
      </x:c>
      <x:c r="AB166" s="39" t="n">
        <x:v>0.0047416266</x:v>
      </x:c>
      <x:c r="AC166" s="39"/>
      <x:c r="AD166" s="39" t="n">
        <x:v>0.0355671961</x:v>
      </x:c>
      <x:c r="AE166" s="39" t="n">
        <x:v>0.0381938588</x:v>
      </x:c>
      <x:c r="AF166" s="39" t="n">
        <x:v>0.0068247691</x:v>
      </x:c>
      <x:c r="AG166" s="39" t="n">
        <x:v>-0.0244357147</x:v>
      </x:c>
      <x:c r="AH166" s="39" t="n">
        <x:v>-0.0187429504</x:v>
      </x:c>
      <x:c r="AI166" s="39" t="n">
        <x:v>0.1153983181</x:v>
      </x:c>
      <x:c r="AJ166" s="39" t="n">
        <x:v>-0.0110980307</x:v>
      </x:c>
      <x:c r="AK166" s="39" t="n">
        <x:v>-0.0243380712</x:v>
      </x:c>
      <x:c r="AL166" s="39" t="n">
        <x:v>-0.0305591206</x:v>
      </x:c>
      <x:c r="AM166" s="39" t="n">
        <x:v>0.0135922784</x:v>
      </x:c>
      <x:c r="AN166" s="39" t="n">
        <x:v>0.0166172227</x:v>
      </x:c>
      <x:c r="AO166" s="39" t="n">
        <x:v>0.0245319502</x:v>
      </x:c>
      <x:c r="AP166" s="39" t="n">
        <x:v>0.0340936103</x:v>
      </x:c>
      <x:c r="AQ166" s="39" t="n">
        <x:v>0.0316710964</x:v>
      </x:c>
      <x:c r="AR166" s="39" t="n">
        <x:v>0.0177521106</x:v>
      </x:c>
      <x:c r="AS166" s="39" t="n">
        <x:v>0.0361868555</x:v>
      </x:c>
    </x:row>
    <x:row r="167" ht="19" customHeight="1">
      <x:c r="A167" s="30" t="str">
        <x:v>Other FX</x:v>
      </x:c>
      <x:c r="B167" s="40" t="d">
        <x:v>2020-08-17T00:00:00.000Z</x:v>
      </x:c>
      <x:c r="C167" s="39" t="n">
        <x:v>0.0063881766</x:v>
      </x:c>
      <x:c r="D167" s="39" t="n">
        <x:v>-0.1398069985</x:v>
      </x:c>
      <x:c r="E167" s="39" t="n">
        <x:v>-0.0706278123</x:v>
      </x:c>
      <x:c r="F167" s="39" t="n">
        <x:v>-0.0198401839</x:v>
      </x:c>
      <x:c r="G167" s="39" t="n">
        <x:v>0.0373814728</x:v>
      </x:c>
      <x:c r="H167" s="39" t="n">
        <x:v>0.0481634067</x:v>
      </x:c>
      <x:c r="I167" s="39" t="n">
        <x:v>0.0483615256</x:v>
      </x:c>
      <x:c r="J167" s="39" t="n">
        <x:v>0.0710570814</x:v>
      </x:c>
      <x:c r="K167" s="39" t="n">
        <x:v>-0.1032226603</x:v>
      </x:c>
      <x:c r="L167" s="39" t="n">
        <x:v>-0.0437937152</x:v>
      </x:c>
      <x:c r="M167" s="39" t="n">
        <x:v>0.0361204319</x:v>
      </x:c>
      <x:c r="N167" s="39" t="n">
        <x:v>0.0347867074</x:v>
      </x:c>
      <x:c r="O167" s="39" t="n">
        <x:v>0.0053503796</x:v>
      </x:c>
      <x:c r="P167" s="39" t="n">
        <x:v>-0.1944006698</x:v>
      </x:c>
      <x:c r="Q167" s="39" t="n">
        <x:v>-0.0050074948</x:v>
      </x:c>
      <x:c r="R167" s="39"/>
      <x:c r="S167" s="39" t="n">
        <x:v>0.0023777635</x:v>
      </x:c>
      <x:c r="T167" s="39" t="n">
        <x:v>0.047310469</x:v>
      </x:c>
      <x:c r="U167" s="39" t="n">
        <x:v>-0.0706698599</x:v>
      </x:c>
      <x:c r="V167" s="39" t="n">
        <x:v>-0.0197343452</x:v>
      </x:c>
      <x:c r="W167" s="39" t="n">
        <x:v>0.0134466419</x:v>
      </x:c>
      <x:c r="X167" s="39" t="n">
        <x:v>-0.0099730866</x:v>
      </x:c>
      <x:c r="Y167" s="39" t="n">
        <x:v>-0.1534667667</x:v>
      </x:c>
      <x:c r="Z167" s="39" t="n">
        <x:v>-0.0519885048</x:v>
      </x:c>
      <x:c r="AA167" s="39" t="n">
        <x:v>0.0243095959</x:v>
      </x:c>
      <x:c r="AB167" s="39" t="n">
        <x:v>-0.1178831828</x:v>
      </x:c>
      <x:c r="AC167" s="39"/>
      <x:c r="AD167" s="39" t="n">
        <x:v>0.0389081722</x:v>
      </x:c>
      <x:c r="AE167" s="39" t="n">
        <x:v>-0.045545648</x:v>
      </x:c>
      <x:c r="AF167" s="39" t="n">
        <x:v>-0.0168786529</x:v>
      </x:c>
      <x:c r="AG167" s="39" t="n">
        <x:v>-0.0397353836</x:v>
      </x:c>
      <x:c r="AH167" s="39" t="n">
        <x:v>-0.0839265056</x:v>
      </x:c>
      <x:c r="AI167" s="39" t="n">
        <x:v>0.0568722285</x:v>
      </x:c>
      <x:c r="AJ167" s="39" t="n">
        <x:v>-0.0340459869</x:v>
      </x:c>
      <x:c r="AK167" s="39" t="n">
        <x:v>0.0222388841</x:v>
      </x:c>
      <x:c r="AL167" s="39" t="n">
        <x:v>0.0595657306</x:v>
      </x:c>
      <x:c r="AM167" s="39" t="n">
        <x:v>0.0325361308</x:v>
      </x:c>
      <x:c r="AN167" s="39" t="n">
        <x:v>-0.0055334465</x:v>
      </x:c>
      <x:c r="AO167" s="39" t="n">
        <x:v>0.0124343011</x:v>
      </x:c>
      <x:c r="AP167" s="39" t="n">
        <x:v>0.0252868283</x:v>
      </x:c>
      <x:c r="AQ167" s="39" t="n">
        <x:v>-0.0324283656</x:v>
      </x:c>
      <x:c r="AR167" s="39" t="n">
        <x:v>0.0004767355</x:v>
      </x:c>
      <x:c r="AS167" s="39" t="n">
        <x:v>0.0201155014</x:v>
      </x:c>
    </x:row>
    <x:row r="168" ht="19" customHeight="1">
      <x:c r="A168" s="30" t="str">
        <x:v>Other FX</x:v>
      </x:c>
      <x:c r="B168" s="40" t="d">
        <x:v>2020-09-14T00:00:00.000Z</x:v>
      </x:c>
      <x:c r="C168" s="39" t="n">
        <x:v>-0.0257498283</x:v>
      </x:c>
      <x:c r="D168" s="39" t="n">
        <x:v>-0.1741197306</x:v>
      </x:c>
      <x:c r="E168" s="39" t="n">
        <x:v>-0.0181065275</x:v>
      </x:c>
      <x:c r="F168" s="39" t="n">
        <x:v>-0.015603049</x:v>
      </x:c>
      <x:c r="G168" s="39" t="n">
        <x:v>-0.0017493732</x:v>
      </x:c>
      <x:c r="H168" s="39" t="n">
        <x:v>-0.0259708699</x:v>
      </x:c>
      <x:c r="I168" s="39" t="n">
        <x:v>-0.0591760379</x:v>
      </x:c>
      <x:c r="J168" s="39" t="n">
        <x:v>-0.0602743673</x:v>
      </x:c>
      <x:c r="K168" s="39" t="n">
        <x:v>-0.0184741768</x:v>
      </x:c>
      <x:c r="L168" s="39" t="n">
        <x:v>-0.0431806512</x:v>
      </x:c>
      <x:c r="M168" s="39" t="n">
        <x:v>0.0276395004</x:v>
      </x:c>
      <x:c r="N168" s="39" t="n">
        <x:v>0.0416631617</x:v>
      </x:c>
      <x:c r="O168" s="39" t="n">
        <x:v>-0.0295359986</x:v>
      </x:c>
      <x:c r="P168" s="39" t="n">
        <x:v>-0.0069953477</x:v>
      </x:c>
      <x:c r="Q168" s="39" t="n">
        <x:v>0.0122279211</x:v>
      </x:c>
      <x:c r="R168" s="39"/>
      <x:c r="S168" s="39" t="n">
        <x:v>-0.0269561887</x:v>
      </x:c>
      <x:c r="T168" s="39" t="n">
        <x:v>-0.0267832065</x:v>
      </x:c>
      <x:c r="U168" s="39" t="n">
        <x:v>0.0106356046</x:v>
      </x:c>
      <x:c r="V168" s="39" t="n">
        <x:v>-0.0004063168</x:v>
      </x:c>
      <x:c r="W168" s="39" t="n">
        <x:v>-0.0259833372</x:v>
      </x:c>
      <x:c r="X168" s="39" t="n">
        <x:v>0.0212405573</x:v>
      </x:c>
      <x:c r="Y168" s="39" t="n">
        <x:v>0.0311567579</x:v>
      </x:c>
      <x:c r="Z168" s="39" t="n">
        <x:v>-0.0476458422</x:v>
      </x:c>
      <x:c r="AA168" s="39" t="n">
        <x:v>0.029884206</x:v>
      </x:c>
      <x:c r="AB168" s="39" t="n">
        <x:v>-0.0415990982</x:v>
      </x:c>
      <x:c r="AC168" s="39"/>
      <x:c r="AD168" s="39" t="n">
        <x:v>-0.0095320366</x:v>
      </x:c>
      <x:c r="AE168" s="39" t="n">
        <x:v>0.0181609335</x:v>
      </x:c>
      <x:c r="AF168" s="39" t="n">
        <x:v>0.0171404607</x:v>
      </x:c>
      <x:c r="AG168" s="39" t="n">
        <x:v>-0.0412907475</x:v>
      </x:c>
      <x:c r="AH168" s="39" t="n">
        <x:v>-0.0540318057</x:v>
      </x:c>
      <x:c r="AI168" s="39" t="n">
        <x:v>-0.1099179721</x:v>
      </x:c>
      <x:c r="AJ168" s="39" t="n">
        <x:v>0.0181008022</x:v>
      </x:c>
      <x:c r="AK168" s="39" t="n">
        <x:v>-0.028955232</x:v>
      </x:c>
      <x:c r="AL168" s="39" t="n">
        <x:v>-0.127463694</x:v>
      </x:c>
      <x:c r="AM168" s="39" t="n">
        <x:v>-0.0341817785</x:v>
      </x:c>
      <x:c r="AN168" s="39" t="n">
        <x:v>-0.075728756</x:v>
      </x:c>
      <x:c r="AO168" s="39" t="n">
        <x:v>-0.0340086309</x:v>
      </x:c>
      <x:c r="AP168" s="39" t="n">
        <x:v>-0.0239786798</x:v>
      </x:c>
      <x:c r="AQ168" s="39" t="n">
        <x:v>0.0222412296</x:v>
      </x:c>
      <x:c r="AR168" s="39" t="n">
        <x:v>-0.0261257462</x:v>
      </x:c>
      <x:c r="AS168" s="39" t="n">
        <x:v>0.0129754882</x:v>
      </x:c>
    </x:row>
    <x:row r="169" ht="19" customHeight="1">
      <x:c r="A169" s="30" t="str">
        <x:v>Other FX</x:v>
      </x:c>
      <x:c r="B169" s="40" t="d">
        <x:v>2020-10-12T00:00:00.000Z</x:v>
      </x:c>
      <x:c r="C169" s="39" t="n">
        <x:v>0.0278073665</x:v>
      </x:c>
      <x:c r="D169" s="39" t="n">
        <x:v>-0.0601423679</x:v>
      </x:c>
      <x:c r="E169" s="39" t="n">
        <x:v>0.0915373529</x:v>
      </x:c>
      <x:c r="F169" s="39" t="n">
        <x:v>0.0631550189</x:v>
      </x:c>
      <x:c r="G169" s="39" t="n">
        <x:v>0.0095627531</x:v>
      </x:c>
      <x:c r="H169" s="39" t="n">
        <x:v>0.0733653025</x:v>
      </x:c>
      <x:c r="I169" s="39" t="n">
        <x:v>0.0579386511</x:v>
      </x:c>
      <x:c r="J169" s="39" t="n">
        <x:v>0.0126291346</x:v>
      </x:c>
      <x:c r="K169" s="39" t="n">
        <x:v>-0.011775645</x:v>
      </x:c>
      <x:c r="L169" s="39" t="n">
        <x:v>-0.1086282583</x:v>
      </x:c>
      <x:c r="M169" s="39" t="n">
        <x:v>-0.0849366935</x:v>
      </x:c>
      <x:c r="N169" s="39" t="n">
        <x:v>-0.0150781329</x:v>
      </x:c>
      <x:c r="O169" s="39" t="n">
        <x:v>0.0665562775</x:v>
      </x:c>
      <x:c r="P169" s="39" t="n">
        <x:v>-0.0019404989</x:v>
      </x:c>
      <x:c r="Q169" s="39" t="n">
        <x:v>0.0369047041</x:v>
      </x:c>
      <x:c r="R169" s="39"/>
      <x:c r="S169" s="39" t="n">
        <x:v>0.0001203083</x:v>
      </x:c>
      <x:c r="T169" s="39" t="n">
        <x:v>0.2562645494</x:v>
      </x:c>
      <x:c r="U169" s="39" t="n">
        <x:v>0.0840557902</x:v>
      </x:c>
      <x:c r="V169" s="39" t="n">
        <x:v>0.1584790836</x:v>
      </x:c>
      <x:c r="W169" s="39" t="n">
        <x:v>0.0690378347</x:v>
      </x:c>
      <x:c r="X169" s="39" t="n">
        <x:v>0.0363521595</x:v>
      </x:c>
      <x:c r="Y169" s="39" t="n">
        <x:v>-0.0017095162</x:v>
      </x:c>
      <x:c r="Z169" s="39" t="n">
        <x:v>0.0292130261</x:v>
      </x:c>
      <x:c r="AA169" s="39" t="n">
        <x:v>-0.0014031314</x:v>
      </x:c>
      <x:c r="AB169" s="39" t="n">
        <x:v>-0.1230174388</x:v>
      </x:c>
      <x:c r="AC169" s="39"/>
      <x:c r="AD169" s="39" t="n">
        <x:v>0.0411207824</x:v>
      </x:c>
      <x:c r="AE169" s="39" t="n">
        <x:v>0.0582669664</x:v>
      </x:c>
      <x:c r="AF169" s="39" t="n">
        <x:v>-0.0011954391</x:v>
      </x:c>
      <x:c r="AG169" s="39" t="n">
        <x:v>0.0542848992</x:v>
      </x:c>
      <x:c r="AH169" s="39" t="n">
        <x:v>0.0173242941</x:v>
      </x:c>
      <x:c r="AI169" s="39" t="n">
        <x:v>0.0575554433</x:v>
      </x:c>
      <x:c r="AJ169" s="39" t="n">
        <x:v>-0.0304172079</x:v>
      </x:c>
      <x:c r="AK169" s="39" t="n">
        <x:v>-0.022028083</x:v>
      </x:c>
      <x:c r="AL169" s="39" t="n">
        <x:v>-0.0239725083</x:v>
      </x:c>
      <x:c r="AM169" s="39" t="n">
        <x:v>0.0520769622</x:v>
      </x:c>
      <x:c r="AN169" s="39" t="n">
        <x:v>0.0422029643</x:v>
      </x:c>
      <x:c r="AO169" s="39" t="n">
        <x:v>0.0736972499</x:v>
      </x:c>
      <x:c r="AP169" s="39" t="n">
        <x:v>0.0373823267</x:v>
      </x:c>
      <x:c r="AQ169" s="39" t="n">
        <x:v>0.0017104184</x:v>
      </x:c>
      <x:c r="AR169" s="39" t="n">
        <x:v>-0.005252071</x:v>
      </x:c>
      <x:c r="AS169" s="39" t="n">
        <x:v>-0.0168437802</x:v>
      </x:c>
    </x:row>
    <x:row r="170" ht="19" customHeight="1">
      <x:c r="A170" s="30" t="str">
        <x:v>Other FX</x:v>
      </x:c>
      <x:c r="B170" s="40" t="d">
        <x:v>2020-11-09T00:00:00.000Z</x:v>
      </x:c>
      <x:c r="C170" s="39" t="n">
        <x:v>0.0210824094</x:v>
      </x:c>
      <x:c r="D170" s="39" t="n">
        <x:v>-0.0003096113</x:v>
      </x:c>
      <x:c r="E170" s="39" t="n">
        <x:v>-0.0251675704</x:v>
      </x:c>
      <x:c r="F170" s="39" t="n">
        <x:v>0.0184075058</x:v>
      </x:c>
      <x:c r="G170" s="39" t="n">
        <x:v>0.0394548549</x:v>
      </x:c>
      <x:c r="H170" s="39" t="n">
        <x:v>-0.0521753312</x:v>
      </x:c>
      <x:c r="I170" s="39" t="n">
        <x:v>-0.0258662008</x:v>
      </x:c>
      <x:c r="J170" s="39" t="n">
        <x:v>-0.1305618089</x:v>
      </x:c>
      <x:c r="K170" s="39" t="n">
        <x:v>-0.0284700988</x:v>
      </x:c>
      <x:c r="L170" s="39" t="n">
        <x:v>0.135695071</x:v>
      </x:c>
      <x:c r="M170" s="39" t="n">
        <x:v>0.0365458702</x:v>
      </x:c>
      <x:c r="N170" s="39" t="n">
        <x:v>-0.0024594801</x:v>
      </x:c>
      <x:c r="O170" s="39" t="n">
        <x:v>0.0351130531</x:v>
      </x:c>
      <x:c r="P170" s="39" t="n">
        <x:v>-0.0185605834</x:v>
      </x:c>
      <x:c r="Q170" s="39" t="n">
        <x:v>0.0110900368</x:v>
      </x:c>
      <x:c r="R170" s="39"/>
      <x:c r="S170" s="39" t="n">
        <x:v>-0.0238225991</x:v>
      </x:c>
      <x:c r="T170" s="39" t="n">
        <x:v>0.051687018</x:v>
      </x:c>
      <x:c r="U170" s="39" t="n">
        <x:v>0.0811699372</x:v>
      </x:c>
      <x:c r="V170" s="39" t="n">
        <x:v>0.0591411717</x:v>
      </x:c>
      <x:c r="W170" s="39" t="n">
        <x:v>-0.0544647528</x:v>
      </x:c>
      <x:c r="X170" s="39" t="n">
        <x:v>0.0298614897</x:v>
      </x:c>
      <x:c r="Y170" s="39" t="n">
        <x:v>-0.0076850438</x:v>
      </x:c>
      <x:c r="Z170" s="39" t="n">
        <x:v>-0.0288012565</x:v>
      </x:c>
      <x:c r="AA170" s="39" t="n">
        <x:v>-0.0051482121</x:v>
      </x:c>
      <x:c r="AB170" s="39" t="n">
        <x:v>-0.0196443944</x:v>
      </x:c>
      <x:c r="AC170" s="39"/>
      <x:c r="AD170" s="39" t="n">
        <x:v>-0.0098623796</x:v>
      </x:c>
      <x:c r="AE170" s="39" t="n">
        <x:v>0.0260518052</x:v>
      </x:c>
      <x:c r="AF170" s="39" t="n">
        <x:v>0.0387161341</x:v>
      </x:c>
      <x:c r="AG170" s="39" t="n">
        <x:v>0.0365763844</x:v>
      </x:c>
      <x:c r="AH170" s="39" t="n">
        <x:v>0.0287616754</x:v>
      </x:c>
      <x:c r="AI170" s="39" t="n">
        <x:v>-0.066392199</x:v>
      </x:c>
      <x:c r="AJ170" s="39" t="n">
        <x:v>-0.0119670796</x:v>
      </x:c>
      <x:c r="AK170" s="39" t="n">
        <x:v>0.0780026114</x:v>
      </x:c>
      <x:c r="AL170" s="39" t="n">
        <x:v>-0.0522162246</x:v>
      </x:c>
      <x:c r="AM170" s="39" t="n">
        <x:v>-0.0083090001</x:v>
      </x:c>
      <x:c r="AN170" s="39" t="n">
        <x:v>0.0365805436</x:v>
      </x:c>
      <x:c r="AO170" s="39" t="n">
        <x:v>-0.0260176766</x:v>
      </x:c>
      <x:c r="AP170" s="39" t="n">
        <x:v>-0.0356929492</x:v>
      </x:c>
      <x:c r="AQ170" s="39" t="n">
        <x:v>0.0156717543</x:v>
      </x:c>
      <x:c r="AR170" s="39" t="n">
        <x:v>-0.0119731893</x:v>
      </x:c>
      <x:c r="AS170" s="39" t="n">
        <x:v>0.0229730993</x:v>
      </x:c>
    </x:row>
    <x:row r="171" ht="19" customHeight="1">
      <x:c r="A171" s="30" t="str">
        <x:v>Other FX</x:v>
      </x:c>
      <x:c r="B171" s="40" t="d">
        <x:v>2020-12-07T00:00:00.000Z</x:v>
      </x:c>
      <x:c r="C171" s="39" t="n">
        <x:v>-0.0445335861</x:v>
      </x:c>
      <x:c r="D171" s="39" t="n">
        <x:v>0.0599396405</x:v>
      </x:c>
      <x:c r="E171" s="39" t="n">
        <x:v>-0.0763985537</x:v>
      </x:c>
      <x:c r="F171" s="39" t="n">
        <x:v>-0.0352422787</x:v>
      </x:c>
      <x:c r="G171" s="39" t="n">
        <x:v>0.1190247654</x:v>
      </x:c>
      <x:c r="H171" s="39" t="n">
        <x:v>-0.001473396</x:v>
      </x:c>
      <x:c r="I171" s="39" t="n">
        <x:v>-0.0023149072</x:v>
      </x:c>
      <x:c r="J171" s="39" t="n">
        <x:v>-0.0773812417</x:v>
      </x:c>
      <x:c r="K171" s="39" t="n">
        <x:v>0.0319749946</x:v>
      </x:c>
      <x:c r="L171" s="39" t="n">
        <x:v>0.096584071</x:v>
      </x:c>
      <x:c r="M171" s="39" t="n">
        <x:v>0.141519196</x:v>
      </x:c>
      <x:c r="N171" s="39" t="n">
        <x:v>0.047852076</x:v>
      </x:c>
      <x:c r="O171" s="39" t="n">
        <x:v>-0.0050739206</x:v>
      </x:c>
      <x:c r="P171" s="39" t="n">
        <x:v>0.0324539392</x:v>
      </x:c>
      <x:c r="Q171" s="39" t="n">
        <x:v>0.0238034395</x:v>
      </x:c>
      <x:c r="R171" s="39"/>
      <x:c r="S171" s="39" t="n">
        <x:v>0.0270818401</x:v>
      </x:c>
      <x:c r="T171" s="39" t="n">
        <x:v>0.1496008211</x:v>
      </x:c>
      <x:c r="U171" s="39" t="n">
        <x:v>0.2728743223</x:v>
      </x:c>
      <x:c r="V171" s="39" t="n">
        <x:v>0.010229687</x:v>
      </x:c>
      <x:c r="W171" s="39" t="n">
        <x:v>0.024119465</x:v>
      </x:c>
      <x:c r="X171" s="39" t="n">
        <x:v>-0.0038297205</x:v>
      </x:c>
      <x:c r="Y171" s="39" t="n">
        <x:v>0.0190945215</x:v>
      </x:c>
      <x:c r="Z171" s="39" t="n">
        <x:v>-0.1518339424</x:v>
      </x:c>
      <x:c r="AA171" s="39" t="n">
        <x:v>-0.0077974489</x:v>
      </x:c>
      <x:c r="AB171" s="39" t="n">
        <x:v>0.0552101368</x:v>
      </x:c>
      <x:c r="AC171" s="39"/>
      <x:c r="AD171" s="39" t="n">
        <x:v>-0.0536593028</x:v>
      </x:c>
      <x:c r="AE171" s="39" t="n">
        <x:v>-0.0246564976</x:v>
      </x:c>
      <x:c r="AF171" s="39" t="n">
        <x:v>0.1035954294</x:v>
      </x:c>
      <x:c r="AG171" s="39" t="n">
        <x:v>0.0728291473</x:v>
      </x:c>
      <x:c r="AH171" s="39" t="n">
        <x:v>0.0024227009</x:v>
      </x:c>
      <x:c r="AI171" s="39" t="n">
        <x:v>-0.0033380787</x:v>
      </x:c>
      <x:c r="AJ171" s="39" t="n">
        <x:v>0.0682150642</x:v>
      </x:c>
      <x:c r="AK171" s="39" t="n">
        <x:v>-0.0617293264</x:v>
      </x:c>
      <x:c r="AL171" s="39" t="n">
        <x:v>0.014322734</x:v>
      </x:c>
      <x:c r="AM171" s="39" t="n">
        <x:v>-0.0072983665</x:v>
      </x:c>
      <x:c r="AN171" s="39" t="n">
        <x:v>-0.0442514422</x:v>
      </x:c>
      <x:c r="AO171" s="39" t="n">
        <x:v>-0.0221881435</x:v>
      </x:c>
      <x:c r="AP171" s="39" t="n">
        <x:v>-0.0474736118</x:v>
      </x:c>
      <x:c r="AQ171" s="39" t="n">
        <x:v>-0.0288089357</x:v>
      </x:c>
      <x:c r="AR171" s="39" t="n">
        <x:v>-0.0092475391</x:v>
      </x:c>
      <x:c r="AS171" s="39" t="n">
        <x:v>-0.0263021442</x:v>
      </x:c>
    </x:row>
    <x:row r="172" ht="19" customHeight="1">
      <x:c r="A172" s="30" t="str">
        <x:v>Other FX</x:v>
      </x:c>
      <x:c r="B172" s="40" t="d">
        <x:v>2021-01-04T00:00:00.000Z</x:v>
      </x:c>
      <x:c r="C172" s="39" t="n">
        <x:v>0.0862152649</x:v>
      </x:c>
      <x:c r="D172" s="39" t="n">
        <x:v>-0.0596984363</x:v>
      </x:c>
      <x:c r="E172" s="39" t="n">
        <x:v>-0.0512823144</x:v>
      </x:c>
      <x:c r="F172" s="39" t="n">
        <x:v>-0.0435305468</x:v>
      </x:c>
      <x:c r="G172" s="39" t="n">
        <x:v>-0.0070173521</x:v>
      </x:c>
      <x:c r="H172" s="39" t="n">
        <x:v>0.0250352475</x:v>
      </x:c>
      <x:c r="I172" s="39" t="n">
        <x:v>0.0124522116</x:v>
      </x:c>
      <x:c r="J172" s="39" t="n">
        <x:v>-0.0154529309</x:v>
      </x:c>
      <x:c r="K172" s="39" t="n">
        <x:v>-0.115717418</x:v>
      </x:c>
      <x:c r="L172" s="39" t="n">
        <x:v>-0.0133812744</x:v>
      </x:c>
      <x:c r="M172" s="39" t="n">
        <x:v>0.0543828605</x:v>
      </x:c>
      <x:c r="N172" s="39" t="n">
        <x:v>0.0086875996</x:v>
      </x:c>
      <x:c r="O172" s="39" t="n">
        <x:v>0.0869132747</x:v>
      </x:c>
      <x:c r="P172" s="39" t="n">
        <x:v>-0.0738578493</x:v>
      </x:c>
      <x:c r="Q172" s="39" t="n">
        <x:v>-0.0491019699</x:v>
      </x:c>
      <x:c r="R172" s="39"/>
      <x:c r="S172" s="39" t="n">
        <x:v>0.0474155718</x:v>
      </x:c>
      <x:c r="T172" s="39" t="n">
        <x:v>-0.0238820402</x:v>
      </x:c>
      <x:c r="U172" s="39" t="n">
        <x:v>-0.2412351701</x:v>
      </x:c>
      <x:c r="V172" s="39" t="n">
        <x:v>0.0106683283</x:v>
      </x:c>
      <x:c r="W172" s="39" t="n">
        <x:v>0.0083827476</x:v>
      </x:c>
      <x:c r="X172" s="39" t="n">
        <x:v>-0.0114711178</x:v>
      </x:c>
      <x:c r="Y172" s="39" t="n">
        <x:v>-0.0328271288</x:v>
      </x:c>
      <x:c r="Z172" s="39" t="n">
        <x:v>-0.0407068276</x:v>
      </x:c>
      <x:c r="AA172" s="39" t="n">
        <x:v>0.0289026235</x:v>
      </x:c>
      <x:c r="AB172" s="39" t="n">
        <x:v>-0.0287353817</x:v>
      </x:c>
      <x:c r="AC172" s="39"/>
      <x:c r="AD172" s="39" t="n">
        <x:v>-0.0084209882</x:v>
      </x:c>
      <x:c r="AE172" s="39" t="n">
        <x:v>-0.0504079743</x:v>
      </x:c>
      <x:c r="AF172" s="39" t="n">
        <x:v>-0.0054533708</x:v>
      </x:c>
      <x:c r="AG172" s="39" t="n">
        <x:v>-0.0959124301</x:v>
      </x:c>
      <x:c r="AH172" s="39" t="n">
        <x:v>-0.0712079782</x:v>
      </x:c>
      <x:c r="AI172" s="39" t="n">
        <x:v>-0.0472067713</x:v>
      </x:c>
      <x:c r="AJ172" s="39" t="n">
        <x:v>0.0230943163</x:v>
      </x:c>
      <x:c r="AK172" s="39" t="n">
        <x:v>-0.059906279</x:v>
      </x:c>
      <x:c r="AL172" s="39" t="n">
        <x:v>-0.0391534546</x:v>
      </x:c>
      <x:c r="AM172" s="39" t="n">
        <x:v>0.0173879203</x:v>
      </x:c>
      <x:c r="AN172" s="39" t="n">
        <x:v>-0.0334698995</x:v>
      </x:c>
      <x:c r="AO172" s="39" t="n">
        <x:v>-0.0366499005</x:v>
      </x:c>
      <x:c r="AP172" s="39" t="n">
        <x:v>-0.0101128973</x:v>
      </x:c>
      <x:c r="AQ172" s="39" t="n">
        <x:v>-0.0544454742</x:v>
      </x:c>
      <x:c r="AR172" s="39" t="n">
        <x:v>0.0039670461</x:v>
      </x:c>
      <x:c r="AS172" s="39" t="n">
        <x:v>-0.0018648087</x:v>
      </x:c>
    </x:row>
    <x:row r="173" ht="19" customHeight="1">
      <x:c r="A173" s="30" t="str">
        <x:v>Other FX</x:v>
      </x:c>
      <x:c r="B173" s="40" t="d">
        <x:v>2021-02-01T00:00:00.000Z</x:v>
      </x:c>
      <x:c r="C173" s="39" t="n">
        <x:v>0.0017127728</x:v>
      </x:c>
      <x:c r="D173" s="39" t="n">
        <x:v>-0.0436620894</x:v>
      </x:c>
      <x:c r="E173" s="39" t="n">
        <x:v>0.0246620798</x:v>
      </x:c>
      <x:c r="F173" s="39" t="n">
        <x:v>0.0071218492</x:v>
      </x:c>
      <x:c r="G173" s="39" t="n">
        <x:v>0.0212443395</x:v>
      </x:c>
      <x:c r="H173" s="39" t="n">
        <x:v>0.0561842663</x:v>
      </x:c>
      <x:c r="I173" s="39" t="n">
        <x:v>0.0311282741</x:v>
      </x:c>
      <x:c r="J173" s="39" t="n">
        <x:v>-0.0191711524</x:v>
      </x:c>
      <x:c r="K173" s="39" t="n">
        <x:v>0.0618998712</x:v>
      </x:c>
      <x:c r="L173" s="39" t="n">
        <x:v>0.0403130244</x:v>
      </x:c>
      <x:c r="M173" s="39" t="n">
        <x:v>-0.0002781164</x:v>
      </x:c>
      <x:c r="N173" s="39" t="n">
        <x:v>0.030879889</x:v>
      </x:c>
      <x:c r="O173" s="39" t="n">
        <x:v>0.0416288849</x:v>
      </x:c>
      <x:c r="P173" s="39" t="n">
        <x:v>0.0630926442</x:v>
      </x:c>
      <x:c r="Q173" s="39" t="n">
        <x:v>-0.0648476754</x:v>
      </x:c>
      <x:c r="R173" s="39"/>
      <x:c r="S173" s="39" t="n">
        <x:v>-0.025117405</x:v>
      </x:c>
      <x:c r="T173" s="39" t="n">
        <x:v>0.0467313922</x:v>
      </x:c>
      <x:c r="U173" s="39" t="n">
        <x:v>0.3069034301</x:v>
      </x:c>
      <x:c r="V173" s="39" t="n">
        <x:v>0.20761951</x:v>
      </x:c>
      <x:c r="W173" s="39" t="n">
        <x:v>0.0457026969</x:v>
      </x:c>
      <x:c r="X173" s="39" t="n">
        <x:v>0.0178847845</x:v>
      </x:c>
      <x:c r="Y173" s="39" t="n">
        <x:v>0.006234771</x:v>
      </x:c>
      <x:c r="Z173" s="39" t="n">
        <x:v>-0.0038708046</x:v>
      </x:c>
      <x:c r="AA173" s="39" t="n">
        <x:v>-0.04638991</x:v>
      </x:c>
      <x:c r="AB173" s="39" t="n">
        <x:v>0.0595177951</x:v>
      </x:c>
      <x:c r="AC173" s="39" t="n">
        <x:v>0.2133335809</x:v>
      </x:c>
      <x:c r="AD173" s="39" t="n">
        <x:v>-0.0289590208</x:v>
      </x:c>
      <x:c r="AE173" s="39" t="n">
        <x:v>0.1624693345</x:v>
      </x:c>
      <x:c r="AF173" s="39" t="n">
        <x:v>0.0604925126</x:v>
      </x:c>
      <x:c r="AG173" s="39" t="n">
        <x:v>0.0172784831</x:v>
      </x:c>
      <x:c r="AH173" s="39" t="n">
        <x:v>-0.0054184951</x:v>
      </x:c>
      <x:c r="AI173" s="39" t="n">
        <x:v>-0.0541896593</x:v>
      </x:c>
      <x:c r="AJ173" s="39" t="n">
        <x:v>0.1156230072</x:v>
      </x:c>
      <x:c r="AK173" s="39" t="n">
        <x:v>0.0067986698</x:v>
      </x:c>
      <x:c r="AL173" s="39" t="n">
        <x:v>0.0282994523</x:v>
      </x:c>
      <x:c r="AM173" s="39" t="n">
        <x:v>0.0587283611</x:v>
      </x:c>
      <x:c r="AN173" s="39" t="n">
        <x:v>0.0830971292</x:v>
      </x:c>
      <x:c r="AO173" s="39" t="n">
        <x:v>-0.0257532606</x:v>
      </x:c>
      <x:c r="AP173" s="39" t="n">
        <x:v>0.0292975497</x:v>
      </x:c>
      <x:c r="AQ173" s="39" t="n">
        <x:v>-0.0153058487</x:v>
      </x:c>
      <x:c r="AR173" s="39" t="n">
        <x:v>0.012268225</x:v>
      </x:c>
      <x:c r="AS173" s="39" t="n">
        <x:v>-0.0001910443</x:v>
      </x:c>
    </x:row>
    <x:row r="174" ht="19" customHeight="1">
      <x:c r="A174" s="30" t="str">
        <x:v>Other FX</x:v>
      </x:c>
      <x:c r="B174" s="40" t="d">
        <x:v>2021-03-01T00:00:00.000Z</x:v>
      </x:c>
      <x:c r="C174" s="39" t="n">
        <x:v>-0.1013829291</x:v>
      </x:c>
      <x:c r="D174" s="39" t="n">
        <x:v>-0.0097758899</x:v>
      </x:c>
      <x:c r="E174" s="39" t="n">
        <x:v>-0.0358694061</x:v>
      </x:c>
      <x:c r="F174" s="39" t="n">
        <x:v>-0.0431202749</x:v>
      </x:c>
      <x:c r="G174" s="39" t="n">
        <x:v>0.0213478738</x:v>
      </x:c>
      <x:c r="H174" s="39" t="n">
        <x:v>-0.0845488712</x:v>
      </x:c>
      <x:c r="I174" s="39" t="n">
        <x:v>-0.0674569667</x:v>
      </x:c>
      <x:c r="J174" s="39" t="n">
        <x:v>0.047567598</x:v>
      </x:c>
      <x:c r="K174" s="39" t="n">
        <x:v>0.0035202536</x:v>
      </x:c>
      <x:c r="L174" s="39" t="n">
        <x:v>0.1597671841</x:v>
      </x:c>
      <x:c r="M174" s="39" t="n">
        <x:v>0.0579537277</x:v>
      </x:c>
      <x:c r="N174" s="39" t="n">
        <x:v>-0.0234055989</x:v>
      </x:c>
      <x:c r="O174" s="39" t="n">
        <x:v>0.0240273065</x:v>
      </x:c>
      <x:c r="P174" s="39" t="n">
        <x:v>0.0158646591</x:v>
      </x:c>
      <x:c r="Q174" s="39" t="n">
        <x:v>-0.0287843743</x:v>
      </x:c>
      <x:c r="R174" s="39"/>
      <x:c r="S174" s="39" t="n">
        <x:v>0.0531281712</x:v>
      </x:c>
      <x:c r="T174" s="39" t="n">
        <x:v>-0.1485499577</x:v>
      </x:c>
      <x:c r="U174" s="39" t="n">
        <x:v>-0.1943622095</x:v>
      </x:c>
      <x:c r="V174" s="39" t="n">
        <x:v>-0.1302696764</x:v>
      </x:c>
      <x:c r="W174" s="39" t="n">
        <x:v>-0.0392505458</x:v>
      </x:c>
      <x:c r="X174" s="39" t="n">
        <x:v>0.0381559787</x:v>
      </x:c>
      <x:c r="Y174" s="39" t="n">
        <x:v>-0.0112359251</x:v>
      </x:c>
      <x:c r="Z174" s="39" t="n">
        <x:v>-0.0657721114</x:v>
      </x:c>
      <x:c r="AA174" s="39" t="n">
        <x:v>0.0143711413</x:v>
      </x:c>
      <x:c r="AB174" s="39" t="n">
        <x:v>-0.0749587433</x:v>
      </x:c>
      <x:c r="AC174" s="39" t="n">
        <x:v>-0.2347590861</x:v>
      </x:c>
      <x:c r="AD174" s="39" t="n">
        <x:v>-0.0269498522</x:v>
      </x:c>
      <x:c r="AE174" s="39" t="n">
        <x:v>0.0097214825</x:v>
      </x:c>
      <x:c r="AF174" s="39" t="n">
        <x:v>0.0557294816</x:v>
      </x:c>
      <x:c r="AG174" s="39" t="n">
        <x:v>0.0221144184</x:v>
      </x:c>
      <x:c r="AH174" s="39" t="n">
        <x:v>0.0547364337</x:v>
      </x:c>
      <x:c r="AI174" s="39" t="n">
        <x:v>-0.1172065129</x:v>
      </x:c>
      <x:c r="AJ174" s="39" t="n">
        <x:v>0.0178758222</x:v>
      </x:c>
      <x:c r="AK174" s="39" t="n">
        <x:v>0.0290615069</x:v>
      </x:c>
      <x:c r="AL174" s="39" t="n">
        <x:v>-0.0663802004</x:v>
      </x:c>
      <x:c r="AM174" s="39" t="n">
        <x:v>-0.0258366356</x:v>
      </x:c>
      <x:c r="AN174" s="39" t="n">
        <x:v>-0.0280692711</x:v>
      </x:c>
      <x:c r="AO174" s="39" t="n">
        <x:v>-0.0889550752</x:v>
      </x:c>
      <x:c r="AP174" s="39" t="n">
        <x:v>-0.0694243469</x:v>
      </x:c>
      <x:c r="AQ174" s="39" t="n">
        <x:v>-0.005424932</x:v>
      </x:c>
      <x:c r="AR174" s="39" t="n">
        <x:v>-0.0449252017</x:v>
      </x:c>
      <x:c r="AS174" s="39" t="n">
        <x:v>0.0290945951</x:v>
      </x:c>
    </x:row>
    <x:row r="175" ht="19" customHeight="1">
      <x:c r="A175" s="30" t="str">
        <x:v>Other FX</x:v>
      </x:c>
      <x:c r="B175" s="40" t="d">
        <x:v>2021-03-29T00:00:00.000Z</x:v>
      </x:c>
      <x:c r="C175" s="39" t="n">
        <x:v>0.0015270548</x:v>
      </x:c>
      <x:c r="D175" s="39" t="n">
        <x:v>-0.0632696843</x:v>
      </x:c>
      <x:c r="E175" s="39" t="n">
        <x:v>0.0477870316</x:v>
      </x:c>
      <x:c r="F175" s="39" t="n">
        <x:v>0.0688046838</x:v>
      </x:c>
      <x:c r="G175" s="39" t="n">
        <x:v>0.0049151249</x:v>
      </x:c>
      <x:c r="H175" s="39" t="n">
        <x:v>0.0551695784</x:v>
      </x:c>
      <x:c r="I175" s="39" t="n">
        <x:v>0.0321733344</x:v>
      </x:c>
      <x:c r="J175" s="39" t="n">
        <x:v>0.0146411211</x:v>
      </x:c>
      <x:c r="K175" s="39" t="n">
        <x:v>0.0042537147</x:v>
      </x:c>
      <x:c r="L175" s="39" t="n">
        <x:v>-0.0298426283</x:v>
      </x:c>
      <x:c r="M175" s="39" t="n">
        <x:v>-0.0160577967</x:v>
      </x:c>
      <x:c r="N175" s="39" t="n">
        <x:v>-0.0054268712</x:v>
      </x:c>
      <x:c r="O175" s="39" t="n">
        <x:v>0.0384822134</x:v>
      </x:c>
      <x:c r="P175" s="39" t="n">
        <x:v>-0.0025892257</x:v>
      </x:c>
      <x:c r="Q175" s="39" t="n">
        <x:v>-0.0776468766</x:v>
      </x:c>
      <x:c r="R175" s="39"/>
      <x:c r="S175" s="39" t="n">
        <x:v>-0.0235400692</x:v>
      </x:c>
      <x:c r="T175" s="39" t="n">
        <x:v>0.0423470441</x:v>
      </x:c>
      <x:c r="U175" s="39" t="n">
        <x:v>0.0270841276</x:v>
      </x:c>
      <x:c r="V175" s="39" t="n">
        <x:v>0.0000863182</x:v>
      </x:c>
      <x:c r="W175" s="39" t="n">
        <x:v>0.0269323977</x:v>
      </x:c>
      <x:c r="X175" s="39" t="n">
        <x:v>0.0120635032</x:v>
      </x:c>
      <x:c r="Y175" s="39" t="n">
        <x:v>-0.0085037668</x:v>
      </x:c>
      <x:c r="Z175" s="39" t="n">
        <x:v>0.0658696961</x:v>
      </x:c>
      <x:c r="AA175" s="39" t="n">
        <x:v>0.0399621171</x:v>
      </x:c>
      <x:c r="AB175" s="39" t="n">
        <x:v>-0.0564386297</x:v>
      </x:c>
      <x:c r="AC175" s="39" t="n">
        <x:v>0.6399732226</x:v>
      </x:c>
      <x:c r="AD175" s="39" t="n">
        <x:v>0.0437822593</x:v>
      </x:c>
      <x:c r="AE175" s="39" t="n">
        <x:v>-0.0003838945</x:v>
      </x:c>
      <x:c r="AF175" s="39" t="n">
        <x:v>0.0583731573</x:v>
      </x:c>
      <x:c r="AG175" s="39" t="n">
        <x:v>0.0899652428</x:v>
      </x:c>
      <x:c r="AH175" s="39" t="n">
        <x:v>0.0635222374</x:v>
      </x:c>
      <x:c r="AI175" s="39" t="n">
        <x:v>0.0007917343</x:v>
      </x:c>
      <x:c r="AJ175" s="39" t="n">
        <x:v>-0.0683181602</x:v>
      </x:c>
      <x:c r="AK175" s="39" t="n">
        <x:v>0.0135592045</x:v>
      </x:c>
      <x:c r="AL175" s="39" t="n">
        <x:v>0.0041065235</x:v>
      </x:c>
      <x:c r="AM175" s="39" t="n">
        <x:v>0.0280058589</x:v>
      </x:c>
      <x:c r="AN175" s="39" t="n">
        <x:v>-0.0028189992</x:v>
      </x:c>
      <x:c r="AO175" s="39" t="n">
        <x:v>0.0625348753</x:v>
      </x:c>
      <x:c r="AP175" s="39" t="n">
        <x:v>0.1269330338</x:v>
      </x:c>
      <x:c r="AQ175" s="39" t="n">
        <x:v>0.0225579653</x:v>
      </x:c>
      <x:c r="AR175" s="39" t="n">
        <x:v>0.019016326</x:v>
      </x:c>
      <x:c r="AS175" s="39" t="n">
        <x:v>0.0061770428</x:v>
      </x:c>
    </x:row>
    <x:row r="176" ht="19" customHeight="1">
      <x:c r="A176" s="30" t="str">
        <x:v>Other FX</x:v>
      </x:c>
      <x:c r="B176" s="40" t="d">
        <x:v>2021-04-26T00:00:00.000Z</x:v>
      </x:c>
      <x:c r="C176" s="39" t="n">
        <x:v>-0.0307733723</x:v>
      </x:c>
      <x:c r="D176" s="39" t="n">
        <x:v>-0.0380536425</x:v>
      </x:c>
      <x:c r="E176" s="39" t="n">
        <x:v>0.006867561</x:v>
      </x:c>
      <x:c r="F176" s="39" t="n">
        <x:v>0.0578703561</x:v>
      </x:c>
      <x:c r="G176" s="39" t="n">
        <x:v>-0.0167226745</x:v>
      </x:c>
      <x:c r="H176" s="39" t="n">
        <x:v>0.0141104271</x:v>
      </x:c>
      <x:c r="I176" s="39" t="n">
        <x:v>0.0579211932</x:v>
      </x:c>
      <x:c r="J176" s="39" t="n">
        <x:v>-0.0136602721</x:v>
      </x:c>
      <x:c r="K176" s="39" t="n">
        <x:v>0.0308059615</x:v>
      </x:c>
      <x:c r="L176" s="39" t="n">
        <x:v>-0.0112408364</x:v>
      </x:c>
      <x:c r="M176" s="39" t="n">
        <x:v>0.0360325378</x:v>
      </x:c>
      <x:c r="N176" s="39" t="n">
        <x:v>-0.0257240368</x:v>
      </x:c>
      <x:c r="O176" s="39" t="n">
        <x:v>-0.0155553222</x:v>
      </x:c>
      <x:c r="P176" s="39" t="n">
        <x:v>-0.0686154296</x:v>
      </x:c>
      <x:c r="Q176" s="39" t="n">
        <x:v>0.0449600945</x:v>
      </x:c>
      <x:c r="R176" s="39" t="n">
        <x:v>-0.0032959941</x:v>
      </x:c>
      <x:c r="S176" s="39" t="n">
        <x:v>-0.0266457246</x:v>
      </x:c>
      <x:c r="T176" s="39" t="n">
        <x:v>0.1038213495</x:v>
      </x:c>
      <x:c r="U176" s="39" t="n">
        <x:v>0.1702225553</x:v>
      </x:c>
      <x:c r="V176" s="39" t="n">
        <x:v>0.0363390071</x:v>
      </x:c>
      <x:c r="W176" s="39" t="n">
        <x:v>-0.0308647885</x:v>
      </x:c>
      <x:c r="X176" s="39" t="n">
        <x:v>0.0122826016</x:v>
      </x:c>
      <x:c r="Y176" s="39" t="n">
        <x:v>-0.1101761745</x:v>
      </x:c>
      <x:c r="Z176" s="39" t="n">
        <x:v>-0.0360727975</x:v>
      </x:c>
      <x:c r="AA176" s="39" t="n">
        <x:v>0.0337599304</x:v>
      </x:c>
      <x:c r="AB176" s="39" t="n">
        <x:v>-0.0556832145</x:v>
      </x:c>
      <x:c r="AC176" s="39" t="n">
        <x:v>-0.1754272011</x:v>
      </x:c>
      <x:c r="AD176" s="39" t="n">
        <x:v>-0.0092101072</x:v>
      </x:c>
      <x:c r="AE176" s="39" t="n">
        <x:v>-0.0608815443</x:v>
      </x:c>
      <x:c r="AF176" s="39" t="n">
        <x:v>0.0126314412</x:v>
      </x:c>
      <x:c r="AG176" s="39" t="n">
        <x:v>-0.0674283512</x:v>
      </x:c>
      <x:c r="AH176" s="39" t="n">
        <x:v>0.0010188393</x:v>
      </x:c>
      <x:c r="AI176" s="39" t="n">
        <x:v>-0.0430665099</x:v>
      </x:c>
      <x:c r="AJ176" s="39" t="n">
        <x:v>-0.0084036516</x:v>
      </x:c>
      <x:c r="AK176" s="39" t="n">
        <x:v>-0.0170060225</x:v>
      </x:c>
      <x:c r="AL176" s="39" t="n">
        <x:v>0.0754017058</x:v>
      </x:c>
      <x:c r="AM176" s="39" t="n">
        <x:v>0.0248907811</x:v>
      </x:c>
      <x:c r="AN176" s="39" t="n">
        <x:v>0.0329137562</x:v>
      </x:c>
      <x:c r="AO176" s="39" t="n">
        <x:v>0.0111523874</x:v>
      </x:c>
      <x:c r="AP176" s="39" t="n">
        <x:v>0.0208290919</x:v>
      </x:c>
      <x:c r="AQ176" s="39" t="n">
        <x:v>-0.001200039</x:v>
      </x:c>
      <x:c r="AR176" s="39" t="n">
        <x:v>-0.0169108872</x:v>
      </x:c>
      <x:c r="AS176" s="39" t="n">
        <x:v>0.0240359975</x:v>
      </x:c>
    </x:row>
    <x:row r="177" ht="19" customHeight="1">
      <x:c r="A177" s="30" t="str">
        <x:v>Other FX</x:v>
      </x:c>
      <x:c r="B177" s="40" t="d">
        <x:v>2021-05-24T00:00:00.000Z</x:v>
      </x:c>
      <x:c r="C177" s="39" t="n">
        <x:v>-0.0269071767</x:v>
      </x:c>
      <x:c r="D177" s="39" t="n">
        <x:v>0.1521606207</x:v>
      </x:c>
      <x:c r="E177" s="39" t="n">
        <x:v>-0.0248519002</x:v>
      </x:c>
      <x:c r="F177" s="39" t="n">
        <x:v>-0.0183022922</x:v>
      </x:c>
      <x:c r="G177" s="39" t="n">
        <x:v>-0.0266315058</x:v>
      </x:c>
      <x:c r="H177" s="39" t="n">
        <x:v>-0.0555407937</x:v>
      </x:c>
      <x:c r="I177" s="39" t="n">
        <x:v>-0.046397165</x:v>
      </x:c>
      <x:c r="J177" s="39" t="n">
        <x:v>-0.0487190802</x:v>
      </x:c>
      <x:c r="K177" s="39" t="n">
        <x:v>-0.0374334906</x:v>
      </x:c>
      <x:c r="L177" s="39" t="n">
        <x:v>0.0609849292</x:v>
      </x:c>
      <x:c r="M177" s="39" t="n">
        <x:v>0.0602337863</x:v>
      </x:c>
      <x:c r="N177" s="39" t="n">
        <x:v>0.0298400878</x:v>
      </x:c>
      <x:c r="O177" s="39" t="n">
        <x:v>-0.0057469304</x:v>
      </x:c>
      <x:c r="P177" s="39" t="n">
        <x:v>-0.010191622</x:v>
      </x:c>
      <x:c r="Q177" s="39" t="n">
        <x:v>-0.0657076871</x:v>
      </x:c>
      <x:c r="R177" s="39" t="n">
        <x:v>-0.0226963855</x:v>
      </x:c>
      <x:c r="S177" s="39" t="n">
        <x:v>0.0408510731</x:v>
      </x:c>
      <x:c r="T177" s="39" t="n">
        <x:v>-0.0204042227</x:v>
      </x:c>
      <x:c r="U177" s="39" t="n">
        <x:v>0.0210514801</x:v>
      </x:c>
      <x:c r="V177" s="39" t="n">
        <x:v>-0.0479127897</x:v>
      </x:c>
      <x:c r="W177" s="39" t="n">
        <x:v>-0.0133200055</x:v>
      </x:c>
      <x:c r="X177" s="39" t="n">
        <x:v>0.0156364845</x:v>
      </x:c>
      <x:c r="Y177" s="39" t="n">
        <x:v>-0.066988935</x:v>
      </x:c>
      <x:c r="Z177" s="39" t="n">
        <x:v>0.0831207042</x:v>
      </x:c>
      <x:c r="AA177" s="39" t="n">
        <x:v>-0.0105493332</x:v>
      </x:c>
      <x:c r="AB177" s="39" t="n">
        <x:v>0.0091619938</x:v>
      </x:c>
      <x:c r="AC177" s="39" t="n">
        <x:v>0.1950237502</x:v>
      </x:c>
      <x:c r="AD177" s="39" t="n">
        <x:v>0.0028976107</x:v>
      </x:c>
      <x:c r="AE177" s="39" t="n">
        <x:v>0.131294192</x:v>
      </x:c>
      <x:c r="AF177" s="39" t="n">
        <x:v>-0.0023825603</x:v>
      </x:c>
      <x:c r="AG177" s="39" t="n">
        <x:v>0.0266632154</x:v>
      </x:c>
      <x:c r="AH177" s="39" t="n">
        <x:v>0.0025118473</x:v>
      </x:c>
      <x:c r="AI177" s="39" t="n">
        <x:v>-0.0482687962</x:v>
      </x:c>
      <x:c r="AJ177" s="39" t="n">
        <x:v>0.0591720871</x:v>
      </x:c>
      <x:c r="AK177" s="39" t="n">
        <x:v>-0.0212651059</x:v>
      </x:c>
      <x:c r="AL177" s="39" t="n">
        <x:v>0.0408513278</x:v>
      </x:c>
      <x:c r="AM177" s="39" t="n">
        <x:v>-0.0048612119</x:v>
      </x:c>
      <x:c r="AN177" s="39" t="n">
        <x:v>-0.0219713736</x:v>
      </x:c>
      <x:c r="AO177" s="39" t="n">
        <x:v>-0.0041444905</x:v>
      </x:c>
      <x:c r="AP177" s="39" t="n">
        <x:v>-0.0146118866</x:v>
      </x:c>
      <x:c r="AQ177" s="39" t="n">
        <x:v>0.0027485366</x:v>
      </x:c>
      <x:c r="AR177" s="39" t="n">
        <x:v>0.0160744819</x:v>
      </x:c>
      <x:c r="AS177" s="39" t="n">
        <x:v>0.020930875</x:v>
      </x:c>
    </x:row>
    <x:row r="178" ht="19" customHeight="1">
      <x:c r="A178" s="30" t="str">
        <x:v>Other FX</x:v>
      </x:c>
      <x:c r="B178" s="40" t="d">
        <x:v>2021-06-21T00:00:00.000Z</x:v>
      </x:c>
      <x:c r="C178" s="39" t="n">
        <x:v>0.0881147607</x:v>
      </x:c>
      <x:c r="D178" s="39" t="n">
        <x:v>0.0126992304</x:v>
      </x:c>
      <x:c r="E178" s="39" t="n">
        <x:v>-0.0069273113</x:v>
      </x:c>
      <x:c r="F178" s="39" t="n">
        <x:v>-0.0229152384</x:v>
      </x:c>
      <x:c r="G178" s="39" t="n">
        <x:v>0.0120076359</x:v>
      </x:c>
      <x:c r="H178" s="39" t="n">
        <x:v>0.0786166837</x:v>
      </x:c>
      <x:c r="I178" s="39" t="n">
        <x:v>0.0346886291</x:v>
      </x:c>
      <x:c r="J178" s="39" t="n">
        <x:v>-0.0586855453</x:v>
      </x:c>
      <x:c r="K178" s="39" t="n">
        <x:v>-0.0744238595</x:v>
      </x:c>
      <x:c r="L178" s="39" t="n">
        <x:v>0.0133949392</x:v>
      </x:c>
      <x:c r="M178" s="39" t="n">
        <x:v>-0.02267832</x:v>
      </x:c>
      <x:c r="N178" s="39" t="n">
        <x:v>0.0195154333</x:v>
      </x:c>
      <x:c r="O178" s="39" t="n">
        <x:v>-0.0011587565</x:v>
      </x:c>
      <x:c r="P178" s="39" t="n">
        <x:v>-0.0616244364</x:v>
      </x:c>
      <x:c r="Q178" s="39" t="n">
        <x:v>0.0281985832</x:v>
      </x:c>
      <x:c r="R178" s="39" t="n">
        <x:v>0.1271811746</x:v>
      </x:c>
      <x:c r="S178" s="39" t="n">
        <x:v>0.0011707539</x:v>
      </x:c>
      <x:c r="T178" s="39" t="n">
        <x:v>0.157752372</x:v>
      </x:c>
      <x:c r="U178" s="39" t="n">
        <x:v>0.1504556898</x:v>
      </x:c>
      <x:c r="V178" s="39" t="n">
        <x:v>0.1305193171</x:v>
      </x:c>
      <x:c r="W178" s="39" t="n">
        <x:v>0.0303425397</x:v>
      </x:c>
      <x:c r="X178" s="39" t="n">
        <x:v>0.0126204231</x:v>
      </x:c>
      <x:c r="Y178" s="39" t="n">
        <x:v>-0.0378009156</x:v>
      </x:c>
      <x:c r="Z178" s="39" t="n">
        <x:v>-0.0668067261</x:v>
      </x:c>
      <x:c r="AA178" s="39" t="n">
        <x:v>-0.0146586789</x:v>
      </x:c>
      <x:c r="AB178" s="39" t="n">
        <x:v>0.0235498406</x:v>
      </x:c>
      <x:c r="AC178" s="39" t="n">
        <x:v>-0.1243028872</x:v>
      </x:c>
      <x:c r="AD178" s="39" t="n">
        <x:v>0.0090926229</x:v>
      </x:c>
      <x:c r="AE178" s="39" t="n">
        <x:v>0.043633713</x:v>
      </x:c>
      <x:c r="AF178" s="39" t="n">
        <x:v>-0.0462711019</x:v>
      </x:c>
      <x:c r="AG178" s="39" t="n">
        <x:v>0.0266511914</x:v>
      </x:c>
      <x:c r="AH178" s="39" t="n">
        <x:v>0.0046573349</x:v>
      </x:c>
      <x:c r="AI178" s="39" t="n">
        <x:v>0.0329945513</x:v>
      </x:c>
      <x:c r="AJ178" s="39" t="n">
        <x:v>0.0914498334</x:v>
      </x:c>
      <x:c r="AK178" s="39" t="n">
        <x:v>0.0693213399</x:v>
      </x:c>
      <x:c r="AL178" s="39" t="n">
        <x:v>0.0225612818</x:v>
      </x:c>
      <x:c r="AM178" s="39" t="n">
        <x:v>0.0383941563</x:v>
      </x:c>
      <x:c r="AN178" s="39" t="n">
        <x:v>0.0181684018</x:v>
      </x:c>
      <x:c r="AO178" s="39" t="n">
        <x:v>0.0246544075</x:v>
      </x:c>
      <x:c r="AP178" s="39" t="n">
        <x:v>0.0005913414</x:v>
      </x:c>
      <x:c r="AQ178" s="39" t="n">
        <x:v>-0.0047447944</x:v>
      </x:c>
      <x:c r="AR178" s="39" t="n">
        <x:v>-0.0234579871</x:v>
      </x:c>
      <x:c r="AS178" s="39" t="n">
        <x:v>-0.028118179</x:v>
      </x:c>
    </x:row>
    <x:row r="179" ht="19" customHeight="1">
      <x:c r="A179" s="30" t="str">
        <x:v>Other FX</x:v>
      </x:c>
      <x:c r="B179" s="40" t="d">
        <x:v>2021-07-19T00:00:00.000Z</x:v>
      </x:c>
      <x:c r="C179" s="39" t="n">
        <x:v>0.0247391046</x:v>
      </x:c>
      <x:c r="D179" s="39" t="n">
        <x:v>0.0030513278</x:v>
      </x:c>
      <x:c r="E179" s="39" t="n">
        <x:v>0.0172368924</x:v>
      </x:c>
      <x:c r="F179" s="39" t="n">
        <x:v>0.0074155284</x:v>
      </x:c>
      <x:c r="G179" s="39" t="n">
        <x:v>0.011103151</x:v>
      </x:c>
      <x:c r="H179" s="39" t="n">
        <x:v>0.1420218168</x:v>
      </x:c>
      <x:c r="I179" s="39" t="n">
        <x:v>0.0472430897</x:v>
      </x:c>
      <x:c r="J179" s="39" t="n">
        <x:v>-0.0538284318</x:v>
      </x:c>
      <x:c r="K179" s="39" t="n">
        <x:v>-0.0223312223</x:v>
      </x:c>
      <x:c r="L179" s="39" t="n">
        <x:v>-0.1655368723</x:v>
      </x:c>
      <x:c r="M179" s="39" t="n">
        <x:v>-0.0532603572</x:v>
      </x:c>
      <x:c r="N179" s="39" t="n">
        <x:v>0.0257843405</x:v>
      </x:c>
      <x:c r="O179" s="39" t="n">
        <x:v>0.011526082</x:v>
      </x:c>
      <x:c r="P179" s="39" t="n">
        <x:v>-0.0777914457</x:v>
      </x:c>
      <x:c r="Q179" s="39" t="n">
        <x:v>-0.1298288161</x:v>
      </x:c>
      <x:c r="R179" s="39" t="n">
        <x:v>0.0419728337</x:v>
      </x:c>
      <x:c r="S179" s="39" t="n">
        <x:v>-0.0140471732</x:v>
      </x:c>
      <x:c r="T179" s="39" t="n">
        <x:v>0.0730052809</x:v>
      </x:c>
      <x:c r="U179" s="39" t="n">
        <x:v>0.3576741977</x:v>
      </x:c>
      <x:c r="V179" s="39" t="n">
        <x:v>0.0399089198</x:v>
      </x:c>
      <x:c r="W179" s="39" t="n">
        <x:v>-0.0146096261</x:v>
      </x:c>
      <x:c r="X179" s="39" t="n">
        <x:v>0.0569888472</x:v>
      </x:c>
      <x:c r="Y179" s="39" t="n">
        <x:v>-0.0581840227</x:v>
      </x:c>
      <x:c r="Z179" s="39" t="n">
        <x:v>0.0258840467</x:v>
      </x:c>
      <x:c r="AA179" s="39" t="n">
        <x:v>-0.0137938162</x:v>
      </x:c>
      <x:c r="AB179" s="39" t="n">
        <x:v>-0.129250487</x:v>
      </x:c>
      <x:c r="AC179" s="39" t="n">
        <x:v>-0.0308034227</x:v>
      </x:c>
      <x:c r="AD179" s="39" t="n">
        <x:v>0.0415423961</x:v>
      </x:c>
      <x:c r="AE179" s="39" t="n">
        <x:v>-0.0335510671</x:v>
      </x:c>
      <x:c r="AF179" s="39" t="n">
        <x:v>-0.0289898717</x:v>
      </x:c>
      <x:c r="AG179" s="39" t="n">
        <x:v>-0.0384886835</x:v>
      </x:c>
      <x:c r="AH179" s="39" t="n">
        <x:v>-0.0050783027</x:v>
      </x:c>
      <x:c r="AI179" s="39" t="n">
        <x:v>0.0493512659</x:v>
      </x:c>
      <x:c r="AJ179" s="39" t="n">
        <x:v>0.0383663093</x:v>
      </x:c>
      <x:c r="AK179" s="39" t="n">
        <x:v>0.0307525635</x:v>
      </x:c>
      <x:c r="AL179" s="39" t="n">
        <x:v>0.0206342517</x:v>
      </x:c>
      <x:c r="AM179" s="39" t="n">
        <x:v>0.0580823106</x:v>
      </x:c>
      <x:c r="AN179" s="39" t="n">
        <x:v>0.053924604</x:v>
      </x:c>
      <x:c r="AO179" s="39" t="n">
        <x:v>0.0491260452</x:v>
      </x:c>
      <x:c r="AP179" s="39" t="n">
        <x:v>0.052571047</x:v>
      </x:c>
      <x:c r="AQ179" s="39" t="n">
        <x:v>0.0396459357</x:v>
      </x:c>
      <x:c r="AR179" s="39" t="n">
        <x:v>0.0293448856</x:v>
      </x:c>
      <x:c r="AS179" s="39" t="n">
        <x:v>0.0010156939</x:v>
      </x:c>
    </x:row>
    <x:row r="180" ht="19" customHeight="1">
      <x:c r="A180" s="30" t="str">
        <x:v>Other FX</x:v>
      </x:c>
      <x:c r="B180" s="40" t="d">
        <x:v>2021-08-16T00:00:00.000Z</x:v>
      </x:c>
      <x:c r="C180" s="39" t="n">
        <x:v>-0.034521578</x:v>
      </x:c>
      <x:c r="D180" s="39" t="n">
        <x:v>-0.0216705371</x:v>
      </x:c>
      <x:c r="E180" s="39" t="n">
        <x:v>0.0530604184</x:v>
      </x:c>
      <x:c r="F180" s="39" t="n">
        <x:v>0.0781741628</x:v>
      </x:c>
      <x:c r="G180" s="39" t="n">
        <x:v>0.0169342685</x:v>
      </x:c>
      <x:c r="H180" s="39" t="n">
        <x:v>0.0432047716</x:v>
      </x:c>
      <x:c r="I180" s="39" t="n">
        <x:v>-0.0883629032</x:v>
      </x:c>
      <x:c r="J180" s="39" t="n">
        <x:v>-0.0255888519</x:v>
      </x:c>
      <x:c r="K180" s="39" t="n">
        <x:v>-0.0119228642</x:v>
      </x:c>
      <x:c r="L180" s="39" t="n">
        <x:v>-0.0280612641</x:v>
      </x:c>
      <x:c r="M180" s="39" t="n">
        <x:v>-0.0369383736</x:v>
      </x:c>
      <x:c r="N180" s="39" t="n">
        <x:v>-0.0100604984</x:v>
      </x:c>
      <x:c r="O180" s="39" t="n">
        <x:v>0.0500000274</x:v>
      </x:c>
      <x:c r="P180" s="39" t="n">
        <x:v>-0.0463898363</x:v>
      </x:c>
      <x:c r="Q180" s="39" t="n">
        <x:v>0.0196413636</x:v>
      </x:c>
      <x:c r="R180" s="39" t="n">
        <x:v>-0.0178208779</x:v>
      </x:c>
      <x:c r="S180" s="39" t="n">
        <x:v>-0.0377770415</x:v>
      </x:c>
      <x:c r="T180" s="39" t="n">
        <x:v>0.0151910077</x:v>
      </x:c>
      <x:c r="U180" s="39" t="n">
        <x:v>0.1226496522</x:v>
      </x:c>
      <x:c r="V180" s="39" t="n">
        <x:v>0.0136105284</x:v>
      </x:c>
      <x:c r="W180" s="39" t="n">
        <x:v>0.0392548917</x:v>
      </x:c>
      <x:c r="X180" s="39" t="n">
        <x:v>0.0461823519</x:v>
      </x:c>
      <x:c r="Y180" s="39" t="n">
        <x:v>-0.0561784925</x:v>
      </x:c>
      <x:c r="Z180" s="39" t="n">
        <x:v>0.0160445442</x:v>
      </x:c>
      <x:c r="AA180" s="39" t="n">
        <x:v>0.0195650863</x:v>
      </x:c>
      <x:c r="AB180" s="39" t="n">
        <x:v>-0.0249970904</x:v>
      </x:c>
      <x:c r="AC180" s="39" t="n">
        <x:v>0.3429509378</x:v>
      </x:c>
      <x:c r="AD180" s="39" t="n">
        <x:v>0.0403174605</x:v>
      </x:c>
      <x:c r="AE180" s="39" t="n">
        <x:v>-0.0313371887</x:v>
      </x:c>
      <x:c r="AF180" s="39" t="n">
        <x:v>0.0221726183</x:v>
      </x:c>
      <x:c r="AG180" s="39" t="n">
        <x:v>0.0125237727</x:v>
      </x:c>
      <x:c r="AH180" s="39" t="n">
        <x:v>0.0242757944</x:v>
      </x:c>
      <x:c r="AI180" s="39" t="n">
        <x:v>0.0884535885</x:v>
      </x:c>
      <x:c r="AJ180" s="39" t="n">
        <x:v>0.0710212554</x:v>
      </x:c>
      <x:c r="AK180" s="39" t="n">
        <x:v>-0.0181739294</x:v>
      </x:c>
      <x:c r="AL180" s="39" t="n">
        <x:v>0.0008489808</x:v>
      </x:c>
      <x:c r="AM180" s="39" t="n">
        <x:v>0.0340319817</x:v>
      </x:c>
      <x:c r="AN180" s="39" t="n">
        <x:v>0.0235654699</x:v>
      </x:c>
      <x:c r="AO180" s="39" t="n">
        <x:v>0.0589085019</x:v>
      </x:c>
      <x:c r="AP180" s="39" t="n">
        <x:v>0.0079833945</x:v>
      </x:c>
      <x:c r="AQ180" s="39" t="n">
        <x:v>0.0053286187</x:v>
      </x:c>
      <x:c r="AR180" s="39" t="n">
        <x:v>0.0296946259</x:v>
      </x:c>
      <x:c r="AS180" s="39" t="n">
        <x:v>0.0176339821</x:v>
      </x:c>
    </x:row>
    <x:row r="181" ht="19" customHeight="1">
      <x:c r="A181" s="30" t="str">
        <x:v>Other FX</x:v>
      </x:c>
      <x:c r="B181" s="40" t="d">
        <x:v>2021-09-13T00:00:00.000Z</x:v>
      </x:c>
      <x:c r="C181" s="39" t="n">
        <x:v>-0.0070959563</x:v>
      </x:c>
      <x:c r="D181" s="39" t="n">
        <x:v>0.0175733757</x:v>
      </x:c>
      <x:c r="E181" s="39" t="n">
        <x:v>-0.0748694239</x:v>
      </x:c>
      <x:c r="F181" s="39" t="n">
        <x:v>-0.0211984556</x:v>
      </x:c>
      <x:c r="G181" s="39" t="n">
        <x:v>0.0185167497</x:v>
      </x:c>
      <x:c r="H181" s="39" t="n">
        <x:v>-0.0090888504</x:v>
      </x:c>
      <x:c r="I181" s="39" t="n">
        <x:v>0.0529750474</x:v>
      </x:c>
      <x:c r="J181" s="39" t="n">
        <x:v>-0.1188184279</x:v>
      </x:c>
      <x:c r="K181" s="39" t="n">
        <x:v>-0.1224210491</x:v>
      </x:c>
      <x:c r="L181" s="39" t="n">
        <x:v>0.0577055527</x:v>
      </x:c>
      <x:c r="M181" s="39" t="n">
        <x:v>0.0665326244</x:v>
      </x:c>
      <x:c r="N181" s="39" t="n">
        <x:v>0.0285831411</x:v>
      </x:c>
      <x:c r="O181" s="39" t="n">
        <x:v>-0.0598916403</x:v>
      </x:c>
      <x:c r="P181" s="39" t="n">
        <x:v>-0.0980616825</x:v>
      </x:c>
      <x:c r="Q181" s="39" t="n">
        <x:v>0.1852432007</x:v>
      </x:c>
      <x:c r="R181" s="39" t="n">
        <x:v>0.2927360077</x:v>
      </x:c>
      <x:c r="S181" s="39" t="n">
        <x:v>-0.0489253635</x:v>
      </x:c>
      <x:c r="T181" s="39" t="n">
        <x:v>0.0612391361</x:v>
      </x:c>
      <x:c r="U181" s="39" t="n">
        <x:v>0.044002837</x:v>
      </x:c>
      <x:c r="V181" s="39" t="n">
        <x:v>-0.054074183</x:v>
      </x:c>
      <x:c r="W181" s="39" t="n">
        <x:v>0.0502405934</x:v>
      </x:c>
      <x:c r="X181" s="39" t="n">
        <x:v>-0.0416056616</x:v>
      </x:c>
      <x:c r="Y181" s="39" t="n">
        <x:v>-0.040912362</x:v>
      </x:c>
      <x:c r="Z181" s="39" t="n">
        <x:v>-0.070896504</x:v>
      </x:c>
      <x:c r="AA181" s="39" t="n">
        <x:v>-0.0350469431</x:v>
      </x:c>
      <x:c r="AB181" s="39" t="n">
        <x:v>0.0541297882</x:v>
      </x:c>
      <x:c r="AC181" s="39" t="n">
        <x:v>0.2945695435</x:v>
      </x:c>
      <x:c r="AD181" s="39" t="n">
        <x:v>-0.0179636045</x:v>
      </x:c>
      <x:c r="AE181" s="39" t="n">
        <x:v>0.0102240311</x:v>
      </x:c>
      <x:c r="AF181" s="39" t="n">
        <x:v>-0.0436938243</x:v>
      </x:c>
      <x:c r="AG181" s="39" t="n">
        <x:v>-0.029898149</x:v>
      </x:c>
      <x:c r="AH181" s="39" t="n">
        <x:v>-0.0565861617</x:v>
      </x:c>
      <x:c r="AI181" s="39" t="n">
        <x:v>-0.0630608931</x:v>
      </x:c>
      <x:c r="AJ181" s="39" t="n">
        <x:v>-0.1096779348</x:v>
      </x:c>
      <x:c r="AK181" s="39" t="n">
        <x:v>-0.0270753513</x:v>
      </x:c>
      <x:c r="AL181" s="39" t="n">
        <x:v>-0.0655409677</x:v>
      </x:c>
      <x:c r="AM181" s="39" t="n">
        <x:v>-0.0099836215</x:v>
      </x:c>
      <x:c r="AN181" s="39" t="n">
        <x:v>-0.0200733802</x:v>
      </x:c>
      <x:c r="AO181" s="39" t="n">
        <x:v>-0.0240836969</x:v>
      </x:c>
      <x:c r="AP181" s="39" t="n">
        <x:v>0.0001210094</x:v>
      </x:c>
      <x:c r="AQ181" s="39" t="n">
        <x:v>-0.0460467853</x:v>
      </x:c>
      <x:c r="AR181" s="39" t="n">
        <x:v>-0.0736260887</x:v>
      </x:c>
      <x:c r="AS181" s="39" t="n">
        <x:v>-0.0392868833</x:v>
      </x:c>
    </x:row>
    <x:row r="182" ht="19" customHeight="1">
      <x:c r="A182" s="30" t="str">
        <x:v>Other FX</x:v>
      </x:c>
      <x:c r="B182" s="40" t="d">
        <x:v>2021-10-11T00:00:00.000Z</x:v>
      </x:c>
      <x:c r="C182" s="39" t="n">
        <x:v>0.0687870395</x:v>
      </x:c>
      <x:c r="D182" s="39" t="n">
        <x:v>0.2056704564</x:v>
      </x:c>
      <x:c r="E182" s="39" t="n">
        <x:v>-0.023620898</x:v>
      </x:c>
      <x:c r="F182" s="39" t="n">
        <x:v>-0.0561854685</x:v>
      </x:c>
      <x:c r="G182" s="39" t="n">
        <x:v>-0.0364182623</x:v>
      </x:c>
      <x:c r="H182" s="39" t="n">
        <x:v>-0.0405385992</x:v>
      </x:c>
      <x:c r="I182" s="39" t="n">
        <x:v>-0.0106088487</x:v>
      </x:c>
      <x:c r="J182" s="39" t="n">
        <x:v>0.0304520559</x:v>
      </x:c>
      <x:c r="K182" s="39" t="n">
        <x:v>-0.0539942528</x:v>
      </x:c>
      <x:c r="L182" s="39" t="n">
        <x:v>0.1236935219</x:v>
      </x:c>
      <x:c r="M182" s="39" t="n">
        <x:v>0.1251374488</x:v>
      </x:c>
      <x:c r="N182" s="39" t="n">
        <x:v>0.0533845815</x:v>
      </x:c>
      <x:c r="O182" s="39" t="n">
        <x:v>0.014932837</x:v>
      </x:c>
      <x:c r="P182" s="39" t="n">
        <x:v>-0.0982940961</x:v>
      </x:c>
      <x:c r="Q182" s="39" t="n">
        <x:v>-0.0108041274</x:v>
      </x:c>
      <x:c r="R182" s="39" t="n">
        <x:v>0.0549079726</x:v>
      </x:c>
      <x:c r="S182" s="39" t="n">
        <x:v>0.062938452</x:v>
      </x:c>
      <x:c r="T182" s="39" t="n">
        <x:v>0.1660939327</x:v>
      </x:c>
      <x:c r="U182" s="39" t="n">
        <x:v>-0.2181673602</x:v>
      </x:c>
      <x:c r="V182" s="39" t="n">
        <x:v>0.0216274554</x:v>
      </x:c>
      <x:c r="W182" s="39" t="n">
        <x:v>0.0435897263</x:v>
      </x:c>
      <x:c r="X182" s="39" t="n">
        <x:v>-0.045705179</x:v>
      </x:c>
      <x:c r="Y182" s="39" t="n">
        <x:v>-0.1349661487</x:v>
      </x:c>
      <x:c r="Z182" s="39" t="n">
        <x:v>-0.0311157622</x:v>
      </x:c>
      <x:c r="AA182" s="39" t="n">
        <x:v>-0.0093320417</x:v>
      </x:c>
      <x:c r="AB182" s="39" t="n">
        <x:v>-0.071780646</x:v>
      </x:c>
      <x:c r="AC182" s="39" t="n">
        <x:v>0.1712468677</x:v>
      </x:c>
      <x:c r="AD182" s="39" t="n">
        <x:v>-0.0115028955</x:v>
      </x:c>
      <x:c r="AE182" s="39" t="n">
        <x:v>0.0663129801</x:v>
      </x:c>
      <x:c r="AF182" s="39" t="n">
        <x:v>0.0760409852</x:v>
      </x:c>
      <x:c r="AG182" s="39" t="n">
        <x:v>-0.0142447759</x:v>
      </x:c>
      <x:c r="AH182" s="39" t="n">
        <x:v>0.0233770476</x:v>
      </x:c>
      <x:c r="AI182" s="39" t="n">
        <x:v>-0.0007189536</x:v>
      </x:c>
      <x:c r="AJ182" s="39" t="n">
        <x:v>0.0226544202</x:v>
      </x:c>
      <x:c r="AK182" s="39" t="n">
        <x:v>-0.0497791515</x:v>
      </x:c>
      <x:c r="AL182" s="39" t="n">
        <x:v>0.0328517752</x:v>
      </x:c>
      <x:c r="AM182" s="39" t="n">
        <x:v>0.0097894063</x:v>
      </x:c>
      <x:c r="AN182" s="39" t="n">
        <x:v>-0.0303025321</x:v>
      </x:c>
      <x:c r="AO182" s="39" t="n">
        <x:v>-0.0329721932</x:v>
      </x:c>
      <x:c r="AP182" s="39" t="n">
        <x:v>0.0157154245</x:v>
      </x:c>
      <x:c r="AQ182" s="39" t="n">
        <x:v>-0.0210403118</x:v>
      </x:c>
      <x:c r="AR182" s="39" t="n">
        <x:v>-0.0328313196</x:v>
      </x:c>
      <x:c r="AS182" s="39" t="n">
        <x:v>0.0009354646</x:v>
      </x:c>
    </x:row>
    <x:row r="183" ht="19" customHeight="1">
      <x:c r="A183" s="30" t="str">
        <x:v>Other FX</x:v>
      </x:c>
      <x:c r="B183" s="40" t="d">
        <x:v>2021-11-08T00:00:00.000Z</x:v>
      </x:c>
      <x:c r="C183" s="39" t="n">
        <x:v>-0.0010540649</x:v>
      </x:c>
      <x:c r="D183" s="39" t="n">
        <x:v>-0.0804133589</x:v>
      </x:c>
      <x:c r="E183" s="39" t="n">
        <x:v>-0.0047279087</x:v>
      </x:c>
      <x:c r="F183" s="39" t="n">
        <x:v>0.002393634</x:v>
      </x:c>
      <x:c r="G183" s="39" t="n">
        <x:v>-0.057542603</x:v>
      </x:c>
      <x:c r="H183" s="39" t="n">
        <x:v>0.0236598935</x:v>
      </x:c>
      <x:c r="I183" s="39" t="n">
        <x:v>0.0231458515</x:v>
      </x:c>
      <x:c r="J183" s="39" t="n">
        <x:v>0.1182775323</x:v>
      </x:c>
      <x:c r="K183" s="39" t="n">
        <x:v>0.1520523527</x:v>
      </x:c>
      <x:c r="L183" s="39" t="n">
        <x:v>-0.0185170523</x:v>
      </x:c>
      <x:c r="M183" s="39" t="n">
        <x:v>0.0655898571</x:v>
      </x:c>
      <x:c r="N183" s="39" t="n">
        <x:v>-0.0345324249</x:v>
      </x:c>
      <x:c r="O183" s="39" t="n">
        <x:v>-0.0008069349</x:v>
      </x:c>
      <x:c r="P183" s="39" t="n">
        <x:v>0.0365671853</x:v>
      </x:c>
      <x:c r="Q183" s="39" t="n">
        <x:v>-0.0221860475</x:v>
      </x:c>
      <x:c r="R183" s="39" t="n">
        <x:v>0.2284669581</x:v>
      </x:c>
      <x:c r="S183" s="39" t="n">
        <x:v>0.0403813856</x:v>
      </x:c>
      <x:c r="T183" s="39" t="n">
        <x:v>0.1379993906</x:v>
      </x:c>
      <x:c r="U183" s="39" t="n">
        <x:v>-0.1984321508</x:v>
      </x:c>
      <x:c r="V183" s="39" t="n">
        <x:v>-0.0298764588</x:v>
      </x:c>
      <x:c r="W183" s="39" t="n">
        <x:v>0.0572956397</x:v>
      </x:c>
      <x:c r="X183" s="39" t="n">
        <x:v>0.0143274808</x:v>
      </x:c>
      <x:c r="Y183" s="39" t="n">
        <x:v>0.0673398272</x:v>
      </x:c>
      <x:c r="Z183" s="39" t="n">
        <x:v>0.0460331116</x:v>
      </x:c>
      <x:c r="AA183" s="39" t="n">
        <x:v>0.0362852111</x:v>
      </x:c>
      <x:c r="AB183" s="39" t="n">
        <x:v>-0.0841750339</x:v>
      </x:c>
      <x:c r="AC183" s="39" t="n">
        <x:v>-0.2691397061</x:v>
      </x:c>
      <x:c r="AD183" s="39" t="n">
        <x:v>0.0219576993</x:v>
      </x:c>
      <x:c r="AE183" s="39" t="n">
        <x:v>0.1618635924</x:v>
      </x:c>
      <x:c r="AF183" s="39" t="n">
        <x:v>-0.0236605411</x:v>
      </x:c>
      <x:c r="AG183" s="39" t="n">
        <x:v>0.0325526415</x:v>
      </x:c>
      <x:c r="AH183" s="39" t="n">
        <x:v>-0.0526401524</x:v>
      </x:c>
      <x:c r="AI183" s="39" t="n">
        <x:v>0.1786958677</x:v>
      </x:c>
      <x:c r="AJ183" s="39" t="n">
        <x:v>0.0627458394</x:v>
      </x:c>
      <x:c r="AK183" s="39" t="n">
        <x:v>0.0041381205</x:v>
      </x:c>
      <x:c r="AL183" s="39" t="n">
        <x:v>-0.0405387953</x:v>
      </x:c>
      <x:c r="AM183" s="39" t="n">
        <x:v>0.0701557857</x:v>
      </x:c>
      <x:c r="AN183" s="39" t="n">
        <x:v>0.0264318376</x:v>
      </x:c>
      <x:c r="AO183" s="39" t="n">
        <x:v>0.0899804411</x:v>
      </x:c>
      <x:c r="AP183" s="39" t="n">
        <x:v>0.0491675821</x:v>
      </x:c>
      <x:c r="AQ183" s="39" t="n">
        <x:v>0.0269214019</x:v>
      </x:c>
      <x:c r="AR183" s="39" t="n">
        <x:v>0.0108581408</x:v>
      </x:c>
      <x:c r="AS183" s="39" t="n">
        <x:v>0.0004386327</x:v>
      </x:c>
    </x:row>
    <x:row r="184" ht="19" customHeight="1">
      <x:c r="A184" s="30" t="str">
        <x:v>Other FX</x:v>
      </x:c>
      <x:c r="B184" s="40" t="d">
        <x:v>2021-12-06T00:00:00.000Z</x:v>
      </x:c>
      <x:c r="C184" s="39" t="n">
        <x:v>0.0472299803</x:v>
      </x:c>
      <x:c r="D184" s="39" t="n">
        <x:v>-0.0543662251</x:v>
      </x:c>
      <x:c r="E184" s="39" t="n">
        <x:v>0.0177131176</x:v>
      </x:c>
      <x:c r="F184" s="39" t="n">
        <x:v>0.0389696662</x:v>
      </x:c>
      <x:c r="G184" s="39" t="n">
        <x:v>-0.0193534574</x:v>
      </x:c>
      <x:c r="H184" s="39" t="n">
        <x:v>-0.043748014</x:v>
      </x:c>
      <x:c r="I184" s="39" t="n">
        <x:v>-0.0162716869</x:v>
      </x:c>
      <x:c r="J184" s="39" t="n">
        <x:v>-0.0545294844</x:v>
      </x:c>
      <x:c r="K184" s="39" t="n">
        <x:v>-0.0520294606</x:v>
      </x:c>
      <x:c r="L184" s="39" t="n">
        <x:v>-0.0456322204</x:v>
      </x:c>
      <x:c r="M184" s="39" t="n">
        <x:v>-0.0379067747</x:v>
      </x:c>
      <x:c r="N184" s="39" t="n">
        <x:v>0.0511734715</x:v>
      </x:c>
      <x:c r="O184" s="39" t="n">
        <x:v>-0.0304334279</x:v>
      </x:c>
      <x:c r="P184" s="39" t="n">
        <x:v>-0.0567070667</x:v>
      </x:c>
      <x:c r="Q184" s="39" t="n">
        <x:v>-0.0790500423</x:v>
      </x:c>
      <x:c r="R184" s="39" t="n">
        <x:v>-0.2712617581</x:v>
      </x:c>
      <x:c r="S184" s="39" t="n">
        <x:v>0.0130866669</x:v>
      </x:c>
      <x:c r="T184" s="39" t="n">
        <x:v>-0.2640315014</x:v>
      </x:c>
      <x:c r="U184" s="39" t="n">
        <x:v>0.1095108944</x:v>
      </x:c>
      <x:c r="V184" s="39" t="n">
        <x:v>-0.1305261421</x:v>
      </x:c>
      <x:c r="W184" s="39" t="n">
        <x:v>-0.0769074915</x:v>
      </x:c>
      <x:c r="X184" s="39" t="n">
        <x:v>-0.0484885172</x:v>
      </x:c>
      <x:c r="Y184" s="39" t="n">
        <x:v>0.046461699</x:v>
      </x:c>
      <x:c r="Z184" s="39" t="n">
        <x:v>0.0004534836</x:v>
      </x:c>
      <x:c r="AA184" s="39" t="n">
        <x:v>-0.0081352335</x:v>
      </x:c>
      <x:c r="AB184" s="39" t="n">
        <x:v>-0.0408898457</x:v>
      </x:c>
      <x:c r="AC184" s="39" t="n">
        <x:v>-0.3481287047</x:v>
      </x:c>
      <x:c r="AD184" s="39" t="n">
        <x:v>0.0488253006</x:v>
      </x:c>
      <x:c r="AE184" s="39" t="n">
        <x:v>0.0823780855</x:v>
      </x:c>
      <x:c r="AF184" s="39" t="n">
        <x:v>0.0321846325</x:v>
      </x:c>
      <x:c r="AG184" s="39" t="n">
        <x:v>-0.0321758914</x:v>
      </x:c>
      <x:c r="AH184" s="39" t="n">
        <x:v>-0.0071598705</x:v>
      </x:c>
      <x:c r="AI184" s="39" t="n">
        <x:v>-0.05837035</x:v>
      </x:c>
      <x:c r="AJ184" s="39" t="n">
        <x:v>-0.0431621826</x:v>
      </x:c>
      <x:c r="AK184" s="39" t="n">
        <x:v>-0.0262524615</x:v>
      </x:c>
      <x:c r="AL184" s="39" t="n">
        <x:v>0.0259072435</x:v>
      </x:c>
      <x:c r="AM184" s="39" t="n">
        <x:v>0.0132897597</x:v>
      </x:c>
      <x:c r="AN184" s="39" t="n">
        <x:v>-0.0116142862</x:v>
      </x:c>
      <x:c r="AO184" s="39" t="n">
        <x:v>0.0506624461</x:v>
      </x:c>
      <x:c r="AP184" s="39" t="n">
        <x:v>0.0857089009</x:v>
      </x:c>
      <x:c r="AQ184" s="39" t="n">
        <x:v>0.0017250035</x:v>
      </x:c>
      <x:c r="AR184" s="39" t="n">
        <x:v>0.0017484101</x:v>
      </x:c>
      <x:c r="AS184" s="39" t="n">
        <x:v>0.0015841694</x:v>
      </x:c>
    </x:row>
    <x:row r="185" ht="19" customHeight="1">
      <x:c r="A185" s="30" t="str">
        <x:v>Other FX</x:v>
      </x:c>
      <x:c r="B185" s="40" t="d">
        <x:v>2022-01-03T00:00:00.000Z</x:v>
      </x:c>
      <x:c r="C185" s="39" t="n">
        <x:v>0.0601118291</x:v>
      </x:c>
      <x:c r="D185" s="39" t="n">
        <x:v>-0.0543465956</x:v>
      </x:c>
      <x:c r="E185" s="39" t="n">
        <x:v>0.0457679938</x:v>
      </x:c>
      <x:c r="F185" s="39" t="n">
        <x:v>0.0305650484</x:v>
      </x:c>
      <x:c r="G185" s="39" t="n">
        <x:v>0.0234212846</x:v>
      </x:c>
      <x:c r="H185" s="39" t="n">
        <x:v>-0.0541918733</x:v>
      </x:c>
      <x:c r="I185" s="39" t="n">
        <x:v>-0.0410199522</x:v>
      </x:c>
      <x:c r="J185" s="39" t="n">
        <x:v>-0.0593614874</x:v>
      </x:c>
      <x:c r="K185" s="39" t="n">
        <x:v>-0.0140267181</x:v>
      </x:c>
      <x:c r="L185" s="39" t="n">
        <x:v>0.095154311</x:v>
      </x:c>
      <x:c r="M185" s="39" t="n">
        <x:v>0.0870465862</x:v>
      </x:c>
      <x:c r="N185" s="39" t="n">
        <x:v>-0.0193522844</x:v>
      </x:c>
      <x:c r="O185" s="39" t="n">
        <x:v>-0.060307932</x:v>
      </x:c>
      <x:c r="P185" s="39" t="n">
        <x:v>0.043242988</x:v>
      </x:c>
      <x:c r="Q185" s="39" t="n">
        <x:v>-0.140743652</x:v>
      </x:c>
      <x:c r="R185" s="39" t="n">
        <x:v>-0.1240651213</x:v>
      </x:c>
      <x:c r="S185" s="39" t="n">
        <x:v>-0.0094737552</x:v>
      </x:c>
      <x:c r="T185" s="39" t="n">
        <x:v>-0.1934837666</x:v>
      </x:c>
      <x:c r="U185" s="39" t="n">
        <x:v>-0.1286448207</x:v>
      </x:c>
      <x:c r="V185" s="39" t="n">
        <x:v>0.0185476394</x:v>
      </x:c>
      <x:c r="W185" s="39" t="n">
        <x:v>-0.0871672665</x:v>
      </x:c>
      <x:c r="X185" s="39" t="n">
        <x:v>0.0303201639</x:v>
      </x:c>
      <x:c r="Y185" s="39" t="n">
        <x:v>0.0206904656</x:v>
      </x:c>
      <x:c r="Z185" s="39" t="n">
        <x:v>0.0238897162</x:v>
      </x:c>
      <x:c r="AA185" s="39" t="n">
        <x:v>0.1095427284</x:v>
      </x:c>
      <x:c r="AB185" s="39" t="n">
        <x:v>-0.0944677777</x:v>
      </x:c>
      <x:c r="AC185" s="39" t="n">
        <x:v>-0.2260828108</x:v>
      </x:c>
      <x:c r="AD185" s="39" t="n">
        <x:v>0.0295070185</x:v>
      </x:c>
      <x:c r="AE185" s="39" t="n">
        <x:v>0.0797838171</x:v>
      </x:c>
      <x:c r="AF185" s="39" t="n">
        <x:v>0.0844891437</x:v>
      </x:c>
      <x:c r="AG185" s="39" t="n">
        <x:v>0.0304401473</x:v>
      </x:c>
      <x:c r="AH185" s="39" t="n">
        <x:v>0.0155425532</x:v>
      </x:c>
      <x:c r="AI185" s="39" t="n">
        <x:v>-0.0688347237</x:v>
      </x:c>
      <x:c r="AJ185" s="39" t="n">
        <x:v>0.0433644048</x:v>
      </x:c>
      <x:c r="AK185" s="39" t="n">
        <x:v>0.0196669902</x:v>
      </x:c>
      <x:c r="AL185" s="39" t="n">
        <x:v>-0.0094700257</x:v>
      </x:c>
      <x:c r="AM185" s="39" t="n">
        <x:v>-0.0617389762</x:v>
      </x:c>
      <x:c r="AN185" s="39" t="n">
        <x:v>-0.0766016015</x:v>
      </x:c>
      <x:c r="AO185" s="39" t="n">
        <x:v>-0.0431747483</x:v>
      </x:c>
      <x:c r="AP185" s="39" t="n">
        <x:v>-0.0426110178</x:v>
      </x:c>
      <x:c r="AQ185" s="39" t="n">
        <x:v>0.0378765269</x:v>
      </x:c>
      <x:c r="AR185" s="39" t="n">
        <x:v>0.0232130828</x:v>
      </x:c>
      <x:c r="AS185" s="39" t="n">
        <x:v>0.0627313944</x:v>
      </x:c>
    </x:row>
    <x:row r="186" ht="19" customHeight="1">
      <x:c r="A186" s="30" t="str">
        <x:v>Other FX</x:v>
      </x:c>
      <x:c r="B186" s="40" t="d">
        <x:v>2022-01-31T00:00:00.000Z</x:v>
      </x:c>
      <x:c r="C186" s="39" t="n">
        <x:v>-0.0284866339</x:v>
      </x:c>
      <x:c r="D186" s="39" t="n">
        <x:v>0.0500002736</x:v>
      </x:c>
      <x:c r="E186" s="39" t="n">
        <x:v>-0.0185400645</x:v>
      </x:c>
      <x:c r="F186" s="39" t="n">
        <x:v>-0.0079506006</x:v>
      </x:c>
      <x:c r="G186" s="39" t="n">
        <x:v>-0.0715539971</x:v>
      </x:c>
      <x:c r="H186" s="39" t="n">
        <x:v>-0.0497770783</x:v>
      </x:c>
      <x:c r="I186" s="39" t="n">
        <x:v>-0.0221285531</x:v>
      </x:c>
      <x:c r="J186" s="39" t="n">
        <x:v>-0.1350798059</x:v>
      </x:c>
      <x:c r="K186" s="39" t="n">
        <x:v>-0.0809436009</x:v>
      </x:c>
      <x:c r="L186" s="39" t="n">
        <x:v>0.0572267116</x:v>
      </x:c>
      <x:c r="M186" s="39" t="n">
        <x:v>0.0592178107</x:v>
      </x:c>
      <x:c r="N186" s="39" t="n">
        <x:v>0.0225785259</x:v>
      </x:c>
      <x:c r="O186" s="39" t="n">
        <x:v>-0.0596467802</x:v>
      </x:c>
      <x:c r="P186" s="39" t="n">
        <x:v>-0.2118735289</x:v>
      </x:c>
      <x:c r="Q186" s="39" t="n">
        <x:v>0.0153358981</x:v>
      </x:c>
      <x:c r="R186" s="39" t="n">
        <x:v>-0.152787759</x:v>
      </x:c>
      <x:c r="S186" s="39" t="n">
        <x:v>0.0588783607</x:v>
      </x:c>
      <x:c r="T186" s="39" t="n">
        <x:v>-0.0261343589</x:v>
      </x:c>
      <x:c r="U186" s="39" t="n">
        <x:v>-0.1807672055</x:v>
      </x:c>
      <x:c r="V186" s="39" t="n">
        <x:v>-0.011005716</x:v>
      </x:c>
      <x:c r="W186" s="39" t="n">
        <x:v>-0.1996348367</x:v>
      </x:c>
      <x:c r="X186" s="39" t="n">
        <x:v>-0.0000274853</x:v>
      </x:c>
      <x:c r="Y186" s="39" t="n">
        <x:v>-0.1496391267</x:v>
      </x:c>
      <x:c r="Z186" s="39" t="n">
        <x:v>0.0174660008</x:v>
      </x:c>
      <x:c r="AA186" s="39" t="n">
        <x:v>-0.000726523</x:v>
      </x:c>
      <x:c r="AB186" s="39" t="n">
        <x:v>-0.066583748</x:v>
      </x:c>
      <x:c r="AC186" s="39" t="n">
        <x:v>-0.1228053716</x:v>
      </x:c>
      <x:c r="AD186" s="39" t="n">
        <x:v>-0.0004332534</x:v>
      </x:c>
      <x:c r="AE186" s="39" t="n">
        <x:v>-0.2216229196</x:v>
      </x:c>
      <x:c r="AF186" s="39" t="n">
        <x:v>-0.0123072399</x:v>
      </x:c>
      <x:c r="AG186" s="39" t="n">
        <x:v>-0.0260788165</x:v>
      </x:c>
      <x:c r="AH186" s="39" t="n">
        <x:v>-0.0420541564</x:v>
      </x:c>
      <x:c r="AI186" s="39" t="n">
        <x:v>-0.0733703555</x:v>
      </x:c>
      <x:c r="AJ186" s="39" t="n">
        <x:v>-0.0495226261</x:v>
      </x:c>
      <x:c r="AK186" s="39" t="n">
        <x:v>-0.0804868983</x:v>
      </x:c>
      <x:c r="AL186" s="39" t="n">
        <x:v>-0.0674452679</x:v>
      </x:c>
      <x:c r="AM186" s="39" t="n">
        <x:v>-0.0188357375</x:v>
      </x:c>
      <x:c r="AN186" s="39" t="n">
        <x:v>0.0156763128</x:v>
      </x:c>
      <x:c r="AO186" s="39" t="n">
        <x:v>-0.0311529187</x:v>
      </x:c>
      <x:c r="AP186" s="39" t="n">
        <x:v>-0.0650525758</x:v>
      </x:c>
      <x:c r="AQ186" s="39" t="n">
        <x:v>0.0005991479</x:v>
      </x:c>
      <x:c r="AR186" s="39" t="n">
        <x:v>-0.0190457947</x:v>
      </x:c>
      <x:c r="AS186" s="39" t="n">
        <x:v>-0.0191765781</x:v>
      </x:c>
    </x:row>
    <x:row r="187" ht="19" customHeight="1">
      <x:c r="A187" s="30" t="str">
        <x:v>Other FX</x:v>
      </x:c>
      <x:c r="B187" s="40" t="d">
        <x:v>2022-02-28T00:00:00.000Z</x:v>
      </x:c>
      <x:c r="C187" s="39" t="n">
        <x:v>0.0224245236</x:v>
      </x:c>
      <x:c r="D187" s="39" t="n">
        <x:v>0.13805118</x:v>
      </x:c>
      <x:c r="E187" s="39" t="n">
        <x:v>0.0340640554</x:v>
      </x:c>
      <x:c r="F187" s="39" t="n">
        <x:v>0.015434197</x:v>
      </x:c>
      <x:c r="G187" s="39" t="n">
        <x:v>-0.027626284</x:v>
      </x:c>
      <x:c r="H187" s="39" t="n">
        <x:v>-0.0447797919</x:v>
      </x:c>
      <x:c r="I187" s="39" t="n">
        <x:v>-0.0578740052</x:v>
      </x:c>
      <x:c r="J187" s="39" t="n">
        <x:v>-0.0830865089</x:v>
      </x:c>
      <x:c r="K187" s="39" t="n">
        <x:v>-0.064091829</x:v>
      </x:c>
      <x:c r="L187" s="39" t="n">
        <x:v>-0.0060962853</x:v>
      </x:c>
      <x:c r="M187" s="39" t="n">
        <x:v>0.1456478069</x:v>
      </x:c>
      <x:c r="N187" s="39" t="n">
        <x:v>0.1693190246</x:v>
      </x:c>
      <x:c r="O187" s="39" t="n">
        <x:v>0.0434470763</x:v>
      </x:c>
      <x:c r="P187" s="39" t="n">
        <x:v>-0.1122651452</x:v>
      </x:c>
      <x:c r="Q187" s="39" t="n">
        <x:v>-0.0964808884</x:v>
      </x:c>
      <x:c r="R187" s="39" t="n">
        <x:v>-0.0788427192</x:v>
      </x:c>
      <x:c r="S187" s="39" t="n">
        <x:v>-0.0313873841</x:v>
      </x:c>
      <x:c r="T187" s="39" t="n">
        <x:v>-0.0163336928</x:v>
      </x:c>
      <x:c r="U187" s="39" t="n">
        <x:v>-0.1867666524</x:v>
      </x:c>
      <x:c r="V187" s="39" t="n">
        <x:v>-0.0252791552</x:v>
      </x:c>
      <x:c r="W187" s="39" t="n">
        <x:v>-0.0918731721</x:v>
      </x:c>
      <x:c r="X187" s="39" t="n">
        <x:v>-0.0591787036</x:v>
      </x:c>
      <x:c r="Y187" s="39" t="n">
        <x:v>-0.0901378812</x:v>
      </x:c>
      <x:c r="Z187" s="39" t="n">
        <x:v>0.0514929464</x:v>
      </x:c>
      <x:c r="AA187" s="39" t="n">
        <x:v>-0.0127107084</x:v>
      </x:c>
      <x:c r="AB187" s="39" t="n">
        <x:v>0.0675291562</x:v>
      </x:c>
      <x:c r="AC187" s="39" t="n">
        <x:v>0.1920911207</x:v>
      </x:c>
      <x:c r="AD187" s="39" t="n">
        <x:v>-0.0512956048</x:v>
      </x:c>
      <x:c r="AE187" s="39" t="n">
        <x:v>-0.1042094688</x:v>
      </x:c>
      <x:c r="AF187" s="39" t="n">
        <x:v>-0.0184640189</x:v>
      </x:c>
      <x:c r="AG187" s="39" t="n">
        <x:v>-0.1462483842</x:v>
      </x:c>
      <x:c r="AH187" s="39" t="n">
        <x:v>0.0851246536</x:v>
      </x:c>
      <x:c r="AI187" s="39" t="n">
        <x:v>-0.16905873</x:v>
      </x:c>
      <x:c r="AJ187" s="39" t="n">
        <x:v>0.0627037869</x:v>
      </x:c>
      <x:c r="AK187" s="39" t="n">
        <x:v>0.0128954059</x:v>
      </x:c>
      <x:c r="AL187" s="39" t="n">
        <x:v>-0.1324781575</x:v>
      </x:c>
      <x:c r="AM187" s="39" t="n">
        <x:v>-0.0379598746</x:v>
      </x:c>
      <x:c r="AN187" s="39" t="n">
        <x:v>-0.1061569615</x:v>
      </x:c>
      <x:c r="AO187" s="39" t="n">
        <x:v>-0.0238811748</x:v>
      </x:c>
      <x:c r="AP187" s="39" t="n">
        <x:v>-0.0996691419</x:v>
      </x:c>
      <x:c r="AQ187" s="39" t="n">
        <x:v>-0.0136980075</x:v>
      </x:c>
      <x:c r="AR187" s="39" t="n">
        <x:v>-0.0298744844</x:v>
      </x:c>
      <x:c r="AS187" s="39" t="n">
        <x:v>-0.0003107109</x:v>
      </x:c>
    </x:row>
    <x:row r="188" ht="19" customHeight="1">
      <x:c r="A188" s="30" t="str">
        <x:v>Other FX</x:v>
      </x:c>
      <x:c r="B188" s="40" t="d">
        <x:v>2022-03-28T00:00:00.000Z</x:v>
      </x:c>
      <x:c r="C188" s="39" t="n">
        <x:v>0.0356619829</x:v>
      </x:c>
      <x:c r="D188" s="39" t="n">
        <x:v>0.0515780875</x:v>
      </x:c>
      <x:c r="E188" s="39" t="n">
        <x:v>0.0188482497</x:v>
      </x:c>
      <x:c r="F188" s="39" t="n">
        <x:v>0.0501219304</x:v>
      </x:c>
      <x:c r="G188" s="39" t="n">
        <x:v>-0.0311892249</x:v>
      </x:c>
      <x:c r="H188" s="39" t="n">
        <x:v>0.0605006664</x:v>
      </x:c>
      <x:c r="I188" s="39" t="n">
        <x:v>0.0860314744</x:v>
      </x:c>
      <x:c r="J188" s="39" t="n">
        <x:v>-0.0264054632</x:v>
      </x:c>
      <x:c r="K188" s="39" t="n">
        <x:v>-0.1466077561</x:v>
      </x:c>
      <x:c r="L188" s="39" t="n">
        <x:v>0.1213531835</x:v>
      </x:c>
      <x:c r="M188" s="39" t="n">
        <x:v>0.0663316629</x:v>
      </x:c>
      <x:c r="N188" s="39" t="n">
        <x:v>0.0329533726</x:v>
      </x:c>
      <x:c r="O188" s="39" t="n">
        <x:v>0.0639491704</x:v>
      </x:c>
      <x:c r="P188" s="39" t="n">
        <x:v>-0.0992727692</x:v>
      </x:c>
      <x:c r="Q188" s="39" t="n">
        <x:v>0.0603897148</x:v>
      </x:c>
      <x:c r="R188" s="39" t="n">
        <x:v>0.1098035317</x:v>
      </x:c>
      <x:c r="S188" s="39" t="n">
        <x:v>-0.0260659772</x:v>
      </x:c>
      <x:c r="T188" s="39" t="n">
        <x:v>0.149777015</x:v>
      </x:c>
      <x:c r="U188" s="39" t="n">
        <x:v>0.161356735</x:v>
      </x:c>
      <x:c r="V188" s="39" t="n">
        <x:v>0.0063068232</x:v>
      </x:c>
      <x:c r="W188" s="39" t="n">
        <x:v>0.0236808475</x:v>
      </x:c>
      <x:c r="X188" s="39" t="n">
        <x:v>-0.0052937827</x:v>
      </x:c>
      <x:c r="Y188" s="39" t="n">
        <x:v>-0.1293183745</x:v>
      </x:c>
      <x:c r="Z188" s="39" t="n">
        <x:v>0.0272277147</x:v>
      </x:c>
      <x:c r="AA188" s="39" t="n">
        <x:v>0.0533678714</x:v>
      </x:c>
      <x:c r="AB188" s="39" t="n">
        <x:v>0.05598324</x:v>
      </x:c>
      <x:c r="AC188" s="39" t="n">
        <x:v>-0.1204923925</x:v>
      </x:c>
      <x:c r="AD188" s="39" t="n">
        <x:v>-0.0134205314</x:v>
      </x:c>
      <x:c r="AE188" s="39" t="n">
        <x:v>-0.0459682432</x:v>
      </x:c>
      <x:c r="AF188" s="39" t="n">
        <x:v>-0.0004383107</x:v>
      </x:c>
      <x:c r="AG188" s="39" t="n">
        <x:v>0.0106093164</x:v>
      </x:c>
      <x:c r="AH188" s="39" t="n">
        <x:v>-0.0858409336</x:v>
      </x:c>
      <x:c r="AI188" s="39" t="n">
        <x:v>-0.0569186201</x:v>
      </x:c>
      <x:c r="AJ188" s="39" t="n">
        <x:v>0.0796189088</x:v>
      </x:c>
      <x:c r="AK188" s="39" t="n">
        <x:v>0.0483368304</x:v>
      </x:c>
      <x:c r="AL188" s="39" t="n">
        <x:v>0.0873974798</x:v>
      </x:c>
      <x:c r="AM188" s="39" t="n">
        <x:v>0.0484163103</x:v>
      </x:c>
      <x:c r="AN188" s="39" t="n">
        <x:v>0.0102502155</x:v>
      </x:c>
      <x:c r="AO188" s="39" t="n">
        <x:v>0.0438888256</x:v>
      </x:c>
      <x:c r="AP188" s="39" t="n">
        <x:v>-0.0634594554</x:v>
      </x:c>
      <x:c r="AQ188" s="39" t="n">
        <x:v>-0.013813023</x:v>
      </x:c>
      <x:c r="AR188" s="39" t="n">
        <x:v>0.0178346276</x:v>
      </x:c>
      <x:c r="AS188" s="39" t="n">
        <x:v>0.0400899846</x:v>
      </x:c>
    </x:row>
    <x:row r="189" ht="19" customHeight="1">
      <x:c r="A189" s="30" t="str">
        <x:v>Other FX</x:v>
      </x:c>
      <x:c r="B189" s="40" t="d">
        <x:v>2022-04-25T00:00:00.000Z</x:v>
      </x:c>
      <x:c r="C189" s="39" t="n">
        <x:v>0.0490510854</x:v>
      </x:c>
      <x:c r="D189" s="39" t="n">
        <x:v>-0.0958205455</x:v>
      </x:c>
      <x:c r="E189" s="39" t="n">
        <x:v>0.0082773615</x:v>
      </x:c>
      <x:c r="F189" s="39" t="n">
        <x:v>-0.0078046899</x:v>
      </x:c>
      <x:c r="G189" s="39" t="n">
        <x:v>-0.1147548406</x:v>
      </x:c>
      <x:c r="H189" s="39" t="n">
        <x:v>-0.0263845331</x:v>
      </x:c>
      <x:c r="I189" s="39" t="n">
        <x:v>-0.2065094829</x:v>
      </x:c>
      <x:c r="J189" s="39" t="n">
        <x:v>-0.0364165453</x:v>
      </x:c>
      <x:c r="K189" s="39" t="n">
        <x:v>-0.0563778936</x:v>
      </x:c>
      <x:c r="L189" s="39" t="n">
        <x:v>0.0722290048</x:v>
      </x:c>
      <x:c r="M189" s="39" t="n">
        <x:v>-0.0226421546</x:v>
      </x:c>
      <x:c r="N189" s="39" t="n">
        <x:v>0.0018905738</x:v>
      </x:c>
      <x:c r="O189" s="39" t="n">
        <x:v>-0.0477035701</x:v>
      </x:c>
      <x:c r="P189" s="39" t="n">
        <x:v>0.0997282292</x:v>
      </x:c>
      <x:c r="Q189" s="39" t="n">
        <x:v>-0.1632799733</x:v>
      </x:c>
      <x:c r="R189" s="39" t="n">
        <x:v>-0.3102748475</x:v>
      </x:c>
      <x:c r="S189" s="39" t="n">
        <x:v>-0.0478004967</x:v>
      </x:c>
      <x:c r="T189" s="39" t="n">
        <x:v>-0.270904189</x:v>
      </x:c>
      <x:c r="U189" s="39" t="n">
        <x:v>-0.092379368</x:v>
      </x:c>
      <x:c r="V189" s="39" t="n">
        <x:v>-0.1627367521</x:v>
      </x:c>
      <x:c r="W189" s="39" t="n">
        <x:v>-0.5067569278</x:v>
      </x:c>
      <x:c r="X189" s="39" t="n">
        <x:v>-0.0711003843</x:v>
      </x:c>
      <x:c r="Y189" s="39" t="n">
        <x:v>-0.0457949379</x:v>
      </x:c>
      <x:c r="Z189" s="39" t="n">
        <x:v>0.0301191011</x:v>
      </x:c>
      <x:c r="AA189" s="39" t="n">
        <x:v>-0.0522754715</x:v>
      </x:c>
      <x:c r="AB189" s="39" t="n">
        <x:v>0.0559698793</x:v>
      </x:c>
      <x:c r="AC189" s="39" t="n">
        <x:v>-0.2811315659</x:v>
      </x:c>
      <x:c r="AD189" s="39" t="n">
        <x:v>0.0624801674</x:v>
      </x:c>
      <x:c r="AE189" s="39" t="n">
        <x:v>-0.0459460386</x:v>
      </x:c>
      <x:c r="AF189" s="39" t="n">
        <x:v>-0.04175959</x:v>
      </x:c>
      <x:c r="AG189" s="39" t="n">
        <x:v>-0.1076769301</x:v>
      </x:c>
      <x:c r="AH189" s="39" t="n">
        <x:v>0.0981857986</x:v>
      </x:c>
      <x:c r="AI189" s="39" t="n">
        <x:v>-0.1383413289</x:v>
      </x:c>
      <x:c r="AJ189" s="39" t="n">
        <x:v>-0.0013887561</x:v>
      </x:c>
      <x:c r="AK189" s="39" t="n">
        <x:v>-0.027313818</x:v>
      </x:c>
      <x:c r="AL189" s="39" t="n">
        <x:v>-0.0771316683</x:v>
      </x:c>
      <x:c r="AM189" s="39" t="n">
        <x:v>-0.0818174898</x:v>
      </x:c>
      <x:c r="AN189" s="39" t="n">
        <x:v>-0.1315671983</x:v>
      </x:c>
      <x:c r="AO189" s="39" t="n">
        <x:v>-0.0381009118</x:v>
      </x:c>
      <x:c r="AP189" s="39" t="n">
        <x:v>0.0287742121</x:v>
      </x:c>
      <x:c r="AQ189" s="39" t="n">
        <x:v>0.0489421776</x:v>
      </x:c>
      <x:c r="AR189" s="39" t="n">
        <x:v>0.0219463513</x:v>
      </x:c>
      <x:c r="AS189" s="39" t="n">
        <x:v>-0.0517331456</x:v>
      </x:c>
    </x:row>
    <x:row r="190" ht="19" customHeight="1">
      <x:c r="A190" s="30" t="str">
        <x:v>Other FX</x:v>
      </x:c>
      <x:c r="B190" s="40" t="d">
        <x:v>2022-05-23T00:00:00.000Z</x:v>
      </x:c>
      <x:c r="C190" s="39" t="n">
        <x:v>0.0383401671</x:v>
      </x:c>
      <x:c r="D190" s="39" t="n">
        <x:v>0.0611709874</x:v>
      </x:c>
      <x:c r="E190" s="39" t="n">
        <x:v>0.0316631988</x:v>
      </x:c>
      <x:c r="F190" s="39" t="n">
        <x:v>0.0207589062</x:v>
      </x:c>
      <x:c r="G190" s="39" t="n">
        <x:v>-0.0140595167</x:v>
      </x:c>
      <x:c r="H190" s="39" t="n">
        <x:v>-0.0275357346</x:v>
      </x:c>
      <x:c r="I190" s="39" t="n">
        <x:v>-0.0582221923</x:v>
      </x:c>
      <x:c r="J190" s="39" t="n">
        <x:v>0.0144917379</x:v>
      </x:c>
      <x:c r="K190" s="39" t="n">
        <x:v>-0.0187182142</x:v>
      </x:c>
      <x:c r="L190" s="39" t="n">
        <x:v>0.1339561507</x:v>
      </x:c>
      <x:c r="M190" s="39" t="n">
        <x:v>-0.0056936359</x:v>
      </x:c>
      <x:c r="N190" s="39" t="n">
        <x:v>-0.0263465371</x:v>
      </x:c>
      <x:c r="O190" s="39" t="n">
        <x:v>-0.0394541195</x:v>
      </x:c>
      <x:c r="P190" s="39" t="n">
        <x:v>0.0771388129</x:v>
      </x:c>
      <x:c r="Q190" s="39" t="n">
        <x:v>-0.0420598567</x:v>
      </x:c>
      <x:c r="R190" s="39" t="n">
        <x:v>0.1899172734</x:v>
      </x:c>
      <x:c r="S190" s="39" t="n">
        <x:v>-0.0783845779</x:v>
      </x:c>
      <x:c r="T190" s="39" t="n">
        <x:v>-0.2897712613</x:v>
      </x:c>
      <x:c r="U190" s="39" t="n">
        <x:v>0.0791914548</x:v>
      </x:c>
      <x:c r="V190" s="39" t="n">
        <x:v>-0.068808381</x:v>
      </x:c>
      <x:c r="W190" s="39" t="n">
        <x:v>0.01910878</x:v>
      </x:c>
      <x:c r="X190" s="39" t="n">
        <x:v>0.086569123</x:v>
      </x:c>
      <x:c r="Y190" s="39" t="n">
        <x:v>0.0090478021</x:v>
      </x:c>
      <x:c r="Z190" s="39" t="n">
        <x:v>-0.0547612683</x:v>
      </x:c>
      <x:c r="AA190" s="39" t="n">
        <x:v>0.08704171</x:v>
      </x:c>
      <x:c r="AB190" s="39" t="n">
        <x:v>0.0159218954</x:v>
      </x:c>
      <x:c r="AC190" s="39" t="n">
        <x:v>-0.3044063807</x:v>
      </x:c>
      <x:c r="AD190" s="39" t="n">
        <x:v>-0.0596799637</x:v>
      </x:c>
      <x:c r="AE190" s="39" t="n">
        <x:v>-0.0379886025</x:v>
      </x:c>
      <x:c r="AF190" s="39" t="n">
        <x:v>0.0185777979</x:v>
      </x:c>
      <x:c r="AG190" s="39" t="n">
        <x:v>-0.0910307226</x:v>
      </x:c>
      <x:c r="AH190" s="39" t="n">
        <x:v>0.0031298497</x:v>
      </x:c>
      <x:c r="AI190" s="39" t="n">
        <x:v>0.1054548912</x:v>
      </x:c>
      <x:c r="AJ190" s="39" t="n">
        <x:v>0.0803067923</x:v>
      </x:c>
      <x:c r="AK190" s="39" t="n">
        <x:v>-0.0206120598</x:v>
      </x:c>
      <x:c r="AL190" s="39" t="n">
        <x:v>-0.0047531079</x:v>
      </x:c>
      <x:c r="AM190" s="39" t="n">
        <x:v>-0.0100791509</x:v>
      </x:c>
      <x:c r="AN190" s="39" t="n">
        <x:v>-0.0316980723</x:v>
      </x:c>
      <x:c r="AO190" s="39" t="n">
        <x:v>-0.1049939379</x:v>
      </x:c>
      <x:c r="AP190" s="39" t="n">
        <x:v>0.0176616179</x:v>
      </x:c>
      <x:c r="AQ190" s="39" t="n">
        <x:v>-0.008748866</x:v>
      </x:c>
      <x:c r="AR190" s="39" t="n">
        <x:v>-0.0034830704</x:v>
      </x:c>
      <x:c r="AS190" s="39" t="n">
        <x:v>-0.0187614983</x:v>
      </x:c>
    </x:row>
    <x:row r="191" ht="19" customHeight="1">
      <x:c r="A191" s="30" t="str">
        <x:v>Other FX</x:v>
      </x:c>
      <x:c r="B191" s="40" t="d">
        <x:v>2022-06-20T00:00:00.000Z</x:v>
      </x:c>
      <x:c r="C191" s="39" t="n">
        <x:v>-0.0848594715</x:v>
      </x:c>
      <x:c r="D191" s="39" t="n">
        <x:v>-0.2655240569</x:v>
      </x:c>
      <x:c r="E191" s="39" t="n">
        <x:v>-0.0684098354</x:v>
      </x:c>
      <x:c r="F191" s="39" t="n">
        <x:v>-0.0703720812</x:v>
      </x:c>
      <x:c r="G191" s="39" t="n">
        <x:v>-0.0649668897</x:v>
      </x:c>
      <x:c r="H191" s="39" t="n">
        <x:v>-0.0193563651</x:v>
      </x:c>
      <x:c r="I191" s="39" t="n">
        <x:v>0.0087730554</x:v>
      </x:c>
      <x:c r="J191" s="39" t="n">
        <x:v>-0.0929446258</x:v>
      </x:c>
      <x:c r="K191" s="39" t="n">
        <x:v>-0.1394355269</x:v>
      </x:c>
      <x:c r="L191" s="39" t="n">
        <x:v>-0.183807661</x:v>
      </x:c>
      <x:c r="M191" s="39" t="n">
        <x:v>-0.1073085217</x:v>
      </x:c>
      <x:c r="N191" s="39" t="n">
        <x:v>-0.1063037685</x:v>
      </x:c>
      <x:c r="O191" s="39" t="n">
        <x:v>-0.0022877415</x:v>
      </x:c>
      <x:c r="P191" s="39" t="n">
        <x:v>-0.2217967383</x:v>
      </x:c>
      <x:c r="Q191" s="39" t="n">
        <x:v>0.0196881775</x:v>
      </x:c>
      <x:c r="R191" s="39" t="n">
        <x:v>-0.0445335879</x:v>
      </x:c>
      <x:c r="S191" s="39" t="n">
        <x:v>0.0482415618</x:v>
      </x:c>
      <x:c r="T191" s="39" t="n">
        <x:v>-0.0988857507</x:v>
      </x:c>
      <x:c r="U191" s="39" t="n">
        <x:v>0.0443434135</x:v>
      </x:c>
      <x:c r="V191" s="39" t="n">
        <x:v>-0.0495356602</x:v>
      </x:c>
      <x:c r="W191" s="39" t="n">
        <x:v>-0.0173917313</x:v>
      </x:c>
      <x:c r="X191" s="39" t="n">
        <x:v>-0.0497199721</x:v>
      </x:c>
      <x:c r="Y191" s="39" t="n">
        <x:v>-0.1786564296</x:v>
      </x:c>
      <x:c r="Z191" s="39" t="n">
        <x:v>0.014337477</x:v>
      </x:c>
      <x:c r="AA191" s="39" t="n">
        <x:v>-0.0284766457</x:v>
      </x:c>
      <x:c r="AB191" s="39" t="n">
        <x:v>0.0126798923</x:v>
      </x:c>
      <x:c r="AC191" s="39" t="n">
        <x:v>-0.1595254688</x:v>
      </x:c>
      <x:c r="AD191" s="39" t="n">
        <x:v>-0.006914178</x:v>
      </x:c>
      <x:c r="AE191" s="39" t="n">
        <x:v>-0.0652625811</x:v>
      </x:c>
      <x:c r="AF191" s="39" t="n">
        <x:v>-0.0834060619</x:v>
      </x:c>
      <x:c r="AG191" s="39" t="n">
        <x:v>0.0932489709</x:v>
      </x:c>
      <x:c r="AH191" s="39" t="n">
        <x:v>0.0319750722</x:v>
      </x:c>
      <x:c r="AI191" s="39" t="n">
        <x:v>-0.1190868892</x:v>
      </x:c>
      <x:c r="AJ191" s="39" t="n">
        <x:v>0.0050999596</x:v>
      </x:c>
      <x:c r="AK191" s="39" t="n">
        <x:v>-0.0557008848</x:v>
      </x:c>
      <x:c r="AL191" s="39" t="n">
        <x:v>-0.064188177</x:v>
      </x:c>
      <x:c r="AM191" s="39" t="n">
        <x:v>-0.0158430351</x:v>
      </x:c>
      <x:c r="AN191" s="39" t="n">
        <x:v>0.0405721917</x:v>
      </x:c>
      <x:c r="AO191" s="39" t="n">
        <x:v>0.0267679346</x:v>
      </x:c>
      <x:c r="AP191" s="39" t="n">
        <x:v>-0.046068813</x:v>
      </x:c>
      <x:c r="AQ191" s="39" t="n">
        <x:v>-0.0041072014</x:v>
      </x:c>
      <x:c r="AR191" s="39" t="n">
        <x:v>0.006284418</x:v>
      </x:c>
      <x:c r="AS191" s="39" t="n">
        <x:v>-0.1038592431</x:v>
      </x:c>
    </x:row>
    <x:row r="192" ht="19" customHeight="1">
      <x:c r="A192" s="30" t="str">
        <x:v>Other FX</x:v>
      </x:c>
      <x:c r="B192" s="40" t="d">
        <x:v>2022-07-18T00:00:00.000Z</x:v>
      </x:c>
      <x:c r="C192" s="39" t="n">
        <x:v>-0.0131901635</x:v>
      </x:c>
      <x:c r="D192" s="39" t="n">
        <x:v>-0.1588249925</x:v>
      </x:c>
      <x:c r="E192" s="39" t="n">
        <x:v>-0.0109367142</x:v>
      </x:c>
      <x:c r="F192" s="39" t="n">
        <x:v>-0.0084181809</x:v>
      </x:c>
      <x:c r="G192" s="39" t="n">
        <x:v>0.0303854737</x:v>
      </x:c>
      <x:c r="H192" s="39" t="n">
        <x:v>0.000409359</x:v>
      </x:c>
      <x:c r="I192" s="39" t="n">
        <x:v>0.0391513456</x:v>
      </x:c>
      <x:c r="J192" s="39" t="n">
        <x:v>0.0085193106</x:v>
      </x:c>
      <x:c r="K192" s="39" t="n">
        <x:v>-0.0166444444</x:v>
      </x:c>
      <x:c r="L192" s="39" t="n">
        <x:v>0.0006791057</x:v>
      </x:c>
      <x:c r="M192" s="39" t="n">
        <x:v>0.013904065</x:v>
      </x:c>
      <x:c r="N192" s="39" t="n">
        <x:v>-0.0300280557</x:v>
      </x:c>
      <x:c r="O192" s="39" t="n">
        <x:v>0.0819837688</x:v>
      </x:c>
      <x:c r="P192" s="39" t="n">
        <x:v>-0.0624089591</x:v>
      </x:c>
      <x:c r="Q192" s="39" t="n">
        <x:v>-0.0126805514</x:v>
      </x:c>
      <x:c r="R192" s="39" t="n">
        <x:v>-0.1555728431</x:v>
      </x:c>
      <x:c r="S192" s="39" t="n">
        <x:v>-0.0359780207</x:v>
      </x:c>
      <x:c r="T192" s="39" t="n">
        <x:v>-0.002880333</x:v>
      </x:c>
      <x:c r="U192" s="39" t="n">
        <x:v>0.0770673239</x:v>
      </x:c>
      <x:c r="V192" s="39" t="n">
        <x:v>0.0471724316</x:v>
      </x:c>
      <x:c r="W192" s="39" t="n">
        <x:v>0.1130676014</x:v>
      </x:c>
      <x:c r="X192" s="39" t="n">
        <x:v>0.0546965164</x:v>
      </x:c>
      <x:c r="Y192" s="39" t="n">
        <x:v>-0.029907308</x:v>
      </x:c>
      <x:c r="Z192" s="39" t="n">
        <x:v>-0.2215872661</x:v>
      </x:c>
      <x:c r="AA192" s="39" t="n">
        <x:v>-0.0324830924</x:v>
      </x:c>
      <x:c r="AB192" s="39" t="n">
        <x:v>-0.0161081994</x:v>
      </x:c>
      <x:c r="AC192" s="39" t="n">
        <x:v>-0.3554317421</x:v>
      </x:c>
      <x:c r="AD192" s="39" t="n">
        <x:v>-0.0126274092</x:v>
      </x:c>
      <x:c r="AE192" s="39" t="n">
        <x:v>0.020593248</x:v>
      </x:c>
      <x:c r="AF192" s="39" t="n">
        <x:v>-0.0163489199</x:v>
      </x:c>
      <x:c r="AG192" s="39" t="n">
        <x:v>0.0646675741</x:v>
      </x:c>
      <x:c r="AH192" s="39" t="n">
        <x:v>-0.0503419213</x:v>
      </x:c>
      <x:c r="AI192" s="39" t="n">
        <x:v>-0.0406174009</x:v>
      </x:c>
      <x:c r="AJ192" s="39" t="n">
        <x:v>0.0075045088</x:v>
      </x:c>
      <x:c r="AK192" s="39" t="n">
        <x:v>-0.0388866779</x:v>
      </x:c>
      <x:c r="AL192" s="39" t="n">
        <x:v>0.0378497592</x:v>
      </x:c>
      <x:c r="AM192" s="39" t="n">
        <x:v>-0.0218087994</x:v>
      </x:c>
      <x:c r="AN192" s="39" t="n">
        <x:v>-0.1012444146</x:v>
      </x:c>
      <x:c r="AO192" s="39" t="n">
        <x:v>0.0492617982</x:v>
      </x:c>
      <x:c r="AP192" s="39" t="n">
        <x:v>0.0507430785</x:v>
      </x:c>
      <x:c r="AQ192" s="39" t="n">
        <x:v>-0.038166793</x:v>
      </x:c>
      <x:c r="AR192" s="39" t="n">
        <x:v>-0.0624406393</x:v>
      </x:c>
      <x:c r="AS192" s="39" t="n">
        <x:v>0.0050967654</x:v>
      </x:c>
    </x:row>
    <x:row r="193" ht="19" customHeight="1">
      <x:c r="A193" s="30" t="str">
        <x:v>Other FX</x:v>
      </x:c>
      <x:c r="B193" s="40" t="d">
        <x:v>2022-08-15T00:00:00.000Z</x:v>
      </x:c>
      <x:c r="C193" s="39" t="n">
        <x:v>0.0742529818</x:v>
      </x:c>
      <x:c r="D193" s="39" t="n">
        <x:v>0.2496930603</x:v>
      </x:c>
      <x:c r="E193" s="39" t="n">
        <x:v>0.0935610646</x:v>
      </x:c>
      <x:c r="F193" s="39" t="n">
        <x:v>0.0913990401</x:v>
      </x:c>
      <x:c r="G193" s="39" t="n">
        <x:v>0.1381065004</x:v>
      </x:c>
      <x:c r="H193" s="39" t="n">
        <x:v>0.185485798</x:v>
      </x:c>
      <x:c r="I193" s="39" t="n">
        <x:v>0.0966319578</x:v>
      </x:c>
      <x:c r="J193" s="39" t="n">
        <x:v>0.0829594902</x:v>
      </x:c>
      <x:c r="K193" s="39" t="n">
        <x:v>-0.0070483971</x:v>
      </x:c>
      <x:c r="L193" s="39" t="n">
        <x:v>0.1109536276</x:v>
      </x:c>
      <x:c r="M193" s="39" t="n">
        <x:v>0.161560752</x:v>
      </x:c>
      <x:c r="N193" s="39" t="n">
        <x:v>0.103663252</x:v>
      </x:c>
      <x:c r="O193" s="39" t="n">
        <x:v>0.1520557832</x:v>
      </x:c>
      <x:c r="P193" s="39" t="n">
        <x:v>-0.0137641628</x:v>
      </x:c>
      <x:c r="Q193" s="39" t="n">
        <x:v>0.0353554144</x:v>
      </x:c>
      <x:c r="R193" s="39" t="n">
        <x:v>0.0812382438</x:v>
      </x:c>
      <x:c r="S193" s="39" t="n">
        <x:v>-0.008761893</x:v>
      </x:c>
      <x:c r="T193" s="39" t="n">
        <x:v>0.2249748749</x:v>
      </x:c>
      <x:c r="U193" s="39" t="n">
        <x:v>-0.0494290592</x:v>
      </x:c>
      <x:c r="V193" s="39" t="n">
        <x:v>0.1963138403</x:v>
      </x:c>
      <x:c r="W193" s="39" t="n">
        <x:v>0.0714708303</x:v>
      </x:c>
      <x:c r="X193" s="39" t="n">
        <x:v>-0.0531899246</x:v>
      </x:c>
      <x:c r="Y193" s="39" t="n">
        <x:v>-0.0307756687</x:v>
      </x:c>
      <x:c r="Z193" s="39" t="n">
        <x:v>-0.0998900093</x:v>
      </x:c>
      <x:c r="AA193" s="39" t="n">
        <x:v>0.1087705963</x:v>
      </x:c>
      <x:c r="AB193" s="39" t="n">
        <x:v>-0.0200576582</x:v>
      </x:c>
      <x:c r="AC193" s="39" t="n">
        <x:v>0.0710052664</x:v>
      </x:c>
      <x:c r="AD193" s="39" t="n">
        <x:v>0.0455841685</x:v>
      </x:c>
      <x:c r="AE193" s="39" t="n">
        <x:v>0.1940512477</x:v>
      </x:c>
      <x:c r="AF193" s="39" t="n">
        <x:v>0.0606078786</x:v>
      </x:c>
      <x:c r="AG193" s="39" t="n">
        <x:v>0.0475356561</x:v>
      </x:c>
      <x:c r="AH193" s="39" t="n">
        <x:v>0.110126882</x:v>
      </x:c>
      <x:c r="AI193" s="39" t="n">
        <x:v>0.0585484948</x:v>
      </x:c>
      <x:c r="AJ193" s="39" t="n">
        <x:v>-0.0120120313</x:v>
      </x:c>
      <x:c r="AK193" s="39" t="n">
        <x:v>-0.037119236</x:v>
      </x:c>
      <x:c r="AL193" s="39" t="n">
        <x:v>-0.0189584492</x:v>
      </x:c>
      <x:c r="AM193" s="39" t="n">
        <x:v>0.0768300207</x:v>
      </x:c>
      <x:c r="AN193" s="39" t="n">
        <x:v>0.0594510988</x:v>
      </x:c>
      <x:c r="AO193" s="39" t="n">
        <x:v>0.0357108517</x:v>
      </x:c>
      <x:c r="AP193" s="39" t="n">
        <x:v>0.0456720437</x:v>
      </x:c>
      <x:c r="AQ193" s="39" t="n">
        <x:v>0.0471638602</x:v>
      </x:c>
      <x:c r="AR193" s="39" t="n">
        <x:v>-0.0168433689</x:v>
      </x:c>
      <x:c r="AS193" s="39" t="n">
        <x:v>0.0281788287</x:v>
      </x:c>
    </x:row>
    <x:row r="194" ht="19" customHeight="1">
      <x:c r="A194" s="30" t="str">
        <x:v>Other FX</x:v>
      </x:c>
      <x:c r="B194" s="40" t="d">
        <x:v>2022-09-12T00:00:00.000Z</x:v>
      </x:c>
      <x:c r="C194" s="39" t="n">
        <x:v>0.0019152294</x:v>
      </x:c>
      <x:c r="D194" s="39" t="n">
        <x:v>0.0572256685</x:v>
      </x:c>
      <x:c r="E194" s="39" t="n">
        <x:v>-0.0341616911</x:v>
      </x:c>
      <x:c r="F194" s="39" t="n">
        <x:v>-0.0424178539</x:v>
      </x:c>
      <x:c r="G194" s="39" t="n">
        <x:v>-0.0715490024</x:v>
      </x:c>
      <x:c r="H194" s="39" t="n">
        <x:v>0.0227840559</x:v>
      </x:c>
      <x:c r="I194" s="39" t="n">
        <x:v>-0.0907209243</x:v>
      </x:c>
      <x:c r="J194" s="39" t="n">
        <x:v>-0.0728632668</x:v>
      </x:c>
      <x:c r="K194" s="39" t="n">
        <x:v>-0.2102296417</x:v>
      </x:c>
      <x:c r="L194" s="39" t="n">
        <x:v>-0.1020944503</x:v>
      </x:c>
      <x:c r="M194" s="39" t="n">
        <x:v>-0.0392156036</x:v>
      </x:c>
      <x:c r="N194" s="39" t="n">
        <x:v>-0.0307328831</x:v>
      </x:c>
      <x:c r="O194" s="39" t="n">
        <x:v>-0.0597516751</x:v>
      </x:c>
      <x:c r="P194" s="39" t="n">
        <x:v>-0.2228587073</x:v>
      </x:c>
      <x:c r="Q194" s="39" t="n">
        <x:v>0.1102853052</x:v>
      </x:c>
      <x:c r="R194" s="39" t="n">
        <x:v>-0.0343968714</x:v>
      </x:c>
      <x:c r="S194" s="39" t="n">
        <x:v>-0.0390700994</x:v>
      </x:c>
      <x:c r="T194" s="39" t="n">
        <x:v>-0.1219115899</x:v>
      </x:c>
      <x:c r="U194" s="39" t="n">
        <x:v>-0.0100060033</x:v>
      </x:c>
      <x:c r="V194" s="39" t="n">
        <x:v>-0.0801572258</x:v>
      </x:c>
      <x:c r="W194" s="39" t="n">
        <x:v>-0.0034535204</x:v>
      </x:c>
      <x:c r="X194" s="39" t="n">
        <x:v>-0.0695853952</x:v>
      </x:c>
      <x:c r="Y194" s="39" t="n">
        <x:v>-0.1318789668</x:v>
      </x:c>
      <x:c r="Z194" s="39" t="n">
        <x:v>0.0427811195</x:v>
      </x:c>
      <x:c r="AA194" s="39" t="n">
        <x:v>-0.0165619379</x:v>
      </x:c>
      <x:c r="AB194" s="39" t="n">
        <x:v>0.0068379943</x:v>
      </x:c>
      <x:c r="AC194" s="39" t="n">
        <x:v>-0.1218798666</x:v>
      </x:c>
      <x:c r="AD194" s="39" t="n">
        <x:v>-0.0559259574</x:v>
      </x:c>
      <x:c r="AE194" s="39" t="n">
        <x:v>-0.047351221</x:v>
      </x:c>
      <x:c r="AF194" s="39" t="n">
        <x:v>-0.0969026471</x:v>
      </x:c>
      <x:c r="AG194" s="39" t="n">
        <x:v>-0.0760419187</x:v>
      </x:c>
      <x:c r="AH194" s="39" t="n">
        <x:v>0.0047523426</x:v>
      </x:c>
      <x:c r="AI194" s="39" t="n">
        <x:v>-0.1937833991</x:v>
      </x:c>
      <x:c r="AJ194" s="39" t="n">
        <x:v>-0.0354659026</x:v>
      </x:c>
      <x:c r="AK194" s="39" t="n">
        <x:v>-0.0719290747</x:v>
      </x:c>
      <x:c r="AL194" s="39" t="n">
        <x:v>-0.0854252039</x:v>
      </x:c>
      <x:c r="AM194" s="39" t="n">
        <x:v>-0.1261303913</x:v>
      </x:c>
      <x:c r="AN194" s="39" t="n">
        <x:v>-0.1133121978</x:v>
      </x:c>
      <x:c r="AO194" s="39" t="n">
        <x:v>-0.0797602538</x:v>
      </x:c>
      <x:c r="AP194" s="39" t="n">
        <x:v>-0.1100570188</x:v>
      </x:c>
      <x:c r="AQ194" s="39" t="n">
        <x:v>-0.0657817865</x:v>
      </x:c>
      <x:c r="AR194" s="39" t="n">
        <x:v>-0.0071246626</x:v>
      </x:c>
      <x:c r="AS194" s="39" t="n">
        <x:v>-0.0667850236</x:v>
      </x:c>
    </x:row>
    <x:row r="195" ht="19" customHeight="1">
      <x:c r="A195" s="30" t="str">
        <x:v>Other FX</x:v>
      </x:c>
      <x:c r="B195" s="40" t="d">
        <x:v>2022-10-10T00:00:00.000Z</x:v>
      </x:c>
      <x:c r="C195" s="39" t="n">
        <x:v>-0.1306603502</x:v>
      </x:c>
      <x:c r="D195" s="39" t="n">
        <x:v>0.0753943458</x:v>
      </x:c>
      <x:c r="E195" s="39" t="n">
        <x:v>-0.1083098703</x:v>
      </x:c>
      <x:c r="F195" s="39" t="n">
        <x:v>-0.1172729529</x:v>
      </x:c>
      <x:c r="G195" s="39" t="n">
        <x:v>-0.0551640511</x:v>
      </x:c>
      <x:c r="H195" s="39" t="n">
        <x:v>-0.0339110766</x:v>
      </x:c>
      <x:c r="I195" s="39" t="n">
        <x:v>-0.1183227521</x:v>
      </x:c>
      <x:c r="J195" s="39" t="n">
        <x:v>0.0537241409</x:v>
      </x:c>
      <x:c r="K195" s="39" t="n">
        <x:v>-0.1593605365</x:v>
      </x:c>
      <x:c r="L195" s="39" t="n">
        <x:v>0.0723785</x:v>
      </x:c>
      <x:c r="M195" s="39" t="n">
        <x:v>-0.0045780563</x:v>
      </x:c>
      <x:c r="N195" s="39" t="n">
        <x:v>0.0463267007</x:v>
      </x:c>
      <x:c r="O195" s="39" t="n">
        <x:v>0.0508189412</x:v>
      </x:c>
      <x:c r="P195" s="39" t="n">
        <x:v>-0.0160483879</x:v>
      </x:c>
      <x:c r="Q195" s="39" t="n">
        <x:v>0.0085207584</x:v>
      </x:c>
      <x:c r="R195" s="39" t="n">
        <x:v>-0.1756939261</x:v>
      </x:c>
      <x:c r="S195" s="39" t="n">
        <x:v>-0.0572222621</x:v>
      </x:c>
      <x:c r="T195" s="39" t="n">
        <x:v>-0.2079235712</x:v>
      </x:c>
      <x:c r="U195" s="39" t="n">
        <x:v>0.138835973</x:v>
      </x:c>
      <x:c r="V195" s="39" t="n">
        <x:v>0.0076399796</x:v>
      </x:c>
      <x:c r="W195" s="39" t="n">
        <x:v>-0.0352710438</x:v>
      </x:c>
      <x:c r="X195" s="39" t="n">
        <x:v>-0.0193174586</x:v>
      </x:c>
      <x:c r="Y195" s="39" t="n">
        <x:v>0.0743082625</x:v>
      </x:c>
      <x:c r="Z195" s="39" t="n">
        <x:v>0.1313948448</x:v>
      </x:c>
      <x:c r="AA195" s="39" t="n">
        <x:v>-0.0605353144</x:v>
      </x:c>
      <x:c r="AB195" s="39" t="n">
        <x:v>-0.1186991569</x:v>
      </x:c>
      <x:c r="AC195" s="39" t="n">
        <x:v>-0.0528361746</x:v>
      </x:c>
      <x:c r="AD195" s="39" t="n">
        <x:v>-0.0343926784</x:v>
      </x:c>
      <x:c r="AE195" s="39" t="n">
        <x:v>-0.0824041696</x:v>
      </x:c>
      <x:c r="AF195" s="39" t="n">
        <x:v>-0.029992993</x:v>
      </x:c>
      <x:c r="AG195" s="39" t="n">
        <x:v>0.0498583804</x:v>
      </x:c>
      <x:c r="AH195" s="39" t="n">
        <x:v>0.0610826682</x:v>
      </x:c>
      <x:c r="AI195" s="39" t="n">
        <x:v>-0.1858541352</x:v>
      </x:c>
      <x:c r="AJ195" s="39" t="n">
        <x:v>0.0575375711</x:v>
      </x:c>
      <x:c r="AK195" s="39" t="n">
        <x:v>-0.1372558681</x:v>
      </x:c>
      <x:c r="AL195" s="39" t="n">
        <x:v>-0.0411929832</x:v>
      </x:c>
      <x:c r="AM195" s="39" t="n">
        <x:v>-0.0559720634</x:v>
      </x:c>
      <x:c r="AN195" s="39" t="n">
        <x:v>-0.0086188008</x:v>
      </x:c>
      <x:c r="AO195" s="39" t="n">
        <x:v>-0.0493767039</x:v>
      </x:c>
      <x:c r="AP195" s="39" t="n">
        <x:v>0.0499824946</x:v>
      </x:c>
      <x:c r="AQ195" s="39" t="n">
        <x:v>-0.0193007874</x:v>
      </x:c>
      <x:c r="AR195" s="39" t="n">
        <x:v>0.0077478348</x:v>
      </x:c>
      <x:c r="AS195" s="39" t="n">
        <x:v>0.0172410055</x:v>
      </x:c>
    </x:row>
    <x:row r="196" ht="19" customHeight="1">
      <x:c r="A196" s="30" t="str">
        <x:v>Other FX</x:v>
      </x:c>
      <x:c r="B196" s="40" t="d">
        <x:v>2022-11-07T00:00:00.000Z</x:v>
      </x:c>
      <x:c r="C196" s="39" t="n">
        <x:v>0.0974957015</x:v>
      </x:c>
      <x:c r="D196" s="39" t="n">
        <x:v>0.1405978721</x:v>
      </x:c>
      <x:c r="E196" s="39" t="n">
        <x:v>0.0160131815</x:v>
      </x:c>
      <x:c r="F196" s="39" t="n">
        <x:v>0.0920914866</x:v>
      </x:c>
      <x:c r="G196" s="39" t="n">
        <x:v>-0.0431362177</x:v>
      </x:c>
      <x:c r="H196" s="39" t="n">
        <x:v>-0.0551872763</x:v>
      </x:c>
      <x:c r="I196" s="39" t="n">
        <x:v>-0.0488465039</x:v>
      </x:c>
      <x:c r="J196" s="39" t="n">
        <x:v>0.0195567148</x:v>
      </x:c>
      <x:c r="K196" s="39" t="n">
        <x:v>-0.0795803831</x:v>
      </x:c>
      <x:c r="L196" s="39" t="n">
        <x:v>0.1330332475</x:v>
      </x:c>
      <x:c r="M196" s="39" t="n">
        <x:v>0.0395092702</x:v>
      </x:c>
      <x:c r="N196" s="39" t="n">
        <x:v>-0.0915401542</x:v>
      </x:c>
      <x:c r="O196" s="39" t="n">
        <x:v>0.0463980065</x:v>
      </x:c>
      <x:c r="P196" s="39" t="n">
        <x:v>-0.0080451478</x:v>
      </x:c>
      <x:c r="Q196" s="39" t="n">
        <x:v>0.1203018782</x:v>
      </x:c>
      <x:c r="R196" s="39" t="n">
        <x:v>-0.0122181643</x:v>
      </x:c>
      <x:c r="S196" s="39" t="n">
        <x:v>-0.0322207492</x:v>
      </x:c>
      <x:c r="T196" s="39" t="n">
        <x:v>0.1340378224</x:v>
      </x:c>
      <x:c r="U196" s="39" t="n">
        <x:v>0.0699742118</x:v>
      </x:c>
      <x:c r="V196" s="39" t="n">
        <x:v>0.3537752728</x:v>
      </x:c>
      <x:c r="W196" s="39" t="n">
        <x:v>0.1927559761</x:v>
      </x:c>
      <x:c r="X196" s="39" t="n">
        <x:v>0.0359194665</x:v>
      </x:c>
      <x:c r="Y196" s="39" t="n">
        <x:v>-0.0154089255</x:v>
      </x:c>
      <x:c r="Z196" s="39" t="n">
        <x:v>-0.0821176262</x:v>
      </x:c>
      <x:c r="AA196" s="39" t="n">
        <x:v>0.0709310136</x:v>
      </x:c>
      <x:c r="AB196" s="39" t="n">
        <x:v>-0.0163542529</x:v>
      </x:c>
      <x:c r="AC196" s="39" t="n">
        <x:v>-0.0145993255</x:v>
      </x:c>
      <x:c r="AD196" s="39" t="n">
        <x:v>0.0589504633</x:v>
      </x:c>
      <x:c r="AE196" s="39" t="n">
        <x:v>0.0646726258</x:v>
      </x:c>
      <x:c r="AF196" s="39" t="n">
        <x:v>0.1612563005</x:v>
      </x:c>
      <x:c r="AG196" s="39" t="n">
        <x:v>0.1312223171</x:v>
      </x:c>
      <x:c r="AH196" s="39" t="n">
        <x:v>-0.0828389906</x:v>
      </x:c>
      <x:c r="AI196" s="39" t="n">
        <x:v>0.0901364366</x:v>
      </x:c>
      <x:c r="AJ196" s="39" t="n">
        <x:v>0.0507821838</x:v>
      </x:c>
      <x:c r="AK196" s="39" t="n">
        <x:v>0.0907158311</x:v>
      </x:c>
      <x:c r="AL196" s="39" t="n">
        <x:v>0.020227436</x:v>
      </x:c>
      <x:c r="AM196" s="39" t="n">
        <x:v>0.0647649788</x:v>
      </x:c>
      <x:c r="AN196" s="39" t="n">
        <x:v>-0.077887069</x:v>
      </x:c>
      <x:c r="AO196" s="39" t="n">
        <x:v>0.0502647027</x:v>
      </x:c>
      <x:c r="AP196" s="39" t="n">
        <x:v>0.0588942931</x:v>
      </x:c>
      <x:c r="AQ196" s="39" t="n">
        <x:v>0.0302211096</x:v>
      </x:c>
      <x:c r="AR196" s="39" t="n">
        <x:v>-0.0185497541</x:v>
      </x:c>
      <x:c r="AS196" s="39" t="n">
        <x:v>0.0650979786</x:v>
      </x:c>
    </x:row>
    <x:row r="197" ht="19" customHeight="1">
      <x:c r="A197" s="30" t="str">
        <x:v>Other FX</x:v>
      </x:c>
      <x:c r="B197" s="40" t="d">
        <x:v>2022-12-05T00:00:00.000Z</x:v>
      </x:c>
      <x:c r="C197" s="39" t="n">
        <x:v>-0.008074913</x:v>
      </x:c>
      <x:c r="D197" s="39" t="n">
        <x:v>-0.1622043001</x:v>
      </x:c>
      <x:c r="E197" s="39" t="n">
        <x:v>0.0404901219</x:v>
      </x:c>
      <x:c r="F197" s="39" t="n">
        <x:v>0.0461866755</x:v>
      </x:c>
      <x:c r="G197" s="39" t="n">
        <x:v>-0.024914357</x:v>
      </x:c>
      <x:c r="H197" s="39" t="n">
        <x:v>-0.0015489468</x:v>
      </x:c>
      <x:c r="I197" s="39" t="n">
        <x:v>-0.1038634947</x:v>
      </x:c>
      <x:c r="J197" s="39" t="n">
        <x:v>-0.0748763331</x:v>
      </x:c>
      <x:c r="K197" s="39" t="n">
        <x:v>-0.1325619985</x:v>
      </x:c>
      <x:c r="L197" s="39" t="n">
        <x:v>-0.1251391251</x:v>
      </x:c>
      <x:c r="M197" s="39" t="n">
        <x:v>-0.0311416748</x:v>
      </x:c>
      <x:c r="N197" s="39" t="n">
        <x:v>-0.0051102155</x:v>
      </x:c>
      <x:c r="O197" s="39" t="n">
        <x:v>0.0044957463</x:v>
      </x:c>
      <x:c r="P197" s="39" t="n">
        <x:v>-0.1592708677</x:v>
      </x:c>
      <x:c r="Q197" s="39" t="n">
        <x:v>-0.1225497755</x:v>
      </x:c>
      <x:c r="R197" s="39" t="n">
        <x:v>-0.0988238014</x:v>
      </x:c>
      <x:c r="S197" s="39" t="n">
        <x:v>0.0100525998</x:v>
      </x:c>
      <x:c r="T197" s="39" t="n">
        <x:v>-0.0872764034</x:v>
      </x:c>
      <x:c r="U197" s="39" t="n">
        <x:v>0.0026821515</x:v>
      </x:c>
      <x:c r="V197" s="39" t="n">
        <x:v>-0.0686602565</x:v>
      </x:c>
      <x:c r="W197" s="39" t="n">
        <x:v>0.0825095211</x:v>
      </x:c>
      <x:c r="X197" s="39" t="n">
        <x:v>0.0200569631</x:v>
      </x:c>
      <x:c r="Y197" s="39" t="n">
        <x:v>-0.1832459224</x:v>
      </x:c>
      <x:c r="Z197" s="39" t="n">
        <x:v>-0.0472791686</x:v>
      </x:c>
      <x:c r="AA197" s="39" t="n">
        <x:v>0.0207472388</x:v>
      </x:c>
      <x:c r="AB197" s="39" t="n">
        <x:v>0.0760277247</x:v>
      </x:c>
      <x:c r="AC197" s="39" t="n">
        <x:v>-0.2334833894</x:v>
      </x:c>
      <x:c r="AD197" s="39" t="n">
        <x:v>0.0451054721</x:v>
      </x:c>
      <x:c r="AE197" s="39" t="n">
        <x:v>-0.1066170156</x:v>
      </x:c>
      <x:c r="AF197" s="39" t="n">
        <x:v>0.046060614</x:v>
      </x:c>
      <x:c r="AG197" s="39" t="n">
        <x:v>-0.0172334267</x:v>
      </x:c>
      <x:c r="AH197" s="39" t="n">
        <x:v>-0.0040444349</x:v>
      </x:c>
      <x:c r="AI197" s="39" t="n">
        <x:v>-0.0987527605</x:v>
      </x:c>
      <x:c r="AJ197" s="39" t="n">
        <x:v>0.0228553477</x:v>
      </x:c>
      <x:c r="AK197" s="39" t="n">
        <x:v>-0.0888587707</x:v>
      </x:c>
      <x:c r="AL197" s="39" t="n">
        <x:v>0.001453515</x:v>
      </x:c>
      <x:c r="AM197" s="39" t="n">
        <x:v>-0.0034076513</x:v>
      </x:c>
      <x:c r="AN197" s="39" t="n">
        <x:v>-0.0654336221</x:v>
      </x:c>
      <x:c r="AO197" s="39" t="n">
        <x:v>-0.0774716912</x:v>
      </x:c>
      <x:c r="AP197" s="39" t="n">
        <x:v>0.0057502288</x:v>
      </x:c>
      <x:c r="AQ197" s="39" t="n">
        <x:v>0.0085487261</x:v>
      </x:c>
      <x:c r="AR197" s="39" t="n">
        <x:v>0.0183802636</x:v>
      </x:c>
      <x:c r="AS197" s="39" t="n">
        <x:v>-0.026549872</x:v>
      </x:c>
    </x:row>
    <x:row r="198" ht="19" customHeight="1">
      <x:c r="A198" s="30" t="str">
        <x:v>Other FX</x:v>
      </x:c>
      <x:c r="B198" s="40" t="d">
        <x:v>2023-01-02T00:00:00.000Z</x:v>
      </x:c>
      <x:c r="C198" s="39" t="n">
        <x:v>-0.0428493621</x:v>
      </x:c>
      <x:c r="D198" s="39" t="n">
        <x:v>0.1403697832</x:v>
      </x:c>
      <x:c r="E198" s="39" t="n">
        <x:v>-0.0182572669</x:v>
      </x:c>
      <x:c r="F198" s="39" t="n">
        <x:v>-0.0699154355</x:v>
      </x:c>
      <x:c r="G198" s="39" t="n">
        <x:v>-0.0040302227</x:v>
      </x:c>
      <x:c r="H198" s="39" t="n">
        <x:v>-0.0835258478</x:v>
      </x:c>
      <x:c r="I198" s="39" t="n">
        <x:v>-0.029341167</x:v>
      </x:c>
      <x:c r="J198" s="39" t="n">
        <x:v>-0.1170613689</x:v>
      </x:c>
      <x:c r="K198" s="39" t="n">
        <x:v>-0.0562294453</x:v>
      </x:c>
      <x:c r="L198" s="39" t="n">
        <x:v>0.0910907245</x:v>
      </x:c>
      <x:c r="M198" s="39" t="n">
        <x:v>-0.1335158522</x:v>
      </x:c>
      <x:c r="N198" s="39" t="n">
        <x:v>-0.0077885278</x:v>
      </x:c>
      <x:c r="O198" s="39" t="n">
        <x:v>-0.1253295854</x:v>
      </x:c>
      <x:c r="P198" s="39" t="n">
        <x:v>-0.0320498019</x:v>
      </x:c>
      <x:c r="Q198" s="39" t="n">
        <x:v>0.0504864828</x:v>
      </x:c>
      <x:c r="R198" s="39" t="n">
        <x:v>-0.1613597291</x:v>
      </x:c>
      <x:c r="S198" s="39" t="n">
        <x:v>-0.0111586093</x:v>
      </x:c>
      <x:c r="T198" s="39" t="n">
        <x:v>-0.1652196355</x:v>
      </x:c>
      <x:c r="U198" s="39" t="n">
        <x:v>-0.0087682151</x:v>
      </x:c>
      <x:c r="V198" s="39" t="n">
        <x:v>0.0115164039</x:v>
      </x:c>
      <x:c r="W198" s="39" t="n">
        <x:v>-0.011981557</x:v>
      </x:c>
      <x:c r="X198" s="39" t="n">
        <x:v>0.0571258604</x:v>
      </x:c>
      <x:c r="Y198" s="39" t="n">
        <x:v>-0.0392891319</x:v>
      </x:c>
      <x:c r="Z198" s="39" t="n">
        <x:v>0.0588137053</x:v>
      </x:c>
      <x:c r="AA198" s="39" t="n">
        <x:v>0.0344805031</x:v>
      </x:c>
      <x:c r="AB198" s="39" t="n">
        <x:v>0.1260349815</x:v>
      </x:c>
      <x:c r="AC198" s="39" t="n">
        <x:v>-0.2271316117</x:v>
      </x:c>
      <x:c r="AD198" s="39" t="n">
        <x:v>0.0057538621</x:v>
      </x:c>
      <x:c r="AE198" s="39" t="n">
        <x:v>-0.0718225474</x:v>
      </x:c>
      <x:c r="AF198" s="39" t="n">
        <x:v>0.0555792507</x:v>
      </x:c>
      <x:c r="AG198" s="39" t="n">
        <x:v>0.1219686091</x:v>
      </x:c>
      <x:c r="AH198" s="39" t="n">
        <x:v>-0.0391018873</x:v>
      </x:c>
      <x:c r="AI198" s="39" t="n">
        <x:v>-0.1106696326</x:v>
      </x:c>
      <x:c r="AJ198" s="39" t="n">
        <x:v>0.0045992838</x:v>
      </x:c>
      <x:c r="AK198" s="39" t="n">
        <x:v>0.0041501348</x:v>
      </x:c>
      <x:c r="AL198" s="39" t="n">
        <x:v>-0.0318224706</x:v>
      </x:c>
      <x:c r="AM198" s="39" t="n">
        <x:v>-0.0744259163</x:v>
      </x:c>
      <x:c r="AN198" s="39" t="n">
        <x:v>-0.0840317718</x:v>
      </x:c>
      <x:c r="AO198" s="39" t="n">
        <x:v>-0.0217961551</x:v>
      </x:c>
      <x:c r="AP198" s="39" t="n">
        <x:v>-0.0205903176</x:v>
      </x:c>
      <x:c r="AQ198" s="39" t="n">
        <x:v>-0.0170916683</x:v>
      </x:c>
      <x:c r="AR198" s="39" t="n">
        <x:v>0.0037994006</x:v>
      </x:c>
      <x:c r="AS198" s="39" t="n">
        <x:v>0.0170089269</x:v>
      </x:c>
    </x:row>
    <x:row r="199" ht="19" customHeight="1">
      <x:c r="A199" s="30" t="str">
        <x:v>Other FX</x:v>
      </x:c>
      <x:c r="B199" s="40" t="d">
        <x:v>2023-01-30T00:00:00.000Z</x:v>
      </x:c>
      <x:c r="C199" s="39" t="n">
        <x:v>0.0141157674</x:v>
      </x:c>
      <x:c r="D199" s="39" t="n">
        <x:v>0.0084717766</x:v>
      </x:c>
      <x:c r="E199" s="39" t="n">
        <x:v>-0.0540900513</x:v>
      </x:c>
      <x:c r="F199" s="39" t="n">
        <x:v>0.0032103041</x:v>
      </x:c>
      <x:c r="G199" s="39" t="n">
        <x:v>0.1381541403</x:v>
      </x:c>
      <x:c r="H199" s="39" t="n">
        <x:v>0.1573497924</x:v>
      </x:c>
      <x:c r="I199" s="39" t="n">
        <x:v>0.1586430268</x:v>
      </x:c>
      <x:c r="J199" s="39" t="n">
        <x:v>0.0036746399</x:v>
      </x:c>
      <x:c r="K199" s="39" t="n">
        <x:v>0.1254013855</x:v>
      </x:c>
      <x:c r="L199" s="39" t="n">
        <x:v>0.0278509021</x:v>
      </x:c>
      <x:c r="M199" s="39" t="n">
        <x:v>0.0154521587</x:v>
      </x:c>
      <x:c r="N199" s="39" t="n">
        <x:v>0.0248697783</x:v>
      </x:c>
      <x:c r="O199" s="39" t="n">
        <x:v>0.0281015117</x:v>
      </x:c>
      <x:c r="P199" s="39" t="n">
        <x:v>0.0743388108</x:v>
      </x:c>
      <x:c r="Q199" s="39" t="n">
        <x:v>-0.0957356763</x:v>
      </x:c>
      <x:c r="R199" s="39" t="n">
        <x:v>0.2101214239</x:v>
      </x:c>
      <x:c r="S199" s="39" t="n">
        <x:v>-0.0049739912</x:v>
      </x:c>
      <x:c r="T199" s="39" t="n">
        <x:v>0.3449577617</x:v>
      </x:c>
      <x:c r="U199" s="39" t="n">
        <x:v>-0.0445857469</x:v>
      </x:c>
      <x:c r="V199" s="39" t="n">
        <x:v>0.1282674433</x:v>
      </x:c>
      <x:c r="W199" s="39" t="n">
        <x:v>0.128176788</x:v>
      </x:c>
      <x:c r="X199" s="39" t="n">
        <x:v>0.0437553238</x:v>
      </x:c>
      <x:c r="Y199" s="39" t="n">
        <x:v>0.0221458905</x:v>
      </x:c>
      <x:c r="Z199" s="39" t="n">
        <x:v>-0.0805036814</x:v>
      </x:c>
      <x:c r="AA199" s="39" t="n">
        <x:v>0.0108659238</x:v>
      </x:c>
      <x:c r="AB199" s="39" t="n">
        <x:v>-0.1160977731</x:v>
      </x:c>
      <x:c r="AC199" s="39" t="n">
        <x:v>0.4534489463</x:v>
      </x:c>
      <x:c r="AD199" s="39" t="n">
        <x:v>-0.0674817474</x:v>
      </x:c>
      <x:c r="AE199" s="39" t="n">
        <x:v>0.0216229456</x:v>
      </x:c>
      <x:c r="AF199" s="39" t="n">
        <x:v>-0.0403979909</x:v>
      </x:c>
      <x:c r="AG199" s="39" t="n">
        <x:v>-0.0427680429</x:v>
      </x:c>
      <x:c r="AH199" s="39" t="n">
        <x:v>-0.0693740729</x:v>
      </x:c>
      <x:c r="AI199" s="39" t="n">
        <x:v>0.2149944571</x:v>
      </x:c>
      <x:c r="AJ199" s="39" t="n">
        <x:v>-0.0588763704</x:v>
      </x:c>
      <x:c r="AK199" s="39" t="n">
        <x:v>0.0432918735</x:v>
      </x:c>
      <x:c r="AL199" s="39" t="n">
        <x:v>-0.0258661707</x:v>
      </x:c>
      <x:c r="AM199" s="39" t="n">
        <x:v>0.1199369739</x:v>
      </x:c>
      <x:c r="AN199" s="39" t="n">
        <x:v>0.1310051461</x:v>
      </x:c>
      <x:c r="AO199" s="39" t="n">
        <x:v>0.0394951116</x:v>
      </x:c>
      <x:c r="AP199" s="39" t="n">
        <x:v>0.0289952979</x:v>
      </x:c>
      <x:c r="AQ199" s="39" t="n">
        <x:v>-0.0659924413</x:v>
      </x:c>
      <x:c r="AR199" s="39" t="n">
        <x:v>-0.0934629789</x:v>
      </x:c>
      <x:c r="AS199" s="39" t="n">
        <x:v>-0.0418045358</x:v>
      </x:c>
    </x:row>
    <x:row r="200" ht="19" customHeight="1">
      <x:c r="A200" s="30" t="str">
        <x:v>Other FX</x:v>
      </x:c>
      <x:c r="B200" s="40" t="d">
        <x:v>2023-02-27T00:00:00.000Z</x:v>
      </x:c>
      <x:c r="C200" s="39" t="n">
        <x:v>-0.0583104627</x:v>
      </x:c>
      <x:c r="D200" s="39" t="n">
        <x:v>0.1518803734</x:v>
      </x:c>
      <x:c r="E200" s="39" t="n">
        <x:v>-0.012657342</x:v>
      </x:c>
      <x:c r="F200" s="39" t="n">
        <x:v>-0.0158591796</x:v>
      </x:c>
      <x:c r="G200" s="39" t="n">
        <x:v>-0.0595585562</x:v>
      </x:c>
      <x:c r="H200" s="39" t="n">
        <x:v>-0.0798486771</x:v>
      </x:c>
      <x:c r="I200" s="39" t="n">
        <x:v>-0.0752397232</x:v>
      </x:c>
      <x:c r="J200" s="39" t="n">
        <x:v>0.1657807736</x:v>
      </x:c>
      <x:c r="K200" s="39" t="n">
        <x:v>-0.0737645298</x:v>
      </x:c>
      <x:c r="L200" s="39" t="n">
        <x:v>0.0671614159</x:v>
      </x:c>
      <x:c r="M200" s="39" t="n">
        <x:v>0.0064007732</x:v>
      </x:c>
      <x:c r="N200" s="39" t="n">
        <x:v>0.0259038466</x:v>
      </x:c>
      <x:c r="O200" s="39" t="n">
        <x:v>0.0300583655</x:v>
      </x:c>
      <x:c r="P200" s="39" t="n">
        <x:v>-0.1086910478</x:v>
      </x:c>
      <x:c r="Q200" s="39" t="n">
        <x:v>-0.0155605624</x:v>
      </x:c>
      <x:c r="R200" s="39" t="n">
        <x:v>0.1133151227</x:v>
      </x:c>
      <x:c r="S200" s="39" t="n">
        <x:v>0.0476972349</x:v>
      </x:c>
      <x:c r="T200" s="39" t="n">
        <x:v>0.0312059947</x:v>
      </x:c>
      <x:c r="U200" s="39" t="n">
        <x:v>-0.1091689955</x:v>
      </x:c>
      <x:c r="V200" s="39" t="n">
        <x:v>0.0954586485</x:v>
      </x:c>
      <x:c r="W200" s="39" t="n">
        <x:v>-0.1310269881</x:v>
      </x:c>
      <x:c r="X200" s="39" t="n">
        <x:v>-0.0293887154</x:v>
      </x:c>
      <x:c r="Y200" s="39" t="n">
        <x:v>-0.0895299795</x:v>
      </x:c>
      <x:c r="Z200" s="39" t="n">
        <x:v>-0.040398442</x:v>
      </x:c>
      <x:c r="AA200" s="39" t="n">
        <x:v>0.0578945909</x:v>
      </x:c>
      <x:c r="AB200" s="39" t="n">
        <x:v>-0.0280056765</x:v>
      </x:c>
      <x:c r="AC200" s="39" t="n">
        <x:v>-0.1410736351</x:v>
      </x:c>
      <x:c r="AD200" s="39" t="n">
        <x:v>0.0045333724</x:v>
      </x:c>
      <x:c r="AE200" s="39" t="n">
        <x:v>0.0730924502</x:v>
      </x:c>
      <x:c r="AF200" s="39" t="n">
        <x:v>-0.0583578078</x:v>
      </x:c>
      <x:c r="AG200" s="39" t="n">
        <x:v>0.0754534445</x:v>
      </x:c>
      <x:c r="AH200" s="39" t="n">
        <x:v>0.0369650813</x:v>
      </x:c>
      <x:c r="AI200" s="39" t="n">
        <x:v>-0.0454618117</x:v>
      </x:c>
      <x:c r="AJ200" s="39" t="n">
        <x:v>-0.0523376592</x:v>
      </x:c>
      <x:c r="AK200" s="39" t="n">
        <x:v>0.0043350327</x:v>
      </x:c>
      <x:c r="AL200" s="39" t="n">
        <x:v>-0.0068478551</x:v>
      </x:c>
      <x:c r="AM200" s="39" t="n">
        <x:v>-0.0082659385</x:v>
      </x:c>
      <x:c r="AN200" s="39" t="n">
        <x:v>-0.0977549684</x:v>
      </x:c>
      <x:c r="AO200" s="39" t="n">
        <x:v>-0.0667432777</x:v>
      </x:c>
      <x:c r="AP200" s="39" t="n">
        <x:v>-0.0779288929</x:v>
      </x:c>
      <x:c r="AQ200" s="39" t="n">
        <x:v>0.0029307642</x:v>
      </x:c>
      <x:c r="AR200" s="39" t="n">
        <x:v>-0.0518574524</x:v>
      </x:c>
      <x:c r="AS200" s="39" t="n">
        <x:v>0.0122598049</x:v>
      </x:c>
    </x:row>
    <x:row r="201" ht="19" customHeight="1">
      <x:c r="A201" s="30" t="str">
        <x:v>Other FX</x:v>
      </x:c>
      <x:c r="B201" s="40" t="d">
        <x:v>2023-03-27T00:00:00.000Z</x:v>
      </x:c>
      <x:c r="C201" s="39" t="n">
        <x:v>0.1087523028</x:v>
      </x:c>
      <x:c r="D201" s="39" t="n">
        <x:v>-0.0128625951</x:v>
      </x:c>
      <x:c r="E201" s="39" t="n">
        <x:v>0.016050193</x:v>
      </x:c>
      <x:c r="F201" s="39" t="n">
        <x:v>0.0223480891</x:v>
      </x:c>
      <x:c r="G201" s="39" t="n">
        <x:v>-0.0014147007</x:v>
      </x:c>
      <x:c r="H201" s="39" t="n">
        <x:v>0.1169328166</x:v>
      </x:c>
      <x:c r="I201" s="39" t="n">
        <x:v>0.0754462628</x:v>
      </x:c>
      <x:c r="J201" s="39" t="n">
        <x:v>-0.0691407658</x:v>
      </x:c>
      <x:c r="K201" s="39" t="n">
        <x:v>-0.0532455383</x:v>
      </x:c>
      <x:c r="L201" s="39" t="n">
        <x:v>-0.0099596727</x:v>
      </x:c>
      <x:c r="M201" s="39" t="n">
        <x:v>-0.153852395</x:v>
      </x:c>
      <x:c r="N201" s="39" t="n">
        <x:v>-0.089719168</x:v>
      </x:c>
      <x:c r="O201" s="39" t="n">
        <x:v>-0.0309274481</x:v>
      </x:c>
      <x:c r="P201" s="39" t="n">
        <x:v>-0.0547313857</x:v>
      </x:c>
      <x:c r="Q201" s="39" t="n">
        <x:v>-0.0786642565</x:v>
      </x:c>
      <x:c r="R201" s="39" t="n">
        <x:v>0.0934014754</x:v>
      </x:c>
      <x:c r="S201" s="39" t="n">
        <x:v>0.0312110228</x:v>
      </x:c>
      <x:c r="T201" s="39" t="n">
        <x:v>0.0011561801</x:v>
      </x:c>
      <x:c r="U201" s="39" t="n">
        <x:v>0.0857112247</x:v>
      </x:c>
      <x:c r="V201" s="39" t="n">
        <x:v>0.0155824073</x:v>
      </x:c>
      <x:c r="W201" s="39" t="n">
        <x:v>0.0817461688</x:v>
      </x:c>
      <x:c r="X201" s="39" t="n">
        <x:v>0.0309509944</x:v>
      </x:c>
      <x:c r="Y201" s="39" t="n">
        <x:v>0.0203751909</x:v>
      </x:c>
      <x:c r="Z201" s="39" t="n">
        <x:v>0.1010137259</x:v>
      </x:c>
      <x:c r="AA201" s="39" t="n">
        <x:v>-0.0156731066</x:v>
      </x:c>
      <x:c r="AB201" s="39" t="n">
        <x:v>-0.0730031815</x:v>
      </x:c>
      <x:c r="AC201" s="39" t="n">
        <x:v>-0.150711214</x:v>
      </x:c>
      <x:c r="AD201" s="39" t="n">
        <x:v>0.0513647955</x:v>
      </x:c>
      <x:c r="AE201" s="39" t="n">
        <x:v>-0.0301549706</x:v>
      </x:c>
      <x:c r="AF201" s="39" t="n">
        <x:v>0.0448168153</x:v>
      </x:c>
      <x:c r="AG201" s="39" t="n">
        <x:v>0.0000724955</x:v>
      </x:c>
      <x:c r="AH201" s="39" t="n">
        <x:v>-0.0448668213</x:v>
      </x:c>
      <x:c r="AI201" s="39" t="n">
        <x:v>0.1436471862</x:v>
      </x:c>
      <x:c r="AJ201" s="39" t="n">
        <x:v>0.0672839894</x:v>
      </x:c>
      <x:c r="AK201" s="39" t="n">
        <x:v>-0.056975792</x:v>
      </x:c>
      <x:c r="AL201" s="39" t="n">
        <x:v>-0.0080950907</x:v>
      </x:c>
      <x:c r="AM201" s="39" t="n">
        <x:v>0.1082944253</x:v>
      </x:c>
      <x:c r="AN201" s="39" t="n">
        <x:v>0.0778519245</x:v>
      </x:c>
      <x:c r="AO201" s="39" t="n">
        <x:v>0.032358767</x:v>
      </x:c>
      <x:c r="AP201" s="39" t="n">
        <x:v>-0.0008123361</x:v>
      </x:c>
      <x:c r="AQ201" s="39" t="n">
        <x:v>0.0409459191</x:v>
      </x:c>
      <x:c r="AR201" s="39" t="n">
        <x:v>-0.0018382213</x:v>
      </x:c>
      <x:c r="AS201" s="39" t="n">
        <x:v>-0.0170062748</x:v>
      </x:c>
    </x:row>
    <x:row r="202" ht="19" customHeight="1">
      <x:c r="A202" s="30" t="str">
        <x:v>Other FX</x:v>
      </x:c>
      <x:c r="B202" s="40" t="d">
        <x:v>2023-04-24T00:00:00.000Z</x:v>
      </x:c>
      <x:c r="C202" s="39" t="n">
        <x:v>-0.0052842367</x:v>
      </x:c>
      <x:c r="D202" s="39" t="n">
        <x:v>0.0145980565</x:v>
      </x:c>
      <x:c r="E202" s="39" t="n">
        <x:v>0.0169998233</x:v>
      </x:c>
      <x:c r="F202" s="39" t="n">
        <x:v>-0.0013425586</x:v>
      </x:c>
      <x:c r="G202" s="39" t="n">
        <x:v>0.034838276</x:v>
      </x:c>
      <x:c r="H202" s="39" t="n">
        <x:v>0.1862819627</x:v>
      </x:c>
      <x:c r="I202" s="39" t="n">
        <x:v>0.0186932054</x:v>
      </x:c>
      <x:c r="J202" s="39" t="n">
        <x:v>-0.0078938337</x:v>
      </x:c>
      <x:c r="K202" s="39" t="n">
        <x:v>-0.1417051098</x:v>
      </x:c>
      <x:c r="L202" s="39" t="n">
        <x:v>-0.1776828697</x:v>
      </x:c>
      <x:c r="M202" s="39" t="n">
        <x:v>-0.0114102575</x:v>
      </x:c>
      <x:c r="N202" s="39" t="n">
        <x:v>-0.0713359815</x:v>
      </x:c>
      <x:c r="O202" s="39" t="n">
        <x:v>-0.1884173028</x:v>
      </x:c>
      <x:c r="P202" s="39" t="n">
        <x:v>-0.101817469</x:v>
      </x:c>
      <x:c r="Q202" s="39" t="n">
        <x:v>-0.4070536583</x:v>
      </x:c>
      <x:c r="R202" s="39" t="n">
        <x:v>-0.1956855225</x:v>
      </x:c>
      <x:c r="S202" s="39" t="n">
        <x:v>-0.0266953001</x:v>
      </x:c>
      <x:c r="T202" s="39" t="n">
        <x:v>-0.2442514494</x:v>
      </x:c>
      <x:c r="U202" s="39" t="n">
        <x:v>-0.0898570455</x:v>
      </x:c>
      <x:c r="V202" s="39" t="n">
        <x:v>-0.0586644529</x:v>
      </x:c>
      <x:c r="W202" s="39" t="n">
        <x:v>-0.0415968782</x:v>
      </x:c>
      <x:c r="X202" s="39" t="n">
        <x:v>0.1097536861</x:v>
      </x:c>
      <x:c r="Y202" s="39" t="n">
        <x:v>0.0400028835</x:v>
      </x:c>
      <x:c r="Z202" s="39" t="n">
        <x:v>0.0026580717</x:v>
      </x:c>
      <x:c r="AA202" s="39" t="n">
        <x:v>-0.0424322779</x:v>
      </x:c>
      <x:c r="AB202" s="39" t="n">
        <x:v>0.0045274206</x:v>
      </x:c>
      <x:c r="AC202" s="39" t="n">
        <x:v>-0.1208512024</x:v>
      </x:c>
      <x:c r="AD202" s="39" t="n">
        <x:v>0.0604969427</x:v>
      </x:c>
      <x:c r="AE202" s="39" t="n">
        <x:v>-0.0255832707</x:v>
      </x:c>
      <x:c r="AF202" s="39" t="n">
        <x:v>-0.0962348236</x:v>
      </x:c>
      <x:c r="AG202" s="39" t="n">
        <x:v>0.0000887293</x:v>
      </x:c>
      <x:c r="AH202" s="39" t="n">
        <x:v>-0.0091109763</x:v>
      </x:c>
      <x:c r="AI202" s="39" t="n">
        <x:v>-0.0922827677</x:v>
      </x:c>
      <x:c r="AJ202" s="39" t="n">
        <x:v>0.1283523997</x:v>
      </x:c>
      <x:c r="AK202" s="39" t="n">
        <x:v>0.0852397831</x:v>
      </x:c>
      <x:c r="AL202" s="39" t="n">
        <x:v>-0.1617721951</x:v>
      </x:c>
      <x:c r="AM202" s="39" t="n">
        <x:v>0.0575281862</x:v>
      </x:c>
      <x:c r="AN202" s="39" t="n">
        <x:v>0.0247690926</x:v>
      </x:c>
      <x:c r="AO202" s="39" t="n">
        <x:v>0.0095929909</x:v>
      </x:c>
      <x:c r="AP202" s="39" t="n">
        <x:v>0.0249921481</x:v>
      </x:c>
      <x:c r="AQ202" s="39" t="n">
        <x:v>0.0328019254</x:v>
      </x:c>
      <x:c r="AR202" s="39" t="n">
        <x:v>0.0457219335</x:v>
      </x:c>
      <x:c r="AS202" s="39" t="n">
        <x:v>0.0534334677</x:v>
      </x:c>
    </x:row>
    <x:row r="203" ht="19" customHeight="1">
      <x:c r="A203" s="30" t="str">
        <x:v>Other FX</x:v>
      </x:c>
      <x:c r="B203" s="40" t="d">
        <x:v>2023-05-22T00:00:00.000Z</x:v>
      </x:c>
      <x:c r="C203" s="39" t="n">
        <x:v>0.0223760295</x:v>
      </x:c>
      <x:c r="D203" s="39" t="n">
        <x:v>-0.0255604221</x:v>
      </x:c>
      <x:c r="E203" s="39" t="n">
        <x:v>-0.0930011107</x:v>
      </x:c>
      <x:c r="F203" s="39" t="n">
        <x:v>-0.0874661677</x:v>
      </x:c>
      <x:c r="G203" s="39" t="n">
        <x:v>-0.1201696782</x:v>
      </x:c>
      <x:c r="H203" s="39" t="n">
        <x:v>0.0184677205</x:v>
      </x:c>
      <x:c r="I203" s="39" t="n">
        <x:v>0.1192418532</x:v>
      </x:c>
      <x:c r="J203" s="39" t="n">
        <x:v>-0.0204591792</x:v>
      </x:c>
      <x:c r="K203" s="39" t="n">
        <x:v>0.0450525023</x:v>
      </x:c>
      <x:c r="L203" s="39" t="n">
        <x:v>0.001620375</x:v>
      </x:c>
      <x:c r="M203" s="39" t="n">
        <x:v>-0.113673868</x:v>
      </x:c>
      <x:c r="N203" s="39" t="n">
        <x:v>-0.2014922563</x:v>
      </x:c>
      <x:c r="O203" s="39" t="n">
        <x:v>0.0117514935</x:v>
      </x:c>
      <x:c r="P203" s="39" t="n">
        <x:v>0.1152471663</x:v>
      </x:c>
      <x:c r="Q203" s="39" t="n">
        <x:v>0.2362699922</x:v>
      </x:c>
      <x:c r="R203" s="39" t="n">
        <x:v>0.1211574848</x:v>
      </x:c>
      <x:c r="S203" s="39" t="n">
        <x:v>-0.0431240471</x:v>
      </x:c>
      <x:c r="T203" s="39" t="n">
        <x:v>0.2399614823</x:v>
      </x:c>
      <x:c r="U203" s="39" t="n">
        <x:v>0.0017875137</x:v>
      </x:c>
      <x:c r="V203" s="39" t="n">
        <x:v>-0.0712126287</x:v>
      </x:c>
      <x:c r="W203" s="39" t="n">
        <x:v>0.1267239856</x:v>
      </x:c>
      <x:c r="X203" s="39" t="n">
        <x:v>-0.0147200062</x:v>
      </x:c>
      <x:c r="Y203" s="39" t="n">
        <x:v>0.1131772446</x:v>
      </x:c>
      <x:c r="Z203" s="39" t="n">
        <x:v>-0.0967160562</x:v>
      </x:c>
      <x:c r="AA203" s="39" t="n">
        <x:v>-0.0547247196</x:v>
      </x:c>
      <x:c r="AB203" s="39" t="n">
        <x:v>0.0359276661</x:v>
      </x:c>
      <x:c r="AC203" s="39" t="n">
        <x:v>0.5329273462</x:v>
      </x:c>
      <x:c r="AD203" s="39" t="n">
        <x:v>-0.0548327298</x:v>
      </x:c>
      <x:c r="AE203" s="39" t="n">
        <x:v>0.0384409118</x:v>
      </x:c>
      <x:c r="AF203" s="39" t="n">
        <x:v>0.0630296166</x:v>
      </x:c>
      <x:c r="AG203" s="39" t="n">
        <x:v>0.0164084996</x:v>
      </x:c>
      <x:c r="AH203" s="39" t="n">
        <x:v>0.0237439128</x:v>
      </x:c>
      <x:c r="AI203" s="39" t="n">
        <x:v>0.3184341531</x:v>
      </x:c>
      <x:c r="AJ203" s="39" t="n">
        <x:v>0.0691459222</x:v>
      </x:c>
      <x:c r="AK203" s="39" t="n">
        <x:v>-0.0623321049</x:v>
      </x:c>
      <x:c r="AL203" s="39" t="n">
        <x:v>-0.0433117562</x:v>
      </x:c>
      <x:c r="AM203" s="39" t="n">
        <x:v>0.0753916827</x:v>
      </x:c>
      <x:c r="AN203" s="39" t="n">
        <x:v>0.1337582155</x:v>
      </x:c>
      <x:c r="AO203" s="39" t="n">
        <x:v>0.0098087258</x:v>
      </x:c>
      <x:c r="AP203" s="39" t="n">
        <x:v>-0.0126006065</x:v>
      </x:c>
      <x:c r="AQ203" s="39" t="n">
        <x:v>-0.0519793517</x:v>
      </x:c>
      <x:c r="AR203" s="39" t="n">
        <x:v>-0.048816281</x:v>
      </x:c>
      <x:c r="AS203" s="39" t="n">
        <x:v>-0.023347755</x:v>
      </x:c>
    </x:row>
    <x:row r="204" ht="19" customHeight="1">
      <x:c r="A204" s="30" t="str">
        <x:v>Other FX</x:v>
      </x:c>
      <x:c r="B204" s="40" t="d">
        <x:v>2023-06-19T00:00:00.000Z</x:v>
      </x:c>
      <x:c r="C204" s="39" t="n">
        <x:v>0.0319696127</x:v>
      </x:c>
      <x:c r="D204" s="39" t="n">
        <x:v>0.0515167641</x:v>
      </x:c>
      <x:c r="E204" s="39" t="n">
        <x:v>-0.0171271047</x:v>
      </x:c>
      <x:c r="F204" s="39" t="n">
        <x:v>0.0031616787</x:v>
      </x:c>
      <x:c r="G204" s="39" t="n">
        <x:v>-0.0253989586</x:v>
      </x:c>
      <x:c r="H204" s="39" t="n">
        <x:v>-0.0392977566</x:v>
      </x:c>
      <x:c r="I204" s="39" t="n">
        <x:v>0.0687115817</x:v>
      </x:c>
      <x:c r="J204" s="39" t="n">
        <x:v>-0.0276605059</x:v>
      </x:c>
      <x:c r="K204" s="39" t="n">
        <x:v>-0.0643669712</x:v>
      </x:c>
      <x:c r="L204" s="39" t="n">
        <x:v>-0.0208004034</x:v>
      </x:c>
      <x:c r="M204" s="39" t="n">
        <x:v>0.107502062</x:v>
      </x:c>
      <x:c r="N204" s="39" t="n">
        <x:v>-0.0194500069</x:v>
      </x:c>
      <x:c r="O204" s="39" t="n">
        <x:v>0.0121259368</x:v>
      </x:c>
      <x:c r="P204" s="39" t="n">
        <x:v>-0.1395260285</x:v>
      </x:c>
      <x:c r="Q204" s="39" t="n">
        <x:v>-0.0381778168</x:v>
      </x:c>
      <x:c r="R204" s="39" t="n">
        <x:v>0.0652666924</x:v>
      </x:c>
      <x:c r="S204" s="39" t="n">
        <x:v>0.0055120054</x:v>
      </x:c>
      <x:c r="T204" s="39" t="n">
        <x:v>0.0338686181</x:v>
      </x:c>
      <x:c r="U204" s="39" t="n">
        <x:v>-0.1226185397</x:v>
      </x:c>
      <x:c r="V204" s="39" t="n">
        <x:v>-0.0302233673</x:v>
      </x:c>
      <x:c r="W204" s="39" t="n">
        <x:v>0.1045744182</x:v>
      </x:c>
      <x:c r="X204" s="39" t="n">
        <x:v>-0.0164971259</x:v>
      </x:c>
      <x:c r="Y204" s="39" t="n">
        <x:v>-0.2179023535</x:v>
      </x:c>
      <x:c r="Z204" s="39" t="n">
        <x:v>-0.0728680337</x:v>
      </x:c>
      <x:c r="AA204" s="39" t="n">
        <x:v>0.0304420647</x:v>
      </x:c>
      <x:c r="AB204" s="39" t="n">
        <x:v>-0.0180402361</x:v>
      </x:c>
      <x:c r="AC204" s="39" t="n">
        <x:v>0.1779375037</x:v>
      </x:c>
      <x:c r="AD204" s="39" t="n">
        <x:v>-0.0046802099</x:v>
      </x:c>
      <x:c r="AE204" s="39" t="n">
        <x:v>0.0747000287</x:v>
      </x:c>
      <x:c r="AF204" s="39" t="n">
        <x:v>0.0755739609</x:v>
      </x:c>
      <x:c r="AG204" s="39" t="n">
        <x:v>-0.046660302</x:v>
      </x:c>
      <x:c r="AH204" s="39" t="n">
        <x:v>0.0159304172</x:v>
      </x:c>
      <x:c r="AI204" s="39" t="n">
        <x:v>-0.211471906</x:v>
      </x:c>
      <x:c r="AJ204" s="39" t="n">
        <x:v>0.0694510003</x:v>
      </x:c>
      <x:c r="AK204" s="39" t="n">
        <x:v>-0.0197813073</x:v>
      </x:c>
      <x:c r="AL204" s="39" t="n">
        <x:v>-0.0334874876</x:v>
      </x:c>
      <x:c r="AM204" s="39" t="n">
        <x:v>0.0059252728</x:v>
      </x:c>
      <x:c r="AN204" s="39" t="n">
        <x:v>-0.0655536986</x:v>
      </x:c>
      <x:c r="AO204" s="39" t="n">
        <x:v>-0.0031149072</x:v>
      </x:c>
      <x:c r="AP204" s="39" t="n">
        <x:v>0.0054019557</x:v>
      </x:c>
      <x:c r="AQ204" s="39" t="n">
        <x:v>-0.0138621352</x:v>
      </x:c>
      <x:c r="AR204" s="39" t="n">
        <x:v>0.037784482</x:v>
      </x:c>
      <x:c r="AS204" s="39" t="n">
        <x:v>0.0160321635</x:v>
      </x:c>
    </x:row>
    <x:row r="205" ht="19" customHeight="1">
      <x:c r="A205" s="30" t="str">
        <x:v>Other FX</x:v>
      </x:c>
      <x:c r="B205" s="40" t="d">
        <x:v>2023-07-17T00:00:00.000Z</x:v>
      </x:c>
      <x:c r="C205" s="39" t="n">
        <x:v>0.1150583633</x:v>
      </x:c>
      <x:c r="D205" s="39" t="n">
        <x:v>0.0722755637</x:v>
      </x:c>
      <x:c r="E205" s="39" t="n">
        <x:v>0.0338943619</x:v>
      </x:c>
      <x:c r="F205" s="39" t="n">
        <x:v>0.0643024879</x:v>
      </x:c>
      <x:c r="G205" s="39" t="n">
        <x:v>-0.015686892</x:v>
      </x:c>
      <x:c r="H205" s="39" t="n">
        <x:v>0.0175125779</x:v>
      </x:c>
      <x:c r="I205" s="39" t="n">
        <x:v>0.0048686894</x:v>
      </x:c>
      <x:c r="J205" s="39" t="n">
        <x:v>-0.0373326532</x:v>
      </x:c>
      <x:c r="K205" s="39" t="n">
        <x:v>-0.1145762127</x:v>
      </x:c>
      <x:c r="L205" s="39" t="n">
        <x:v>0.0941049488</x:v>
      </x:c>
      <x:c r="M205" s="39" t="n">
        <x:v>0.1069352034</x:v>
      </x:c>
      <x:c r="N205" s="39" t="n">
        <x:v>0.0765672529</x:v>
      </x:c>
      <x:c r="O205" s="39" t="n">
        <x:v>0.0073303656</x:v>
      </x:c>
      <x:c r="P205" s="39" t="n">
        <x:v>-0.0490446929</x:v>
      </x:c>
      <x:c r="Q205" s="39" t="n">
        <x:v>-0.0143405946</x:v>
      </x:c>
      <x:c r="R205" s="39" t="n">
        <x:v>0.2196732056</x:v>
      </x:c>
      <x:c r="S205" s="39" t="n">
        <x:v>0.0252798726</x:v>
      </x:c>
      <x:c r="T205" s="39" t="n">
        <x:v>0.0458233006</x:v>
      </x:c>
      <x:c r="U205" s="39" t="n">
        <x:v>0.046851538</x:v>
      </x:c>
      <x:c r="V205" s="39" t="n">
        <x:v>-0.0447344453</x:v>
      </x:c>
      <x:c r="W205" s="39" t="n">
        <x:v>0.0077015214</x:v>
      </x:c>
      <x:c r="X205" s="39" t="n">
        <x:v>0.0654124326</x:v>
      </x:c>
      <x:c r="Y205" s="39" t="n">
        <x:v>-0.0561979371</x:v>
      </x:c>
      <x:c r="Z205" s="39" t="n">
        <x:v>-0.0019565396</x:v>
      </x:c>
      <x:c r="AA205" s="39" t="n">
        <x:v>-0.0607133112</x:v>
      </x:c>
      <x:c r="AB205" s="39" t="n">
        <x:v>0</x:v>
      </x:c>
      <x:c r="AC205" s="39" t="n">
        <x:v>0.5530346283</x:v>
      </x:c>
      <x:c r="AD205" s="39" t="n">
        <x:v>0.0256570707</x:v>
      </x:c>
      <x:c r="AE205" s="39" t="n">
        <x:v>-0.0313728364</x:v>
      </x:c>
      <x:c r="AF205" s="39" t="n">
        <x:v>0.0412886165</x:v>
      </x:c>
      <x:c r="AG205" s="39" t="n">
        <x:v>0.0116801276</x:v>
      </x:c>
      <x:c r="AH205" s="39" t="n">
        <x:v>0.0400865534</x:v>
      </x:c>
      <x:c r="AI205" s="39" t="n">
        <x:v>-0.0371279751</x:v>
      </x:c>
      <x:c r="AJ205" s="39" t="n">
        <x:v>0.006548604</x:v>
      </x:c>
      <x:c r="AK205" s="39" t="n">
        <x:v>0.041066973</x:v>
      </x:c>
      <x:c r="AL205" s="39" t="n">
        <x:v>-0.0336937592</x:v>
      </x:c>
      <x:c r="AM205" s="39" t="n">
        <x:v>0.0242934678</x:v>
      </x:c>
      <x:c r="AN205" s="39" t="n">
        <x:v>-0.0464270379</x:v>
      </x:c>
      <x:c r="AO205" s="39" t="n">
        <x:v>0.0394155231</x:v>
      </x:c>
      <x:c r="AP205" s="39" t="n">
        <x:v>0.0499174942</x:v>
      </x:c>
      <x:c r="AQ205" s="39" t="n">
        <x:v>0.001510916</x:v>
      </x:c>
      <x:c r="AR205" s="39" t="n">
        <x:v>0.0105939887</x:v>
      </x:c>
      <x:c r="AS205" s="39" t="n">
        <x:v>0.014435532</x:v>
      </x:c>
    </x:row>
    <x:row r="206" ht="19" customHeight="1">
      <x:c r="A206" s="30" t="str">
        <x:v>Other FX</x:v>
      </x:c>
      <x:c r="B206" s="40" t="d">
        <x:v>2023-08-14T00:00:00.000Z</x:v>
      </x:c>
      <x:c r="C206" s="39" t="n">
        <x:v>0.0492525035</x:v>
      </x:c>
      <x:c r="D206" s="39" t="n">
        <x:v>-0.076963534</x:v>
      </x:c>
      <x:c r="E206" s="39" t="n">
        <x:v>-0.0602932596</x:v>
      </x:c>
      <x:c r="F206" s="39" t="n">
        <x:v>-0.069977315</x:v>
      </x:c>
      <x:c r="G206" s="39" t="n">
        <x:v>0.0319702725</x:v>
      </x:c>
      <x:c r="H206" s="39" t="n">
        <x:v>-0.0722799019</x:v>
      </x:c>
      <x:c r="I206" s="39" t="n">
        <x:v>0.0233814883</x:v>
      </x:c>
      <x:c r="J206" s="39" t="n">
        <x:v>0.0910580303</x:v>
      </x:c>
      <x:c r="K206" s="39" t="n">
        <x:v>0.1036808547</x:v>
      </x:c>
      <x:c r="L206" s="39" t="n">
        <x:v>0.0865309999</x:v>
      </x:c>
      <x:c r="M206" s="39" t="n">
        <x:v>0.0049175995</x:v>
      </x:c>
      <x:c r="N206" s="39" t="n">
        <x:v>0.0159346091</x:v>
      </x:c>
      <x:c r="O206" s="39" t="n">
        <x:v>0.0158083579</x:v>
      </x:c>
      <x:c r="P206" s="39" t="n">
        <x:v>0.0780013219</x:v>
      </x:c>
      <x:c r="Q206" s="39" t="n">
        <x:v>0.0197063238</x:v>
      </x:c>
      <x:c r="R206" s="39" t="n">
        <x:v>-0.3812178285</x:v>
      </x:c>
      <x:c r="S206" s="39" t="n">
        <x:v>0.0942159159</x:v>
      </x:c>
      <x:c r="T206" s="39" t="n">
        <x:v>-0.1156826737</x:v>
      </x:c>
      <x:c r="U206" s="39" t="n">
        <x:v>-0.0784096494</x:v>
      </x:c>
      <x:c r="V206" s="39" t="n">
        <x:v>0.1013742428</x:v>
      </x:c>
      <x:c r="W206" s="39" t="n">
        <x:v>-0.0527771445</x:v>
      </x:c>
      <x:c r="X206" s="39" t="n">
        <x:v>0.1326097743</x:v>
      </x:c>
      <x:c r="Y206" s="39" t="n">
        <x:v>0.0197657576</x:v>
      </x:c>
      <x:c r="Z206" s="39" t="n">
        <x:v>0.0310695213</x:v>
      </x:c>
      <x:c r="AA206" s="39" t="n">
        <x:v>0.0706156664</x:v>
      </x:c>
      <x:c r="AB206" s="39" t="n">
        <x:v>0.013950834</x:v>
      </x:c>
      <x:c r="AC206" s="39" t="n">
        <x:v>-0.5003439773</x:v>
      </x:c>
      <x:c r="AD206" s="39" t="n">
        <x:v>0.0353861788</x:v>
      </x:c>
      <x:c r="AE206" s="39" t="n">
        <x:v>-0.0512479798</x:v>
      </x:c>
      <x:c r="AF206" s="39" t="n">
        <x:v>-0.01450464</x:v>
      </x:c>
      <x:c r="AG206" s="39" t="n">
        <x:v>0.1569015313</x:v>
      </x:c>
      <x:c r="AH206" s="39" t="n">
        <x:v>0.021569217</x:v>
      </x:c>
      <x:c r="AI206" s="39" t="n">
        <x:v>0.0013962094</x:v>
      </x:c>
      <x:c r="AJ206" s="39" t="n">
        <x:v>0.1623552937</x:v>
      </x:c>
      <x:c r="AK206" s="39" t="n">
        <x:v>0.0307222422</x:v>
      </x:c>
      <x:c r="AL206" s="39" t="n">
        <x:v>-0.0335933082</x:v>
      </x:c>
      <x:c r="AM206" s="39" t="n">
        <x:v>-0.0770204501</x:v>
      </x:c>
      <x:c r="AN206" s="39" t="n">
        <x:v>0.0875521167</x:v>
      </x:c>
      <x:c r="AO206" s="39" t="n">
        <x:v>0.0032490648</x:v>
      </x:c>
      <x:c r="AP206" s="39" t="n">
        <x:v>0.0586649642</x:v>
      </x:c>
      <x:c r="AQ206" s="39" t="n">
        <x:v>0.0116388666</x:v>
      </x:c>
      <x:c r="AR206" s="39" t="n">
        <x:v>0.0291481454</x:v>
      </x:c>
      <x:c r="AS206" s="39" t="n">
        <x:v>0.0354841246</x:v>
      </x:c>
    </x:row>
    <x:row r="207" ht="19" customHeight="1">
      <x:c r="A207" s="30" t="str">
        <x:v>Other FX</x:v>
      </x:c>
      <x:c r="B207" s="40" t="d">
        <x:v>2023-09-11T00:00:00.000Z</x:v>
      </x:c>
      <x:c r="C207" s="39" t="n">
        <x:v>0.0942598953</x:v>
      </x:c>
      <x:c r="D207" s="39" t="n">
        <x:v>0.043343493</x:v>
      </x:c>
      <x:c r="E207" s="39" t="n">
        <x:v>0.0002569041</x:v>
      </x:c>
      <x:c r="F207" s="39" t="n">
        <x:v>0.0281812804</x:v>
      </x:c>
      <x:c r="G207" s="39" t="n">
        <x:v>-0.0070792958</x:v>
      </x:c>
      <x:c r="H207" s="39" t="n">
        <x:v>0.0283359296</x:v>
      </x:c>
      <x:c r="I207" s="39" t="n">
        <x:v>0.0508069286</x:v>
      </x:c>
      <x:c r="J207" s="39" t="n">
        <x:v>0.0015262149</x:v>
      </x:c>
      <x:c r="K207" s="39" t="n">
        <x:v>-0.0437355093</x:v>
      </x:c>
      <x:c r="L207" s="39" t="n">
        <x:v>0.0706419067</x:v>
      </x:c>
      <x:c r="M207" s="39" t="n">
        <x:v>0.0366908026</x:v>
      </x:c>
      <x:c r="N207" s="39" t="n">
        <x:v>0.0423310886</x:v>
      </x:c>
      <x:c r="O207" s="39" t="n">
        <x:v>-0.0698079995</x:v>
      </x:c>
      <x:c r="P207" s="39" t="n">
        <x:v>0.0359422674</x:v>
      </x:c>
      <x:c r="Q207" s="39" t="n">
        <x:v>0.1277512468</x:v>
      </x:c>
      <x:c r="R207" s="39" t="n">
        <x:v>-0.2875449088</x:v>
      </x:c>
      <x:c r="S207" s="39" t="n">
        <x:v>0.0087320731</x:v>
      </x:c>
      <x:c r="T207" s="39" t="n">
        <x:v>0.0602052573</x:v>
      </x:c>
      <x:c r="U207" s="39" t="n">
        <x:v>0.1107274018</x:v>
      </x:c>
      <x:c r="V207" s="39" t="n">
        <x:v>0.029150962</x:v>
      </x:c>
      <x:c r="W207" s="39" t="n">
        <x:v>-0.018357066</x:v>
      </x:c>
      <x:c r="X207" s="39" t="n">
        <x:v>-0.0092989586</x:v>
      </x:c>
      <x:c r="Y207" s="39" t="n">
        <x:v>0.0347919456</x:v>
      </x:c>
      <x:c r="Z207" s="39" t="n">
        <x:v>0.0354214632</x:v>
      </x:c>
      <x:c r="AA207" s="39" t="n">
        <x:v>0.034197248</x:v>
      </x:c>
      <x:c r="AB207" s="39" t="n">
        <x:v>-0.0094096014</x:v>
      </x:c>
      <x:c r="AC207" s="39" t="n">
        <x:v>-0.076972317</x:v>
      </x:c>
      <x:c r="AD207" s="39" t="n">
        <x:v>0.0003836921</x:v>
      </x:c>
      <x:c r="AE207" s="39" t="n">
        <x:v>0.0324156887</x:v>
      </x:c>
      <x:c r="AF207" s="39" t="n">
        <x:v>0.0108158397</x:v>
      </x:c>
      <x:c r="AG207" s="39" t="n">
        <x:v>-0.0934715576</x:v>
      </x:c>
      <x:c r="AH207" s="39" t="n">
        <x:v>-0.0453359731</x:v>
      </x:c>
      <x:c r="AI207" s="39" t="n">
        <x:v>-0.0766528137</x:v>
      </x:c>
      <x:c r="AJ207" s="39" t="n">
        <x:v>0.050505083</x:v>
      </x:c>
      <x:c r="AK207" s="39" t="n">
        <x:v>0.010454671</x:v>
      </x:c>
      <x:c r="AL207" s="39" t="n">
        <x:v>0.0195218934</x:v>
      </x:c>
      <x:c r="AM207" s="39" t="n">
        <x:v>0.0411891841</x:v>
      </x:c>
      <x:c r="AN207" s="39" t="n">
        <x:v>0.0478275736</x:v>
      </x:c>
      <x:c r="AO207" s="39" t="n">
        <x:v>0.0057477759</x:v>
      </x:c>
      <x:c r="AP207" s="39" t="n">
        <x:v>-0.0185809128</x:v>
      </x:c>
      <x:c r="AQ207" s="39" t="n">
        <x:v>-0.0557536518</x:v>
      </x:c>
      <x:c r="AR207" s="39" t="n">
        <x:v>-0.0710544218</x:v>
      </x:c>
      <x:c r="AS207" s="39" t="n">
        <x:v>0.0283747448</x:v>
      </x:c>
    </x:row>
    <x:row r="208" ht="19" customHeight="1">
      <x:c r="A208" s="30" t="str">
        <x:v>Other FX</x:v>
      </x:c>
      <x:c r="B208" s="40" t="d">
        <x:v>2023-10-09T00:00:00.000Z</x:v>
      </x:c>
      <x:c r="C208" s="39" t="n">
        <x:v>-0.0326184849</x:v>
      </x:c>
      <x:c r="D208" s="39" t="n">
        <x:v>0.1011123187</x:v>
      </x:c>
      <x:c r="E208" s="39" t="n">
        <x:v>-0.0642751879</x:v>
      </x:c>
      <x:c r="F208" s="39" t="n">
        <x:v>-0.0496828386</x:v>
      </x:c>
      <x:c r="G208" s="39" t="n">
        <x:v>0.0035338411</x:v>
      </x:c>
      <x:c r="H208" s="39" t="n">
        <x:v>-0.0514439324</x:v>
      </x:c>
      <x:c r="I208" s="39" t="n">
        <x:v>-0.0771676747</x:v>
      </x:c>
      <x:c r="J208" s="39" t="n">
        <x:v>-0.1867589464</x:v>
      </x:c>
      <x:c r="K208" s="39" t="n">
        <x:v>0.0522850664</x:v>
      </x:c>
      <x:c r="L208" s="39" t="n">
        <x:v>-0.1286773126</x:v>
      </x:c>
      <x:c r="M208" s="39" t="n">
        <x:v>0.0289036437</x:v>
      </x:c>
      <x:c r="N208" s="39" t="n">
        <x:v>-0.043903607</x:v>
      </x:c>
      <x:c r="O208" s="39" t="n">
        <x:v>-0.0085359105</x:v>
      </x:c>
      <x:c r="P208" s="39" t="n">
        <x:v>0.0335159044</x:v>
      </x:c>
      <x:c r="Q208" s="39" t="n">
        <x:v>-0.0908863379</x:v>
      </x:c>
      <x:c r="R208" s="39" t="n">
        <x:v>-0.057420648</x:v>
      </x:c>
      <x:c r="S208" s="39" t="n">
        <x:v>0.061724477</x:v>
      </x:c>
      <x:c r="T208" s="39" t="n">
        <x:v>-0.0253841025</x:v>
      </x:c>
      <x:c r="U208" s="39" t="n">
        <x:v>-0.0984445372</x:v>
      </x:c>
      <x:c r="V208" s="39" t="n">
        <x:v>0.0429949253</x:v>
      </x:c>
      <x:c r="W208" s="39" t="n">
        <x:v>-0.1078818936</x:v>
      </x:c>
      <x:c r="X208" s="39" t="n">
        <x:v>0.0026107431</x:v>
      </x:c>
      <x:c r="Y208" s="39" t="n">
        <x:v>-0.0189211993</x:v>
      </x:c>
      <x:c r="Z208" s="39" t="n">
        <x:v>0.0256303355</x:v>
      </x:c>
      <x:c r="AA208" s="39" t="n">
        <x:v>0.1093214261</x:v>
      </x:c>
      <x:c r="AB208" s="39" t="n">
        <x:v>-0.00480661</x:v>
      </x:c>
      <x:c r="AC208" s="39" t="n">
        <x:v>-0.0869756367</x:v>
      </x:c>
      <x:c r="AD208" s="39" t="n">
        <x:v>-0.0449482935</x:v>
      </x:c>
      <x:c r="AE208" s="39" t="n">
        <x:v>-0.0394140677</x:v>
      </x:c>
      <x:c r="AF208" s="39" t="n">
        <x:v>-0.0345750715</x:v>
      </x:c>
      <x:c r="AG208" s="39" t="n">
        <x:v>-0.0830918833</x:v>
      </x:c>
      <x:c r="AH208" s="39" t="n">
        <x:v>0.081426799</x:v>
      </x:c>
      <x:c r="AI208" s="39" t="n">
        <x:v>0.0328613468</x:v>
      </x:c>
      <x:c r="AJ208" s="39" t="n">
        <x:v>0.0556638512</x:v>
      </x:c>
      <x:c r="AK208" s="39" t="n">
        <x:v>0.0094068377</x:v>
      </x:c>
      <x:c r="AL208" s="39" t="n">
        <x:v>-0.1233661523</x:v>
      </x:c>
      <x:c r="AM208" s="39" t="n">
        <x:v>-0.0074396328</x:v>
      </x:c>
      <x:c r="AN208" s="39" t="n">
        <x:v>-0.0017888029</x:v>
      </x:c>
      <x:c r="AO208" s="39" t="n">
        <x:v>0.0199832391</x:v>
      </x:c>
      <x:c r="AP208" s="39" t="n">
        <x:v>-0.0822087964</x:v>
      </x:c>
      <x:c r="AQ208" s="39" t="n">
        <x:v>-0.0830659485</x:v>
      </x:c>
      <x:c r="AR208" s="39" t="n">
        <x:v>-0.0294691542</x:v>
      </x:c>
      <x:c r="AS208" s="39" t="n">
        <x:v>-0.0629617793</x:v>
      </x:c>
    </x:row>
    <x:row r="209" ht="19" customHeight="1">
      <x:c r="A209" s="30" t="str">
        <x:v>Other FX</x:v>
      </x:c>
      <x:c r="B209" s="40" t="d">
        <x:v>2023-11-06T00:00:00.000Z</x:v>
      </x:c>
      <x:c r="C209" s="39" t="n">
        <x:v>0.0856909679</x:v>
      </x:c>
      <x:c r="D209" s="39" t="n">
        <x:v>-0.1864083294</x:v>
      </x:c>
      <x:c r="E209" s="39" t="n">
        <x:v>0.0386596294</x:v>
      </x:c>
      <x:c r="F209" s="39" t="n">
        <x:v>0.0320864805</x:v>
      </x:c>
      <x:c r="G209" s="39" t="n">
        <x:v>0.0394565997</x:v>
      </x:c>
      <x:c r="H209" s="39" t="n">
        <x:v>0.1660744136</x:v>
      </x:c>
      <x:c r="I209" s="39" t="n">
        <x:v>0.1005229834</x:v>
      </x:c>
      <x:c r="J209" s="39" t="n">
        <x:v>0.1044945507</x:v>
      </x:c>
      <x:c r="K209" s="39" t="n">
        <x:v>-0.0179945271</x:v>
      </x:c>
      <x:c r="L209" s="39" t="n">
        <x:v>-0.0270965872</x:v>
      </x:c>
      <x:c r="M209" s="39" t="n">
        <x:v>-0.0610191961</x:v>
      </x:c>
      <x:c r="N209" s="39" t="n">
        <x:v>-0.1190205738</x:v>
      </x:c>
      <x:c r="O209" s="39" t="n">
        <x:v>0.0931598763</x:v>
      </x:c>
      <x:c r="P209" s="39" t="n">
        <x:v>-0.0753850522</x:v>
      </x:c>
      <x:c r="Q209" s="39" t="n">
        <x:v>-0.0591629338</x:v>
      </x:c>
      <x:c r="R209" s="39" t="n">
        <x:v>0.0936708238</x:v>
      </x:c>
      <x:c r="S209" s="39" t="n">
        <x:v>-0.0236782105</x:v>
      </x:c>
      <x:c r="T209" s="39" t="n">
        <x:v>0.0308146613</x:v>
      </x:c>
      <x:c r="U209" s="39" t="n">
        <x:v>-0.3520393633</x:v>
      </x:c>
      <x:c r="V209" s="39" t="n">
        <x:v>0.0115479268</x:v>
      </x:c>
      <x:c r="W209" s="39" t="n">
        <x:v>0.2283542972</x:v>
      </x:c>
      <x:c r="X209" s="39" t="n">
        <x:v>-0.0490472792</x:v>
      </x:c>
      <x:c r="Y209" s="39" t="n">
        <x:v>0.0215008068</x:v>
      </x:c>
      <x:c r="Z209" s="39" t="n">
        <x:v>-0.1801668299</x:v>
      </x:c>
      <x:c r="AA209" s="39" t="n">
        <x:v>0.0343989553</x:v>
      </x:c>
      <x:c r="AB209" s="39" t="n">
        <x:v>-0.1303292213</x:v>
      </x:c>
      <x:c r="AC209" s="39" t="n">
        <x:v>-0.2615147224</x:v>
      </x:c>
      <x:c r="AD209" s="39" t="n">
        <x:v>0.0432881884</x:v>
      </x:c>
      <x:c r="AE209" s="39" t="n">
        <x:v>-0.1898515004</x:v>
      </x:c>
      <x:c r="AF209" s="39" t="n">
        <x:v>-0.0319626099</x:v>
      </x:c>
      <x:c r="AG209" s="39" t="n">
        <x:v>0.044111537</x:v>
      </x:c>
      <x:c r="AH209" s="39" t="n">
        <x:v>0.0009829066</x:v>
      </x:c>
      <x:c r="AI209" s="39" t="n">
        <x:v>0.0752756025</x:v>
      </x:c>
      <x:c r="AJ209" s="39" t="n">
        <x:v>-0.0189819033</x:v>
      </x:c>
      <x:c r="AK209" s="39" t="n">
        <x:v>-0.0209923944</x:v>
      </x:c>
      <x:c r="AL209" s="39" t="n">
        <x:v>-0.0203801013</x:v>
      </x:c>
      <x:c r="AM209" s="39" t="n">
        <x:v>0.1200472748</x:v>
      </x:c>
      <x:c r="AN209" s="39" t="n">
        <x:v>-0.0636584611</x:v>
      </x:c>
      <x:c r="AO209" s="39" t="n">
        <x:v>0.0009239696</x:v>
      </x:c>
      <x:c r="AP209" s="39" t="n">
        <x:v>-0.0108933518</x:v>
      </x:c>
      <x:c r="AQ209" s="39" t="n">
        <x:v>0.0522741671</x:v>
      </x:c>
      <x:c r="AR209" s="39" t="n">
        <x:v>-0.0788328638</x:v>
      </x:c>
      <x:c r="AS209" s="39" t="n">
        <x:v>0.0010081307</x:v>
      </x:c>
    </x:row>
    <x:row r="210" ht="19" customHeight="1">
      <x:c r="A210" s="30" t="str">
        <x:v>Other FX</x:v>
      </x:c>
      <x:c r="B210" s="40" t="d">
        <x:v>2023-12-04T00:00:00.000Z</x:v>
      </x:c>
      <x:c r="C210" s="39" t="n">
        <x:v>0.070224845</x:v>
      </x:c>
      <x:c r="D210" s="39" t="n">
        <x:v>0.0914824203</x:v>
      </x:c>
      <x:c r="E210" s="39" t="n">
        <x:v>-0.0154092341</x:v>
      </x:c>
      <x:c r="F210" s="39" t="n">
        <x:v>0.0668856684</x:v>
      </x:c>
      <x:c r="G210" s="39" t="n">
        <x:v>0.0205279642</x:v>
      </x:c>
      <x:c r="H210" s="39" t="n">
        <x:v>0.0185742617</x:v>
      </x:c>
      <x:c r="I210" s="39" t="n">
        <x:v>0.0268259675</x:v>
      </x:c>
      <x:c r="J210" s="39" t="n">
        <x:v>-0.0729917452</x:v>
      </x:c>
      <x:c r="K210" s="39" t="n">
        <x:v>0.003035553</x:v>
      </x:c>
      <x:c r="L210" s="39" t="n">
        <x:v>0.0087493159</x:v>
      </x:c>
      <x:c r="M210" s="39" t="n">
        <x:v>-0.0334029035</x:v>
      </x:c>
      <x:c r="N210" s="39" t="n">
        <x:v>-0.0415183211</x:v>
      </x:c>
      <x:c r="O210" s="39" t="n">
        <x:v>-0.0573113519</x:v>
      </x:c>
      <x:c r="P210" s="39" t="n">
        <x:v>-0.0533070981</x:v>
      </x:c>
      <x:c r="Q210" s="39" t="n">
        <x:v>0.1618582003</x:v>
      </x:c>
      <x:c r="R210" s="39" t="n">
        <x:v>0.2110629806</x:v>
      </x:c>
      <x:c r="S210" s="39" t="n">
        <x:v>-0.0540944136</x:v>
      </x:c>
      <x:c r="T210" s="39" t="n">
        <x:v>0.2084113561</x:v>
      </x:c>
      <x:c r="U210" s="39" t="n">
        <x:v>0.0457633811</x:v>
      </x:c>
      <x:c r="V210" s="39" t="n">
        <x:v>0.0821189608</x:v>
      </x:c>
      <x:c r="W210" s="39" t="n">
        <x:v>0.0146331005</x:v>
      </x:c>
      <x:c r="X210" s="39" t="n">
        <x:v>-0.041175694</x:v>
      </x:c>
      <x:c r="Y210" s="39" t="n">
        <x:v>-0.1302413181</x:v>
      </x:c>
      <x:c r="Z210" s="39" t="n">
        <x:v>0.0052668056</x:v>
      </x:c>
      <x:c r="AA210" s="39" t="n">
        <x:v>0.0049049774</x:v>
      </x:c>
      <x:c r="AB210" s="39" t="n">
        <x:v>0.0112340478</x:v>
      </x:c>
      <x:c r="AC210" s="39" t="n">
        <x:v>0.5767480157</x:v>
      </x:c>
      <x:c r="AD210" s="39" t="n">
        <x:v>-0.075869772</x:v>
      </x:c>
      <x:c r="AE210" s="39" t="n">
        <x:v>0.0268942615</x:v>
      </x:c>
      <x:c r="AF210" s="39" t="n">
        <x:v>0.0163381312</x:v>
      </x:c>
      <x:c r="AG210" s="39" t="n">
        <x:v>0.1445507295</x:v>
      </x:c>
      <x:c r="AH210" s="39" t="n">
        <x:v>0.0050047539</x:v>
      </x:c>
      <x:c r="AI210" s="39" t="n">
        <x:v>-0.0122887037</x:v>
      </x:c>
      <x:c r="AJ210" s="39" t="n">
        <x:v>0.0024410136</x:v>
      </x:c>
      <x:c r="AK210" s="39" t="n">
        <x:v>-0.0397014158</x:v>
      </x:c>
      <x:c r="AL210" s="39" t="n">
        <x:v>-0.1138822168</x:v>
      </x:c>
      <x:c r="AM210" s="39" t="n">
        <x:v>0.0144455233</x:v>
      </x:c>
      <x:c r="AN210" s="39" t="n">
        <x:v>-0.0419550821</x:v>
      </x:c>
      <x:c r="AO210" s="39" t="n">
        <x:v>0.0144239162</x:v>
      </x:c>
      <x:c r="AP210" s="39" t="n">
        <x:v>0.085215589</x:v>
      </x:c>
      <x:c r="AQ210" s="39" t="n">
        <x:v>-0.0044874606</x:v>
      </x:c>
      <x:c r="AR210" s="39" t="n">
        <x:v>0.0228385709</x:v>
      </x:c>
      <x:c r="AS210" s="39" t="n">
        <x:v>-0.0245024374</x:v>
      </x:c>
    </x:row>
    <x:row r="211" ht="19" customHeight="1">
      <x:c r="A211" s="30" t="str">
        <x:v>Other FX</x:v>
      </x:c>
      <x:c r="B211" s="40" t="d">
        <x:v>2024-01-01T00:00:00.000Z</x:v>
      </x:c>
      <x:c r="C211" s="39" t="n">
        <x:v>0.0500542537</x:v>
      </x:c>
      <x:c r="D211" s="39" t="n">
        <x:v>-0.0586160765</x:v>
      </x:c>
      <x:c r="E211" s="39" t="n">
        <x:v>0.0316841824</x:v>
      </x:c>
      <x:c r="F211" s="39" t="n">
        <x:v>0.0192192332</x:v>
      </x:c>
      <x:c r="G211" s="39" t="n">
        <x:v>-0.0369555959</x:v>
      </x:c>
      <x:c r="H211" s="39" t="n">
        <x:v>-0.0321684886</x:v>
      </x:c>
      <x:c r="I211" s="39" t="n">
        <x:v>-0.0152766615</x:v>
      </x:c>
      <x:c r="J211" s="39" t="n">
        <x:v>-0.0679936743</x:v>
      </x:c>
      <x:c r="K211" s="39" t="n">
        <x:v>-0.0733330609</x:v>
      </x:c>
      <x:c r="L211" s="39" t="n">
        <x:v>0.051008153</x:v>
      </x:c>
      <x:c r="M211" s="39" t="n">
        <x:v>0.0595779647</x:v>
      </x:c>
      <x:c r="N211" s="39" t="n">
        <x:v>-0.0232213919</x:v>
      </x:c>
      <x:c r="O211" s="39" t="n">
        <x:v>0.0813033235</x:v>
      </x:c>
      <x:c r="P211" s="39" t="n">
        <x:v>-0.0335430212</x:v>
      </x:c>
      <x:c r="Q211" s="39" t="n">
        <x:v>0.1674466485</x:v>
      </x:c>
      <x:c r="R211" s="39" t="n">
        <x:v>0.1327055378</x:v>
      </x:c>
      <x:c r="S211" s="39" t="n">
        <x:v>-0.0570260608</x:v>
      </x:c>
      <x:c r="T211" s="39" t="n">
        <x:v>-0.0165349462</x:v>
      </x:c>
      <x:c r="U211" s="39" t="n">
        <x:v>0.2912204815</x:v>
      </x:c>
      <x:c r="V211" s="39" t="n">
        <x:v>0.0334159889</x:v>
      </x:c>
      <x:c r="W211" s="39" t="n">
        <x:v>0.0448776528</x:v>
      </x:c>
      <x:c r="X211" s="39" t="n">
        <x:v>0.0103128239</x:v>
      </x:c>
      <x:c r="Y211" s="39" t="n">
        <x:v>0.0265439482</x:v>
      </x:c>
      <x:c r="Z211" s="39" t="n">
        <x:v>-0.0411549833</x:v>
      </x:c>
      <x:c r="AA211" s="39" t="n">
        <x:v>0.0097517463</x:v>
      </x:c>
      <x:c r="AB211" s="39" t="n">
        <x:v>-0.1074087647</x:v>
      </x:c>
      <x:c r="AC211" s="39" t="n">
        <x:v>-0.1076676749</x:v>
      </x:c>
      <x:c r="AD211" s="39" t="n">
        <x:v>-0.0010404023</x:v>
      </x:c>
      <x:c r="AE211" s="39" t="n">
        <x:v>0.0293142916</x:v>
      </x:c>
      <x:c r="AF211" s="39" t="n">
        <x:v>0.0663978833</x:v>
      </x:c>
      <x:c r="AG211" s="39" t="n">
        <x:v>-0.0200780027</x:v>
      </x:c>
      <x:c r="AH211" s="39" t="n">
        <x:v>-0.0161820012</x:v>
      </x:c>
      <x:c r="AI211" s="39" t="n">
        <x:v>0.0108875495</x:v>
      </x:c>
      <x:c r="AJ211" s="39" t="n">
        <x:v>0.0345602786</x:v>
      </x:c>
      <x:c r="AK211" s="39" t="n">
        <x:v>-0.0341016396</x:v>
      </x:c>
      <x:c r="AL211" s="39" t="n">
        <x:v>0.0564098101</x:v>
      </x:c>
      <x:c r="AM211" s="39" t="n">
        <x:v>-0.0179110895</x:v>
      </x:c>
      <x:c r="AN211" s="39" t="n">
        <x:v>-0.0338809121</x:v>
      </x:c>
      <x:c r="AO211" s="39" t="n">
        <x:v>0.0690829088</x:v>
      </x:c>
      <x:c r="AP211" s="39" t="n">
        <x:v>0.0316120543</x:v>
      </x:c>
      <x:c r="AQ211" s="39" t="n">
        <x:v>-0.0089021532</x:v>
      </x:c>
      <x:c r="AR211" s="39" t="n">
        <x:v>0.0216590102</x:v>
      </x:c>
      <x:c r="AS211" s="39" t="n">
        <x:v>0.0150684163</x:v>
      </x:c>
    </x:row>
    <x:row r="212" ht="19" customHeight="1">
      <x:c r="A212" s="30" t="str">
        <x:v>Other FX</x:v>
      </x:c>
      <x:c r="B212" s="40" t="d">
        <x:v>2024-01-29T00:00:00.000Z</x:v>
      </x:c>
      <x:c r="C212" s="39" t="n">
        <x:v>0.1493598033</x:v>
      </x:c>
      <x:c r="D212" s="39" t="n">
        <x:v>0.047545952</x:v>
      </x:c>
      <x:c r="E212" s="39" t="n">
        <x:v>-0.0605182898</x:v>
      </x:c>
      <x:c r="F212" s="39" t="n">
        <x:v>-0.0340705619</x:v>
      </x:c>
      <x:c r="G212" s="39" t="n">
        <x:v>0.0893576235</x:v>
      </x:c>
      <x:c r="H212" s="39" t="n">
        <x:v>0.1407431084</x:v>
      </x:c>
      <x:c r="I212" s="39" t="n">
        <x:v>0.1747170598</x:v>
      </x:c>
      <x:c r="J212" s="39" t="n">
        <x:v>0.1543903519</x:v>
      </x:c>
      <x:c r="K212" s="39" t="n">
        <x:v>0.0828192856</x:v>
      </x:c>
      <x:c r="L212" s="39" t="n">
        <x:v>0.076878274</x:v>
      </x:c>
      <x:c r="M212" s="39" t="n">
        <x:v>-0.0609674662</x:v>
      </x:c>
      <x:c r="N212" s="39" t="n">
        <x:v>-0.0699503767</x:v>
      </x:c>
      <x:c r="O212" s="39" t="n">
        <x:v>0.011905061</x:v>
      </x:c>
      <x:c r="P212" s="39" t="n">
        <x:v>0.1487730589</x:v>
      </x:c>
      <x:c r="Q212" s="39" t="n">
        <x:v>0.0781732764</x:v>
      </x:c>
      <x:c r="R212" s="39" t="n">
        <x:v>0.0117049793</x:v>
      </x:c>
      <x:c r="S212" s="39" t="n">
        <x:v>0.0434285713</x:v>
      </x:c>
      <x:c r="T212" s="39" t="n">
        <x:v>0.0834100349</x:v>
      </x:c>
      <x:c r="U212" s="39" t="n">
        <x:v>-0.0762224602</x:v>
      </x:c>
      <x:c r="V212" s="39" t="n">
        <x:v>0.053047538</x:v>
      </x:c>
      <x:c r="W212" s="39" t="n">
        <x:v>0.1818438844</x:v>
      </x:c>
      <x:c r="X212" s="39" t="n">
        <x:v>0.0822264513</x:v>
      </x:c>
      <x:c r="Y212" s="39" t="n">
        <x:v>0.031881661</x:v>
      </x:c>
      <x:c r="Z212" s="39" t="n">
        <x:v>-0.1078504736</x:v>
      </x:c>
      <x:c r="AA212" s="39" t="n">
        <x:v>0.1142191277</x:v>
      </x:c>
      <x:c r="AB212" s="39" t="n">
        <x:v>-0.0063997834</x:v>
      </x:c>
      <x:c r="AC212" s="39" t="n">
        <x:v>-0.0170336255</x:v>
      </x:c>
      <x:c r="AD212" s="39" t="n">
        <x:v>0.0945623984</x:v>
      </x:c>
      <x:c r="AE212" s="39" t="n">
        <x:v>0.0558237011</x:v>
      </x:c>
      <x:c r="AF212" s="39" t="n">
        <x:v>-0.1124698408</x:v>
      </x:c>
      <x:c r="AG212" s="39" t="n">
        <x:v>-0.1414767648</x:v>
      </x:c>
      <x:c r="AH212" s="39" t="n">
        <x:v>0.0908265999</x:v>
      </x:c>
      <x:c r="AI212" s="39" t="n">
        <x:v>0.2618800727</x:v>
      </x:c>
      <x:c r="AJ212" s="39" t="n">
        <x:v>0.0794396391</x:v>
      </x:c>
      <x:c r="AK212" s="39" t="n">
        <x:v>-0.0031038047</x:v>
      </x:c>
      <x:c r="AL212" s="39" t="n">
        <x:v>0.0290113156</x:v>
      </x:c>
      <x:c r="AM212" s="39" t="n">
        <x:v>0.1161909925</x:v>
      </x:c>
      <x:c r="AN212" s="39" t="n">
        <x:v>0.0512696912</x:v>
      </x:c>
      <x:c r="AO212" s="39" t="n">
        <x:v>0.0869573396</x:v>
      </x:c>
      <x:c r="AP212" s="39" t="n">
        <x:v>0.0573015525</x:v>
      </x:c>
      <x:c r="AQ212" s="39" t="n">
        <x:v>0.0243251023</x:v>
      </x:c>
      <x:c r="AR212" s="39" t="n">
        <x:v>-0.0289806909</x:v>
      </x:c>
      <x:c r="AS212" s="39" t="n">
        <x:v>0.0706942448</x:v>
      </x:c>
    </x:row>
    <x:row r="213" ht="19" customHeight="1">
      <x:c r="A213" s="30" t="str">
        <x:v>Other FX</x:v>
      </x:c>
      <x:c r="B213" s="40" t="d">
        <x:v>2024-02-26T00:00:00.000Z</x:v>
      </x:c>
      <x:c r="C213" s="39" t="n">
        <x:v>0.2126232411</x:v>
      </x:c>
      <x:c r="D213" s="39" t="n">
        <x:v>0.1247413643</x:v>
      </x:c>
      <x:c r="E213" s="39" t="n">
        <x:v>0.0959799544</x:v>
      </x:c>
      <x:c r="F213" s="39" t="n">
        <x:v>0.010878826</x:v>
      </x:c>
      <x:c r="G213" s="39" t="n">
        <x:v>0.1623421683</x:v>
      </x:c>
      <x:c r="H213" s="39" t="n">
        <x:v>0.0968820538</x:v>
      </x:c>
      <x:c r="I213" s="39" t="n">
        <x:v>0.038634607</x:v>
      </x:c>
      <x:c r="J213" s="39" t="n">
        <x:v>0.2925300395</x:v>
      </x:c>
      <x:c r="K213" s="39" t="n">
        <x:v>0.0649948668</x:v>
      </x:c>
      <x:c r="L213" s="39" t="n">
        <x:v>0.0407493017</x:v>
      </x:c>
      <x:c r="M213" s="39" t="n">
        <x:v>0.0862345196</x:v>
      </x:c>
      <x:c r="N213" s="39" t="n">
        <x:v>0.037586387</x:v>
      </x:c>
      <x:c r="O213" s="39" t="n">
        <x:v>-0.0777482885</x:v>
      </x:c>
      <x:c r="P213" s="39" t="n">
        <x:v>0.0827190221</x:v>
      </x:c>
      <x:c r="Q213" s="39" t="n">
        <x:v>0.0773541723</x:v>
      </x:c>
      <x:c r="R213" s="39" t="n">
        <x:v>0.0757164763</x:v>
      </x:c>
      <x:c r="S213" s="39" t="n">
        <x:v>0.0627542931</x:v>
      </x:c>
      <x:c r="T213" s="39" t="n">
        <x:v>0.2001419728</x:v>
      </x:c>
      <x:c r="U213" s="39" t="n">
        <x:v>0.0108856776</x:v>
      </x:c>
      <x:c r="V213" s="39" t="n">
        <x:v>0.2121625224</x:v>
      </x:c>
      <x:c r="W213" s="39" t="n">
        <x:v>0.0975274728</x:v>
      </x:c>
      <x:c r="X213" s="39" t="n">
        <x:v>-0.0327103661</x:v>
      </x:c>
      <x:c r="Y213" s="39" t="n">
        <x:v>0.0781656535</x:v>
      </x:c>
      <x:c r="Z213" s="39" t="n">
        <x:v>-0.0497217324</x:v>
      </x:c>
      <x:c r="AA213" s="39" t="n">
        <x:v>0.0408758442</x:v>
      </x:c>
      <x:c r="AB213" s="39" t="n">
        <x:v>0.0320614389</x:v>
      </x:c>
      <x:c r="AC213" s="39" t="n">
        <x:v>-0.2289268521</x:v>
      </x:c>
      <x:c r="AD213" s="39" t="n">
        <x:v>0.0133471668</x:v>
      </x:c>
      <x:c r="AE213" s="39" t="n">
        <x:v>0.0685902644</x:v>
      </x:c>
      <x:c r="AF213" s="39" t="n">
        <x:v>0.010217095</x:v>
      </x:c>
      <x:c r="AG213" s="39" t="n">
        <x:v>-0.0263420876</x:v>
      </x:c>
      <x:c r="AH213" s="39" t="n">
        <x:v>0.1074063165</x:v>
      </x:c>
      <x:c r="AI213" s="39" t="n">
        <x:v>0.1277106684</x:v>
      </x:c>
      <x:c r="AJ213" s="39" t="n">
        <x:v>0.168753042</x:v>
      </x:c>
      <x:c r="AK213" s="39" t="n">
        <x:v>0.056322744</x:v>
      </x:c>
      <x:c r="AL213" s="39" t="n">
        <x:v>-0.0163750775</x:v>
      </x:c>
      <x:c r="AM213" s="39" t="n">
        <x:v>0.0128696385</x:v>
      </x:c>
      <x:c r="AN213" s="39" t="n">
        <x:v>-0.0469825577</x:v>
      </x:c>
      <x:c r="AO213" s="39" t="n">
        <x:v>0.0549259799</x:v>
      </x:c>
      <x:c r="AP213" s="39" t="n">
        <x:v>0.0849375362</x:v>
      </x:c>
      <x:c r="AQ213" s="39" t="n">
        <x:v>-0.016457671</x:v>
      </x:c>
      <x:c r="AR213" s="39" t="n">
        <x:v>0.0401289397</x:v>
      </x:c>
      <x:c r="AS213" s="39" t="n">
        <x:v>0.0399087639</x:v>
      </x:c>
    </x:row>
    <x:row r="214" ht="19" customHeight="1">
      <x:c r="A214" s="30" t="str">
        <x:v>Other FX</x:v>
      </x:c>
      <x:c r="B214" s="40" t="d">
        <x:v>2024-03-25T00:00:00.000Z</x:v>
      </x:c>
      <x:c r="C214" s="39" t="n">
        <x:v>0.2660690986</x:v>
      </x:c>
      <x:c r="D214" s="39" t="n">
        <x:v>0.0662084572</x:v>
      </x:c>
      <x:c r="E214" s="39" t="n">
        <x:v>0.0022536269</x:v>
      </x:c>
      <x:c r="F214" s="39" t="n">
        <x:v>0.0540811076</x:v>
      </x:c>
      <x:c r="G214" s="39" t="n">
        <x:v>0.0929254662</x:v>
      </x:c>
      <x:c r="H214" s="39" t="n">
        <x:v>0.079761192</x:v>
      </x:c>
      <x:c r="I214" s="39" t="n">
        <x:v>0.0128868705</x:v>
      </x:c>
      <x:c r="J214" s="39" t="n">
        <x:v>-0.0438481166</x:v>
      </x:c>
      <x:c r="K214" s="39" t="n">
        <x:v>-0.0716655599</x:v>
      </x:c>
      <x:c r="L214" s="39" t="n">
        <x:v>0.1872518943</x:v>
      </x:c>
      <x:c r="M214" s="39" t="n">
        <x:v>0.0091668954</x:v>
      </x:c>
      <x:c r="N214" s="39" t="n">
        <x:v>0.0529475255</x:v>
      </x:c>
      <x:c r="O214" s="39" t="n">
        <x:v>-0.0295587415</x:v>
      </x:c>
      <x:c r="P214" s="39" t="n">
        <x:v>0.0109137955</x:v>
      </x:c>
      <x:c r="Q214" s="39" t="n">
        <x:v>-0.0155213646</x:v>
      </x:c>
      <x:c r="R214" s="39" t="n">
        <x:v>-0.0061462317</x:v>
      </x:c>
      <x:c r="S214" s="39" t="n">
        <x:v>-0.0243614985</x:v>
      </x:c>
      <x:c r="T214" s="39" t="n">
        <x:v>-0.0336029149</x:v>
      </x:c>
      <x:c r="U214" s="39" t="n">
        <x:v>0.1181547686</x:v>
      </x:c>
      <x:c r="V214" s="39" t="n">
        <x:v>-0.0046736926</x:v>
      </x:c>
      <x:c r="W214" s="39" t="n">
        <x:v>-0.0209471941</x:v>
      </x:c>
      <x:c r="X214" s="39" t="n">
        <x:v>0.0141769152</x:v>
      </x:c>
      <x:c r="Y214" s="39" t="n">
        <x:v>0.1749678117</x:v>
      </x:c>
      <x:c r="Z214" s="39" t="n">
        <x:v>0.1066229327</x:v>
      </x:c>
      <x:c r="AA214" s="39" t="n">
        <x:v>0.1030258522</x:v>
      </x:c>
      <x:c r="AB214" s="39" t="n">
        <x:v>0.0561494855</x:v>
      </x:c>
      <x:c r="AC214" s="39" t="n">
        <x:v>0.0229190178</x:v>
      </x:c>
      <x:c r="AD214" s="39" t="n">
        <x:v>0.0176836577</x:v>
      </x:c>
      <x:c r="AE214" s="39" t="n">
        <x:v>0.0514373467</x:v>
      </x:c>
      <x:c r="AF214" s="39" t="n">
        <x:v>0.1474532937</x:v>
      </x:c>
      <x:c r="AG214" s="39" t="n">
        <x:v>-0.0476532128</x:v>
      </x:c>
      <x:c r="AH214" s="39" t="n">
        <x:v>-0.0183056461</x:v>
      </x:c>
      <x:c r="AI214" s="39" t="n">
        <x:v>-0.1622724138</x:v>
      </x:c>
      <x:c r="AJ214" s="39" t="n">
        <x:v>-0.0057047625</x:v>
      </x:c>
      <x:c r="AK214" s="39" t="n">
        <x:v>-0.0176018156</x:v>
      </x:c>
      <x:c r="AL214" s="39" t="n">
        <x:v>-0.0219258021</x:v>
      </x:c>
      <x:c r="AM214" s="39" t="n">
        <x:v>0.013355194</x:v>
      </x:c>
      <x:c r="AN214" s="39" t="n">
        <x:v>0.0782227501</x:v>
      </x:c>
      <x:c r="AO214" s="39" t="n">
        <x:v>-0.0399313075</x:v>
      </x:c>
      <x:c r="AP214" s="39" t="n">
        <x:v>-0.0023415503</x:v>
      </x:c>
      <x:c r="AQ214" s="39" t="n">
        <x:v>0.0240480221</x:v>
      </x:c>
      <x:c r="AR214" s="39" t="n">
        <x:v>-0.0398355698</x:v>
      </x:c>
      <x:c r="AS214" s="39" t="n">
        <x:v>0.0222376705</x:v>
      </x:c>
    </x:row>
    <x:row r="215" ht="19" customHeight="1">
      <x:c r="A215" s="30" t="str">
        <x:v>Other FX</x:v>
      </x:c>
      <x:c r="B215" s="40" t="d">
        <x:v>2024-04-22T00:00:00.000Z</x:v>
      </x:c>
      <x:c r="C215" s="39" t="n">
        <x:v>0.0464974329</x:v>
      </x:c>
      <x:c r="D215" s="39" t="n">
        <x:v>0.0108909073</x:v>
      </x:c>
      <x:c r="E215" s="39" t="n">
        <x:v>-0.0214885029</x:v>
      </x:c>
      <x:c r="F215" s="39" t="n">
        <x:v>0.0083854272</x:v>
      </x:c>
      <x:c r="G215" s="39" t="n">
        <x:v>-0.0902725668</x:v>
      </x:c>
      <x:c r="H215" s="39" t="n">
        <x:v>0.0971450258</x:v>
      </x:c>
      <x:c r="I215" s="39" t="n">
        <x:v>-0.0045807693</x:v>
      </x:c>
      <x:c r="J215" s="39" t="n">
        <x:v>-0.1094171384</x:v>
      </x:c>
      <x:c r="K215" s="39" t="n">
        <x:v>-0.0904730568</x:v>
      </x:c>
      <x:c r="L215" s="39" t="n">
        <x:v>-0.0315346227</x:v>
      </x:c>
      <x:c r="M215" s="39" t="n">
        <x:v>-0.0426811382</x:v>
      </x:c>
      <x:c r="N215" s="39" t="n">
        <x:v>-0.0299319219</x:v>
      </x:c>
      <x:c r="O215" s="39" t="n">
        <x:v>-0.016237585</x:v>
      </x:c>
      <x:c r="P215" s="39" t="n">
        <x:v>-0.0025035164</x:v>
      </x:c>
      <x:c r="Q215" s="39" t="n">
        <x:v>-0.1187700071</x:v>
      </x:c>
      <x:c r="R215" s="39" t="n">
        <x:v>-0.1415451613</x:v>
      </x:c>
      <x:c r="S215" s="39" t="n">
        <x:v>-0.032205433</x:v>
      </x:c>
      <x:c r="T215" s="39" t="n">
        <x:v>-0.103615242</x:v>
      </x:c>
      <x:c r="U215" s="39" t="n">
        <x:v>0.0126448032</x:v>
      </x:c>
      <x:c r="V215" s="39" t="n">
        <x:v>-0.0162447513</x:v>
      </x:c>
      <x:c r="W215" s="39" t="n">
        <x:v>-0.0856439151</x:v>
      </x:c>
      <x:c r="X215" s="39" t="n">
        <x:v>-0.1170012203</x:v>
      </x:c>
      <x:c r="Y215" s="39" t="n">
        <x:v>-0.0818616229</x:v>
      </x:c>
      <x:c r="Z215" s="39" t="n">
        <x:v>0.1688390408</x:v>
      </x:c>
      <x:c r="AA215" s="39" t="n">
        <x:v>0.0068455064</x:v>
      </x:c>
      <x:c r="AB215" s="39" t="n">
        <x:v>0.7703346173</x:v>
      </x:c>
      <x:c r="AC215" s="39" t="n">
        <x:v>-0.1480433739</x:v>
      </x:c>
      <x:c r="AD215" s="39" t="n">
        <x:v>-0.0036647557</x:v>
      </x:c>
      <x:c r="AE215" s="39" t="n">
        <x:v>-0.0565784346</x:v>
      </x:c>
      <x:c r="AF215" s="39" t="n">
        <x:v>-0.0348193352</x:v>
      </x:c>
      <x:c r="AG215" s="39" t="n">
        <x:v>-0.1631760029</x:v>
      </x:c>
      <x:c r="AH215" s="39" t="n">
        <x:v>-0.0684789738</x:v>
      </x:c>
      <x:c r="AI215" s="39" t="n">
        <x:v>-0.1853809023</x:v>
      </x:c>
      <x:c r="AJ215" s="39" t="n">
        <x:v>-0.0638290467</x:v>
      </x:c>
      <x:c r="AK215" s="39" t="n">
        <x:v>-0.0143625075</x:v>
      </x:c>
      <x:c r="AL215" s="39" t="n">
        <x:v>0.0324361188</x:v>
      </x:c>
      <x:c r="AM215" s="39" t="n">
        <x:v>-0.0377833523</x:v>
      </x:c>
      <x:c r="AN215" s="39" t="n">
        <x:v>0.1181539487</x:v>
      </x:c>
      <x:c r="AO215" s="39" t="n">
        <x:v>-0.0183107581</x:v>
      </x:c>
      <x:c r="AP215" s="39" t="n">
        <x:v>-0.1522385067</x:v>
      </x:c>
      <x:c r="AQ215" s="39" t="n">
        <x:v>-0.0029730849</x:v>
      </x:c>
      <x:c r="AR215" s="39" t="n">
        <x:v>-0.0990118093</x:v>
      </x:c>
      <x:c r="AS215" s="39" t="n">
        <x:v>-0.0605031354</x:v>
      </x:c>
    </x:row>
    <x:row r="216" ht="19" customHeight="1">
      <x:c r="A216" s="30" t="str">
        <x:v>Other FX</x:v>
      </x:c>
      <x:c r="B216" s="40" t="d">
        <x:v>2024-05-20T00:00:00.000Z</x:v>
      </x:c>
      <x:c r="C216" s="39" t="n">
        <x:v>0.3736769925</x:v>
      </x:c>
      <x:c r="D216" s="39" t="n">
        <x:v>-0.0061003136</x:v>
      </x:c>
      <x:c r="E216" s="39" t="n">
        <x:v>0.0339891889</x:v>
      </x:c>
      <x:c r="F216" s="39" t="n">
        <x:v>0.038660798</x:v>
      </x:c>
      <x:c r="G216" s="39" t="n">
        <x:v>-0.1279452221</x:v>
      </x:c>
      <x:c r="H216" s="39" t="n">
        <x:v>-0.0303132788</x:v>
      </x:c>
      <x:c r="I216" s="39" t="n">
        <x:v>0.0069004483</x:v>
      </x:c>
      <x:c r="J216" s="39" t="n">
        <x:v>0.0613307022</x:v>
      </x:c>
      <x:c r="K216" s="39" t="n">
        <x:v>0.0129535031</x:v>
      </x:c>
      <x:c r="L216" s="39" t="n">
        <x:v>-0.0226628078</x:v>
      </x:c>
      <x:c r="M216" s="39" t="n">
        <x:v>-0.0273578483</x:v>
      </x:c>
      <x:c r="N216" s="39" t="n">
        <x:v>0.0915984174</x:v>
      </x:c>
      <x:c r="O216" s="39" t="n">
        <x:v>-0.0376483378</x:v>
      </x:c>
      <x:c r="P216" s="39" t="n">
        <x:v>-0.0270215422</x:v>
      </x:c>
      <x:c r="Q216" s="39" t="n">
        <x:v>-0.0668049854</x:v>
      </x:c>
      <x:c r="R216" s="39" t="n">
        <x:v>0.0846565247</x:v>
      </x:c>
      <x:c r="S216" s="39" t="n">
        <x:v>0.0004014639</x:v>
      </x:c>
      <x:c r="T216" s="39" t="n">
        <x:v>-0.1879557511</x:v>
      </x:c>
      <x:c r="U216" s="39" t="n">
        <x:v>0.4363301377</x:v>
      </x:c>
      <x:c r="V216" s="39" t="n">
        <x:v>-0.0837873488</x:v>
      </x:c>
      <x:c r="W216" s="39" t="n">
        <x:v>0.1560556047</x:v>
      </x:c>
      <x:c r="X216" s="39" t="n">
        <x:v>-0.019659275</x:v>
      </x:c>
      <x:c r="Y216" s="39" t="n">
        <x:v>0.0477579276</x:v>
      </x:c>
      <x:c r="Z216" s="39" t="n">
        <x:v>-0.0923572875</x:v>
      </x:c>
      <x:c r="AA216" s="39" t="n">
        <x:v>-0.0220102734</x:v>
      </x:c>
      <x:c r="AB216" s="39" t="n">
        <x:v>-0.0600029241</x:v>
      </x:c>
      <x:c r="AC216" s="39" t="n">
        <x:v>-0.0051712307</x:v>
      </x:c>
      <x:c r="AD216" s="39" t="n">
        <x:v>0.010470489</x:v>
      </x:c>
      <x:c r="AE216" s="39" t="n">
        <x:v>-0.087892628</x:v>
      </x:c>
      <x:c r="AF216" s="39" t="n">
        <x:v>0.0767250558</x:v>
      </x:c>
      <x:c r="AG216" s="39" t="n">
        <x:v>0.0095544258</x:v>
      </x:c>
      <x:c r="AH216" s="39" t="n">
        <x:v>-0.124577249</x:v>
      </x:c>
      <x:c r="AI216" s="39" t="n">
        <x:v>-0.0018695802</x:v>
      </x:c>
      <x:c r="AJ216" s="39" t="n">
        <x:v>0.1075201435</x:v>
      </x:c>
      <x:c r="AK216" s="39" t="n">
        <x:v>0.0373152356</x:v>
      </x:c>
      <x:c r="AL216" s="39" t="n">
        <x:v>0.0351248575</x:v>
      </x:c>
      <x:c r="AM216" s="39" t="n">
        <x:v>0.0647182623</x:v>
      </x:c>
      <x:c r="AN216" s="39" t="n">
        <x:v>-0.0199468847</x:v>
      </x:c>
      <x:c r="AO216" s="39" t="n">
        <x:v>0.0882568948</x:v>
      </x:c>
      <x:c r="AP216" s="39" t="n">
        <x:v>-0.0519477509</x:v>
      </x:c>
      <x:c r="AQ216" s="39" t="n">
        <x:v>-0.0224289336</x:v>
      </x:c>
      <x:c r="AR216" s="39" t="n">
        <x:v>-0.006726253</x:v>
      </x:c>
      <x:c r="AS216" s="39" t="n">
        <x:v>-0.0060606895</x:v>
      </x:c>
    </x:row>
    <x:row r="217" ht="19" customHeight="1">
      <x:c r="A217" s="30" t="str">
        <x:v>Other FX</x:v>
      </x:c>
      <x:c r="B217" s="40" t="d">
        <x:v>2024-06-17T00:00:00.000Z</x:v>
      </x:c>
      <x:c r="C217" s="39" t="n">
        <x:v>-0.1774972405</x:v>
      </x:c>
      <x:c r="D217" s="39" t="n">
        <x:v>-0.0693929616</x:v>
      </x:c>
      <x:c r="E217" s="39" t="n">
        <x:v>-0.0384167641</x:v>
      </x:c>
      <x:c r="F217" s="39" t="n">
        <x:v>-0.0345786786</x:v>
      </x:c>
      <x:c r="G217" s="39" t="n">
        <x:v>0.0007190368</x:v>
      </x:c>
      <x:c r="H217" s="39" t="n">
        <x:v>0.0140828865</x:v>
      </x:c>
      <x:c r="I217" s="39" t="n">
        <x:v>0.0502786594</x:v>
      </x:c>
      <x:c r="J217" s="39" t="n">
        <x:v>-0.1484111011</x:v>
      </x:c>
      <x:c r="K217" s="39" t="n">
        <x:v>0.0769968043</x:v>
      </x:c>
      <x:c r="L217" s="39" t="n">
        <x:v>-0.0795153878</x:v>
      </x:c>
      <x:c r="M217" s="39" t="n">
        <x:v>-0.0652171628</x:v>
      </x:c>
      <x:c r="N217" s="39" t="n">
        <x:v>-0.1460973976</x:v>
      </x:c>
      <x:c r="O217" s="39" t="n">
        <x:v>-0.0057674498</x:v>
      </x:c>
      <x:c r="P217" s="39" t="n">
        <x:v>-0.0438275452</x:v>
      </x:c>
      <x:c r="Q217" s="39" t="n">
        <x:v>-0.021096405</x:v>
      </x:c>
      <x:c r="R217" s="39" t="n">
        <x:v>-0.0742634169</x:v>
      </x:c>
      <x:c r="S217" s="39" t="n">
        <x:v>-0.1177429722</x:v>
      </x:c>
      <x:c r="T217" s="39" t="n">
        <x:v>0.0550264692</x:v>
      </x:c>
      <x:c r="U217" s="39" t="n">
        <x:v>-0.2596180928</x:v>
      </x:c>
      <x:c r="V217" s="39" t="n">
        <x:v>0.0213603593</x:v>
      </x:c>
      <x:c r="W217" s="39" t="n">
        <x:v>0.065943326</x:v>
      </x:c>
      <x:c r="X217" s="39" t="n">
        <x:v>-0.0051583411</x:v>
      </x:c>
      <x:c r="Y217" s="39" t="n">
        <x:v>0.0221920806</x:v>
      </x:c>
      <x:c r="Z217" s="39" t="n">
        <x:v>-0.0206735016</x:v>
      </x:c>
      <x:c r="AA217" s="39" t="n">
        <x:v>0.0285280319</x:v>
      </x:c>
      <x:c r="AB217" s="39" t="n">
        <x:v>0.0356350302</x:v>
      </x:c>
      <x:c r="AC217" s="39" t="n">
        <x:v>-0.084870529</x:v>
      </x:c>
      <x:c r="AD217" s="39" t="n">
        <x:v>0.0122320402</x:v>
      </x:c>
      <x:c r="AE217" s="39" t="n">
        <x:v>-0.0530658842</x:v>
      </x:c>
      <x:c r="AF217" s="39" t="n">
        <x:v>0.1493465005</x:v>
      </x:c>
      <x:c r="AG217" s="39" t="n">
        <x:v>-0.0022189871</x:v>
      </x:c>
      <x:c r="AH217" s="39" t="n">
        <x:v>-0.0460193275</x:v>
      </x:c>
      <x:c r="AI217" s="39" t="n">
        <x:v>-0.078360568</x:v>
      </x:c>
      <x:c r="AJ217" s="39" t="n">
        <x:v>0.1009525119</x:v>
      </x:c>
      <x:c r="AK217" s="39" t="n">
        <x:v>-0.0134621461</x:v>
      </x:c>
      <x:c r="AL217" s="39" t="n">
        <x:v>-0.0623089048</x:v>
      </x:c>
      <x:c r="AM217" s="39" t="n">
        <x:v>0.0497722173</x:v>
      </x:c>
      <x:c r="AN217" s="39" t="n">
        <x:v>0.003165007</x:v>
      </x:c>
      <x:c r="AO217" s="39" t="n">
        <x:v>0.0339600385</x:v>
      </x:c>
      <x:c r="AP217" s="39" t="n">
        <x:v>0.0995699426</x:v>
      </x:c>
      <x:c r="AQ217" s="39" t="n">
        <x:v>0.0059621297</x:v>
      </x:c>
      <x:c r="AR217" s="39" t="n">
        <x:v>-0.0018280965</x:v>
      </x:c>
      <x:c r="AS217" s="39" t="n">
        <x:v>-0.0080369963</x:v>
      </x:c>
    </x:row>
    <x:row r="218" ht="19" customHeight="1">
      <x:c r="A218" s="30" t="str">
        <x:v>Other FX</x:v>
      </x:c>
      <x:c r="B218" s="40" t="d">
        <x:v>2024-07-15T00:00:00.000Z</x:v>
      </x:c>
      <x:c r="C218" s="39" t="n">
        <x:v>-0.1441872539</x:v>
      </x:c>
      <x:c r="D218" s="39" t="n">
        <x:v>0.1024230562</x:v>
      </x:c>
      <x:c r="E218" s="39" t="n">
        <x:v>0.0652001087</x:v>
      </x:c>
      <x:c r="F218" s="39" t="n">
        <x:v>0.0488808641</x:v>
      </x:c>
      <x:c r="G218" s="39" t="n">
        <x:v>-0.0713306655</x:v>
      </x:c>
      <x:c r="H218" s="39" t="n">
        <x:v>-0.2089471137</x:v>
      </x:c>
      <x:c r="I218" s="39" t="n">
        <x:v>-0.0361872894</x:v>
      </x:c>
      <x:c r="J218" s="39" t="n">
        <x:v>-0.0991513256</x:v>
      </x:c>
      <x:c r="K218" s="39" t="n">
        <x:v>-0.0854192817</x:v>
      </x:c>
      <x:c r="L218" s="39" t="n">
        <x:v>-0.0142544013</x:v>
      </x:c>
      <x:c r="M218" s="39" t="n">
        <x:v>-0.021409393</x:v>
      </x:c>
      <x:c r="N218" s="39" t="n">
        <x:v>-0.0290894403</x:v>
      </x:c>
      <x:c r="O218" s="39" t="n">
        <x:v>0.0445792792</x:v>
      </x:c>
      <x:c r="P218" s="39" t="n">
        <x:v>-0.1446152792</x:v>
      </x:c>
      <x:c r="Q218" s="39" t="n">
        <x:v>0.0376978739</x:v>
      </x:c>
      <x:c r="R218" s="39" t="n">
        <x:v>-0.0353072348</x:v>
      </x:c>
      <x:c r="S218" s="39" t="n">
        <x:v>0.0203872756</x:v>
      </x:c>
      <x:c r="T218" s="39" t="n">
        <x:v>0.0104072234</x:v>
      </x:c>
      <x:c r="U218" s="39" t="n">
        <x:v>-0.1122044842</x:v>
      </x:c>
      <x:c r="V218" s="39" t="n">
        <x:v>0.0653274714</x:v>
      </x:c>
      <x:c r="W218" s="39" t="n">
        <x:v>-0.0905931387</x:v>
      </x:c>
      <x:c r="X218" s="39" t="n">
        <x:v>0.0563326069</x:v>
      </x:c>
      <x:c r="Y218" s="39" t="n">
        <x:v>-0.2798095932</x:v>
      </x:c>
      <x:c r="Z218" s="39" t="n">
        <x:v>0.0964745035</x:v>
      </x:c>
      <x:c r="AA218" s="39" t="n">
        <x:v>0.0542114729</x:v>
      </x:c>
      <x:c r="AB218" s="39" t="n">
        <x:v>-0.0700290779</x:v>
      </x:c>
      <x:c r="AC218" s="39" t="n">
        <x:v>0.2830942807</x:v>
      </x:c>
      <x:c r="AD218" s="39" t="n">
        <x:v>0.0000865007</x:v>
      </x:c>
      <x:c r="AE218" s="39" t="n">
        <x:v>0.1711271499</x:v>
      </x:c>
      <x:c r="AF218" s="39" t="n">
        <x:v>-0.0240579117</x:v>
      </x:c>
      <x:c r="AG218" s="39" t="n">
        <x:v>0.0109643989</x:v>
      </x:c>
      <x:c r="AH218" s="39" t="n">
        <x:v>0.0500406774</x:v>
      </x:c>
      <x:c r="AI218" s="39" t="n">
        <x:v>-0.1076985166</x:v>
      </x:c>
      <x:c r="AJ218" s="39" t="n">
        <x:v>-0.0343325686</x:v>
      </x:c>
      <x:c r="AK218" s="39" t="n">
        <x:v>0.0294939549</x:v>
      </x:c>
      <x:c r="AL218" s="39" t="n">
        <x:v>-0.0344300396</x:v>
      </x:c>
      <x:c r="AM218" s="39" t="n">
        <x:v>-0.0323391886</x:v>
      </x:c>
      <x:c r="AN218" s="39" t="n">
        <x:v>-0.0363828405</x:v>
      </x:c>
      <x:c r="AO218" s="39" t="n">
        <x:v>-0.0290481791</x:v>
      </x:c>
      <x:c r="AP218" s="39" t="n">
        <x:v>0.0177460585</x:v>
      </x:c>
      <x:c r="AQ218" s="39" t="n">
        <x:v>0.0311567589</x:v>
      </x:c>
      <x:c r="AR218" s="39" t="n">
        <x:v>0.0309336236</x:v>
      </x:c>
      <x:c r="AS218" s="39" t="n">
        <x:v>0.0544266172</x:v>
      </x:c>
    </x:row>
    <x:row r="219" ht="19" customHeight="1">
      <x:c r="A219" s="30" t="str">
        <x:v>Other FX</x:v>
      </x:c>
      <x:c r="B219" s="40" t="d">
        <x:v>2024-08-12T00:00:00.000Z</x:v>
      </x:c>
      <x:c r="C219" s="39" t="n">
        <x:v>0.0424356674</x:v>
      </x:c>
      <x:c r="D219" s="39" t="n">
        <x:v>0.0047834524</x:v>
      </x:c>
      <x:c r="E219" s="39" t="n">
        <x:v>0.0496518007</x:v>
      </x:c>
      <x:c r="F219" s="39" t="n">
        <x:v>0.082778378</x:v>
      </x:c>
      <x:c r="G219" s="39" t="n">
        <x:v>-0.0766207714</x:v>
      </x:c>
      <x:c r="H219" s="39" t="n">
        <x:v>-0.0207551372</x:v>
      </x:c>
      <x:c r="I219" s="39" t="n">
        <x:v>-0.0386911931</x:v>
      </x:c>
      <x:c r="J219" s="39" t="n">
        <x:v>0.0497297556</x:v>
      </x:c>
      <x:c r="K219" s="39" t="n">
        <x:v>-0.1476235641</x:v>
      </x:c>
      <x:c r="L219" s="39" t="n">
        <x:v>0.0190924039</x:v>
      </x:c>
      <x:c r="M219" s="39" t="n">
        <x:v>0.1460713242</x:v>
      </x:c>
      <x:c r="N219" s="39" t="n">
        <x:v>-0.0868703339</x:v>
      </x:c>
      <x:c r="O219" s="39" t="n">
        <x:v>0.0260900011</x:v>
      </x:c>
      <x:c r="P219" s="39" t="n">
        <x:v>-0.140696969</x:v>
      </x:c>
      <x:c r="Q219" s="39" t="n">
        <x:v>0.0080212651</x:v>
      </x:c>
      <x:c r="R219" s="39" t="n">
        <x:v>0.1545405061</x:v>
      </x:c>
      <x:c r="S219" s="39" t="n">
        <x:v>0.0385249466</x:v>
      </x:c>
      <x:c r="T219" s="39" t="n">
        <x:v>0.053039465</x:v>
      </x:c>
      <x:c r="U219" s="39" t="n">
        <x:v>-0.3705934294</x:v>
      </x:c>
      <x:c r="V219" s="39" t="n">
        <x:v>0.2202334351</x:v>
      </x:c>
      <x:c r="W219" s="39" t="n">
        <x:v>0.0715412309</x:v>
      </x:c>
      <x:c r="X219" s="39" t="n">
        <x:v>-0.0046297395</x:v>
      </x:c>
      <x:c r="Y219" s="39" t="n">
        <x:v>-0.1079022149</x:v>
      </x:c>
      <x:c r="Z219" s="39" t="n">
        <x:v>0.0708822116</x:v>
      </x:c>
      <x:c r="AA219" s="39" t="n">
        <x:v>0.0833961913</x:v>
      </x:c>
      <x:c r="AB219" s="39" t="n">
        <x:v>-0.1252097225</x:v>
      </x:c>
      <x:c r="AC219" s="39" t="n">
        <x:v>0.3226516972</x:v>
      </x:c>
      <x:c r="AD219" s="39" t="n">
        <x:v>-0.0005091895</x:v>
      </x:c>
      <x:c r="AE219" s="39" t="n">
        <x:v>-0.3155995897</x:v>
      </x:c>
      <x:c r="AF219" s="39" t="n">
        <x:v>-0.1062110854</x:v>
      </x:c>
      <x:c r="AG219" s="39" t="n">
        <x:v>0.0042866808</x:v>
      </x:c>
      <x:c r="AH219" s="39" t="n">
        <x:v>0.0261808724</x:v>
      </x:c>
      <x:c r="AI219" s="39" t="n">
        <x:v>-0.0513398349</x:v>
      </x:c>
      <x:c r="AJ219" s="39" t="n">
        <x:v>0.0850387321</x:v>
      </x:c>
      <x:c r="AK219" s="39" t="n">
        <x:v>0.0754420539</x:v>
      </x:c>
      <x:c r="AL219" s="39" t="n">
        <x:v>0.1030745134</x:v>
      </x:c>
      <x:c r="AM219" s="39" t="n">
        <x:v>-0.0479557355</x:v>
      </x:c>
      <x:c r="AN219" s="39" t="n">
        <x:v>-0.1171333807</x:v>
      </x:c>
      <x:c r="AO219" s="39" t="n">
        <x:v>0.0343520069</x:v>
      </x:c>
      <x:c r="AP219" s="39" t="n">
        <x:v>-0.0053115516</x:v>
      </x:c>
      <x:c r="AQ219" s="39" t="n">
        <x:v>0.0583003757</x:v>
      </x:c>
      <x:c r="AR219" s="39" t="n">
        <x:v>0.024222956</x:v>
      </x:c>
      <x:c r="AS219" s="39" t="n">
        <x:v>0.0171753227</x:v>
      </x:c>
    </x:row>
    <x:row r="220" ht="19" customHeight="1">
      <x:c r="A220" s="30" t="str">
        <x:v>Other FX</x:v>
      </x:c>
      <x:c r="B220" s="40" t="d">
        <x:v>2024-09-09T00:00:00.000Z</x:v>
      </x:c>
      <x:c r="C220" s="39" t="n">
        <x:v>0.0875815923</x:v>
      </x:c>
      <x:c r="D220" s="39" t="n">
        <x:v>-0.0893763772</x:v>
      </x:c>
      <x:c r="E220" s="39" t="n">
        <x:v>0.0696237288</x:v>
      </x:c>
      <x:c r="F220" s="39" t="n">
        <x:v>0.0903451188</x:v>
      </x:c>
      <x:c r="G220" s="39" t="n">
        <x:v>0.0112740298</x:v>
      </x:c>
      <x:c r="H220" s="39" t="n">
        <x:v>0.0716699017</x:v>
      </x:c>
      <x:c r="I220" s="39" t="n">
        <x:v>0.0604062481</x:v>
      </x:c>
      <x:c r="J220" s="39" t="n">
        <x:v>-0.001603252</x:v>
      </x:c>
      <x:c r="K220" s="39" t="n">
        <x:v>-0.1099956985</x:v>
      </x:c>
      <x:c r="L220" s="39" t="n">
        <x:v>-0.1276557691</x:v>
      </x:c>
      <x:c r="M220" s="39" t="n">
        <x:v>-0.0264655831</x:v>
      </x:c>
      <x:c r="N220" s="39" t="n">
        <x:v>-0.0447110478</x:v>
      </x:c>
      <x:c r="O220" s="39" t="n">
        <x:v>-0.0149024945</x:v>
      </x:c>
      <x:c r="P220" s="39" t="n">
        <x:v>-0.040655736</x:v>
      </x:c>
      <x:c r="Q220" s="39" t="n">
        <x:v>-0.1916339739</x:v>
      </x:c>
      <x:c r="R220" s="39" t="n">
        <x:v>0.083145805</x:v>
      </x:c>
      <x:c r="S220" s="39" t="n">
        <x:v>0.0433745277</x:v>
      </x:c>
      <x:c r="T220" s="39" t="n">
        <x:v>-0.0548291088</x:v>
      </x:c>
      <x:c r="U220" s="39" t="n">
        <x:v>-0.2915984101</x:v>
      </x:c>
      <x:c r="V220" s="39" t="n">
        <x:v>0.0182977615</x:v>
      </x:c>
      <x:c r="W220" s="39" t="n">
        <x:v>0.0390425571</x:v>
      </x:c>
      <x:c r="X220" s="39" t="n">
        <x:v>-0.0055497009</x:v>
      </x:c>
      <x:c r="Y220" s="39" t="n">
        <x:v>-0.257794684</x:v>
      </x:c>
      <x:c r="Z220" s="39" t="n">
        <x:v>0.0491496062</x:v>
      </x:c>
      <x:c r="AA220" s="39" t="n">
        <x:v>0.0928319164</x:v>
      </x:c>
      <x:c r="AB220" s="39" t="n">
        <x:v>0.311968602</x:v>
      </x:c>
      <x:c r="AC220" s="39" t="n">
        <x:v>0.037957721</x:v>
      </x:c>
      <x:c r="AD220" s="39" t="n">
        <x:v>0.0347340123</x:v>
      </x:c>
      <x:c r="AE220" s="39" t="n">
        <x:v>-0.0036408786</x:v>
      </x:c>
      <x:c r="AF220" s="39" t="n">
        <x:v>-0.0988588814</x:v>
      </x:c>
      <x:c r="AG220" s="39" t="n">
        <x:v>-0.1760845876</x:v>
      </x:c>
      <x:c r="AH220" s="39" t="n">
        <x:v>-0.0537929873</x:v>
      </x:c>
      <x:c r="AI220" s="39" t="n">
        <x:v>-0.0144763848</x:v>
      </x:c>
      <x:c r="AJ220" s="39" t="n">
        <x:v>0.0020056816</x:v>
      </x:c>
      <x:c r="AK220" s="39" t="n">
        <x:v>0.1017563349</x:v>
      </x:c>
      <x:c r="AL220" s="39" t="n">
        <x:v>0.0254793222</x:v>
      </x:c>
      <x:c r="AM220" s="39" t="n">
        <x:v>0.0332377336</x:v>
      </x:c>
      <x:c r="AN220" s="39" t="n">
        <x:v>-0.0657998218</x:v>
      </x:c>
      <x:c r="AO220" s="39" t="n">
        <x:v>0.0411676217</x:v>
      </x:c>
      <x:c r="AP220" s="39" t="n">
        <x:v>0.0544145881</x:v>
      </x:c>
      <x:c r="AQ220" s="39" t="n">
        <x:v>0.0284008969</x:v>
      </x:c>
      <x:c r="AR220" s="39" t="n">
        <x:v>0.0374424377</x:v>
      </x:c>
      <x:c r="AS220" s="39" t="n">
        <x:v>-0.0060134189</x:v>
      </x:c>
    </x:row>
    <x:row r="221" ht="19" customHeight="1">
      <x:c r="A221" s="30" t="str">
        <x:v>Other FX</x:v>
      </x:c>
      <x:c r="B221" s="40" t="d">
        <x:v>2024-10-07T00:00:00.000Z</x:v>
      </x:c>
      <x:c r="C221" s="39" t="n">
        <x:v>0.4532663342</x:v>
      </x:c>
      <x:c r="D221" s="39" t="n">
        <x:v>0.0127385703</x:v>
      </x:c>
      <x:c r="E221" s="39" t="n">
        <x:v>-0.0849123929</x:v>
      </x:c>
      <x:c r="F221" s="39" t="n">
        <x:v>0.0325275596</x:v>
      </x:c>
      <x:c r="G221" s="39" t="n">
        <x:v>0.03899461</x:v>
      </x:c>
      <x:c r="H221" s="39" t="n">
        <x:v>0.0433785462</x:v>
      </x:c>
      <x:c r="I221" s="39" t="n">
        <x:v>0.01465991</x:v>
      </x:c>
      <x:c r="J221" s="39" t="n">
        <x:v>0.1472942464</x:v>
      </x:c>
      <x:c r="K221" s="39" t="n">
        <x:v>0.0697168665</x:v>
      </x:c>
      <x:c r="L221" s="39" t="n">
        <x:v>0.0689989253</x:v>
      </x:c>
      <x:c r="M221" s="39" t="n">
        <x:v>0.1225899876</x:v>
      </x:c>
      <x:c r="N221" s="39" t="n">
        <x:v>0.0648867465</x:v>
      </x:c>
      <x:c r="O221" s="39" t="n">
        <x:v>0.007283099</x:v>
      </x:c>
      <x:c r="P221" s="39" t="n">
        <x:v>-0.0644603205</x:v>
      </x:c>
      <x:c r="Q221" s="39" t="n">
        <x:v>0.0928271443</x:v>
      </x:c>
      <x:c r="R221" s="39" t="n">
        <x:v>0.101755655</x:v>
      </x:c>
      <x:c r="S221" s="39" t="n">
        <x:v>0.0114577236</x:v>
      </x:c>
      <x:c r="T221" s="39" t="n">
        <x:v>0.2047241152</x:v>
      </x:c>
      <x:c r="U221" s="39" t="n">
        <x:v>-0.203740971</x:v>
      </x:c>
      <x:c r="V221" s="39" t="n">
        <x:v>0.1607553618</x:v>
      </x:c>
      <x:c r="W221" s="39" t="n">
        <x:v>0.0427960956</x:v>
      </x:c>
      <x:c r="X221" s="39" t="n">
        <x:v>0.0525273177</x:v>
      </x:c>
      <x:c r="Y221" s="39" t="n">
        <x:v>0.1233393964</x:v>
      </x:c>
      <x:c r="Z221" s="39" t="n">
        <x:v>-0.0289022522</x:v>
      </x:c>
      <x:c r="AA221" s="39" t="n">
        <x:v>-0.005884793</x:v>
      </x:c>
      <x:c r="AB221" s="39" t="n">
        <x:v>0.0533283537</x:v>
      </x:c>
      <x:c r="AC221" s="39" t="n">
        <x:v>0.2505361613</x:v>
      </x:c>
      <x:c r="AD221" s="39" t="n">
        <x:v>-0.0295573095</x:v>
      </x:c>
      <x:c r="AE221" s="39" t="n">
        <x:v>-0.0241097938</x:v>
      </x:c>
      <x:c r="AF221" s="39" t="n">
        <x:v>0.2288314718</x:v>
      </x:c>
      <x:c r="AG221" s="39" t="n">
        <x:v>-0.0634156346</x:v>
      </x:c>
      <x:c r="AH221" s="39" t="n">
        <x:v>-0.0329308871</x:v>
      </x:c>
      <x:c r="AI221" s="39" t="n">
        <x:v>0.0680044919</x:v>
      </x:c>
      <x:c r="AJ221" s="39" t="n">
        <x:v>0.0106247272</x:v>
      </x:c>
      <x:c r="AK221" s="39" t="n">
        <x:v>-0.0742567796</x:v>
      </x:c>
      <x:c r="AL221" s="39" t="n">
        <x:v>0.0318295051</x:v>
      </x:c>
      <x:c r="AM221" s="39" t="n">
        <x:v>-0.0397911846</x:v>
      </x:c>
      <x:c r="AN221" s="39" t="n">
        <x:v>0.0130466485</x:v>
      </x:c>
      <x:c r="AO221" s="39" t="n">
        <x:v>-0.0549363832</x:v>
      </x:c>
      <x:c r="AP221" s="39" t="n">
        <x:v>0.0845409259</x:v>
      </x:c>
      <x:c r="AQ221" s="39" t="n">
        <x:v>-0.049216707</x:v>
      </x:c>
      <x:c r="AR221" s="39" t="n">
        <x:v>-0.0457931767</x:v>
      </x:c>
      <x:c r="AS221" s="39" t="n">
        <x:v>0.0175174089</x:v>
      </x:c>
    </x:row>
    <x:row r="222" ht="19" customHeight="1">
      <x:c r="A222" s="30" t="str">
        <x:v>Other FX</x:v>
      </x:c>
      <x:c r="B222" s="40" t="d">
        <x:v>2024-11-04T00:00:00.000Z</x:v>
      </x:c>
      <x:c r="C222" s="39" t="n">
        <x:v>0.1490706633</x:v>
      </x:c>
      <x:c r="D222" s="39" t="n">
        <x:v>-0.0724849474</x:v>
      </x:c>
      <x:c r="E222" s="39" t="n">
        <x:v>0.0065213685</x:v>
      </x:c>
      <x:c r="F222" s="39" t="n">
        <x:v>0.1573032157</x:v>
      </x:c>
      <x:c r="G222" s="39" t="n">
        <x:v>0.0904788245</x:v>
      </x:c>
      <x:c r="H222" s="39" t="n">
        <x:v>0.0348488027</x:v>
      </x:c>
      <x:c r="I222" s="39" t="n">
        <x:v>0.1168804394</x:v>
      </x:c>
      <x:c r="J222" s="39" t="n">
        <x:v>0.1239179064</x:v>
      </x:c>
      <x:c r="K222" s="39" t="n">
        <x:v>-0.031550262</x:v>
      </x:c>
      <x:c r="L222" s="39" t="n">
        <x:v>-0.0484996258</x:v>
      </x:c>
      <x:c r="M222" s="39" t="n">
        <x:v>-0.0572578386</x:v>
      </x:c>
      <x:c r="N222" s="39" t="n">
        <x:v>0.0400384081</x:v>
      </x:c>
      <x:c r="O222" s="39" t="n">
        <x:v>0.0739844295</x:v>
      </x:c>
      <x:c r="P222" s="39" t="n">
        <x:v>0.0957271684</x:v>
      </x:c>
      <x:c r="Q222" s="39" t="n">
        <x:v>-0.0350743083</x:v>
      </x:c>
      <x:c r="R222" s="39" t="n">
        <x:v>-0.1588063417</x:v>
      </x:c>
      <x:c r="S222" s="39" t="n">
        <x:v>0.0336055734</x:v>
      </x:c>
      <x:c r="T222" s="39" t="n">
        <x:v>-0.0287834534</x:v>
      </x:c>
      <x:c r="U222" s="39" t="n">
        <x:v>-0.1757989927</x:v>
      </x:c>
      <x:c r="V222" s="39" t="n">
        <x:v>0.3914608248</x:v>
      </x:c>
      <x:c r="W222" s="39" t="n">
        <x:v>0.1140842444</x:v>
      </x:c>
      <x:c r="X222" s="39" t="n">
        <x:v>0.1222543467</x:v>
      </x:c>
      <x:c r="Y222" s="39" t="n">
        <x:v>0.0701705589</x:v>
      </x:c>
      <x:c r="Z222" s="39" t="n">
        <x:v>-0.1320106736</x:v>
      </x:c>
      <x:c r="AA222" s="39" t="n">
        <x:v>0.0345130241</x:v>
      </x:c>
      <x:c r="AB222" s="39" t="n">
        <x:v>0.0290742273</x:v>
      </x:c>
      <x:c r="AC222" s="39" t="n">
        <x:v>0.6512574116</x:v>
      </x:c>
      <x:c r="AD222" s="39" t="n">
        <x:v>0.006932207</x:v>
      </x:c>
      <x:c r="AE222" s="39" t="n">
        <x:v>0.0945560213</x:v>
      </x:c>
      <x:c r="AF222" s="39" t="n">
        <x:v>0.0768461422</x:v>
      </x:c>
      <x:c r="AG222" s="39" t="n">
        <x:v>0.0640700408</x:v>
      </x:c>
      <x:c r="AH222" s="39" t="n">
        <x:v>-0.2512666343</x:v>
      </x:c>
      <x:c r="AI222" s="39" t="n">
        <x:v>-0.1303861757</x:v>
      </x:c>
      <x:c r="AJ222" s="39" t="n">
        <x:v>-0.1366488016</x:v>
      </x:c>
      <x:c r="AK222" s="39" t="n">
        <x:v>0.1347203316</x:v>
      </x:c>
      <x:c r="AL222" s="39" t="n">
        <x:v>0.0509584228</x:v>
      </x:c>
      <x:c r="AM222" s="39" t="n">
        <x:v>0.0177578671</x:v>
      </x:c>
      <x:c r="AN222" s="39" t="n">
        <x:v>0.1182766524</x:v>
      </x:c>
      <x:c r="AO222" s="39" t="n">
        <x:v>0.0852856578</x:v>
      </x:c>
      <x:c r="AP222" s="39" t="n">
        <x:v>0.0061054652</x:v>
      </x:c>
      <x:c r="AQ222" s="39" t="n">
        <x:v>-0.0825746874</x:v>
      </x:c>
      <x:c r="AR222" s="39" t="n">
        <x:v>-0.0387460886</x:v>
      </x:c>
      <x:c r="AS222" s="39" t="n">
        <x:v>0.015569895</x:v>
      </x:c>
    </x:row>
    <x:row r="223" ht="19" customHeight="1">
      <x:c r="A223" s="30" t="str">
        <x:v>Other FX</x:v>
      </x:c>
      <x:c r="B223" s="40" t="d">
        <x:v>2024-12-02T00:00:00.000Z</x:v>
      </x:c>
      <x:c r="C223" s="39" t="n">
        <x:v>0.145643113</x:v>
      </x:c>
      <x:c r="D223" s="39" t="n">
        <x:v>0.14748253</x:v>
      </x:c>
      <x:c r="E223" s="39" t="n">
        <x:v>0.01503718</x:v>
      </x:c>
      <x:c r="F223" s="39" t="n">
        <x:v>0.0306564655</x:v>
      </x:c>
      <x:c r="G223" s="39" t="n">
        <x:v>0.2343820088</x:v>
      </x:c>
      <x:c r="H223" s="39" t="n">
        <x:v>0.1657644787</x:v>
      </x:c>
      <x:c r="I223" s="39" t="n">
        <x:v>0.105266508</x:v>
      </x:c>
      <x:c r="J223" s="39" t="n">
        <x:v>0.094522934</x:v>
      </x:c>
      <x:c r="K223" s="39" t="n">
        <x:v>-0.0626820812</x:v>
      </x:c>
      <x:c r="L223" s="39" t="n">
        <x:v>-0.0376396998</x:v>
      </x:c>
      <x:c r="M223" s="39" t="n">
        <x:v>0.0738556799</x:v>
      </x:c>
      <x:c r="N223" s="39" t="n">
        <x:v>0.0292017984</x:v>
      </x:c>
      <x:c r="O223" s="39" t="n">
        <x:v>0.0737792852</x:v>
      </x:c>
      <x:c r="P223" s="39" t="n">
        <x:v>0.0461340048</x:v>
      </x:c>
      <x:c r="Q223" s="39" t="n">
        <x:v>0.0850276512</x:v>
      </x:c>
      <x:c r="R223" s="39" t="n">
        <x:v>0.0515677147</x:v>
      </x:c>
      <x:c r="S223" s="39" t="n">
        <x:v>0.0876120979</x:v>
      </x:c>
      <x:c r="T223" s="39" t="n">
        <x:v>0.2591987038</x:v>
      </x:c>
      <x:c r="U223" s="39" t="n">
        <x:v>0.0360287866</x:v>
      </x:c>
      <x:c r="V223" s="39" t="n">
        <x:v>0.1592403213</x:v>
      </x:c>
      <x:c r="W223" s="39" t="n">
        <x:v>0.196588571</x:v>
      </x:c>
      <x:c r="X223" s="39" t="n">
        <x:v>0.0334705619</x:v>
      </x:c>
      <x:c r="Y223" s="39" t="n">
        <x:v>-0.096300314</x:v>
      </x:c>
      <x:c r="Z223" s="39" t="n">
        <x:v>0.005442167</x:v>
      </x:c>
      <x:c r="AA223" s="39" t="n">
        <x:v>-0.0327586547</x:v>
      </x:c>
      <x:c r="AB223" s="39" t="n">
        <x:v>-0.2792153847</x:v>
      </x:c>
      <x:c r="AC223" s="39" t="n">
        <x:v>-0.0589827864</x:v>
      </x:c>
      <x:c r="AD223" s="39" t="n">
        <x:v>0.0715054004</x:v>
      </x:c>
      <x:c r="AE223" s="39" t="n">
        <x:v>0.0088518838</x:v>
      </x:c>
      <x:c r="AF223" s="39" t="n">
        <x:v>0.1009314758</x:v>
      </x:c>
      <x:c r="AG223" s="39" t="n">
        <x:v>0.0868058536</x:v>
      </x:c>
      <x:c r="AH223" s="39" t="n">
        <x:v>-0.0303064137</x:v>
      </x:c>
      <x:c r="AI223" s="39" t="n">
        <x:v>-0.0495914874</x:v>
      </x:c>
      <x:c r="AJ223" s="39" t="n">
        <x:v>-0.0050648751</x:v>
      </x:c>
      <x:c r="AK223" s="39" t="n">
        <x:v>-0.0331101474</x:v>
      </x:c>
      <x:c r="AL223" s="39" t="n">
        <x:v>-0.097218127</x:v>
      </x:c>
      <x:c r="AM223" s="39" t="n">
        <x:v>0.0614155274</x:v>
      </x:c>
      <x:c r="AN223" s="39" t="n">
        <x:v>-0.0073825355</x:v>
      </x:c>
      <x:c r="AO223" s="39" t="n">
        <x:v>0.0774398411</x:v>
      </x:c>
      <x:c r="AP223" s="39" t="n">
        <x:v>0.1083922134</x:v>
      </x:c>
      <x:c r="AQ223" s="39" t="n">
        <x:v>0.0061271273</x:v>
      </x:c>
      <x:c r="AR223" s="39" t="n">
        <x:v>-0.029904572</x:v>
      </x:c>
      <x:c r="AS223" s="39" t="n">
        <x:v>0.028617097</x:v>
      </x:c>
    </x:row>
    <x:row r="224" ht="19" customHeight="1">
      <x:c r="A224" s="30" t="str">
        <x:v>Other FX</x:v>
      </x:c>
      <x:c r="B224" s="40" t="d">
        <x:v>2024-12-30T00:00:00.000Z</x:v>
      </x:c>
      <x:c r="C224" s="39" t="n">
        <x:v>0.0201833873</x:v>
      </x:c>
      <x:c r="D224" s="39" t="n">
        <x:v>-0.0599227315</x:v>
      </x:c>
      <x:c r="E224" s="39" t="n">
        <x:v>-0.0291839448</x:v>
      </x:c>
      <x:c r="F224" s="39" t="n">
        <x:v>0.0145417574</x:v>
      </x:c>
      <x:c r="G224" s="39" t="n">
        <x:v>-0.0216894967</x:v>
      </x:c>
      <x:c r="H224" s="39" t="n">
        <x:v>-0.077155833</x:v>
      </x:c>
      <x:c r="I224" s="39" t="n">
        <x:v>-0.015504724</x:v>
      </x:c>
      <x:c r="J224" s="39" t="n">
        <x:v>-0.1237247351</x:v>
      </x:c>
      <x:c r="K224" s="39" t="n">
        <x:v>-0.0644487042</x:v>
      </x:c>
      <x:c r="L224" s="39" t="n">
        <x:v>-0.0699383844</x:v>
      </x:c>
      <x:c r="M224" s="39" t="n">
        <x:v>0.0009745108</x:v>
      </x:c>
      <x:c r="N224" s="39" t="n">
        <x:v>0.0511111342</x:v>
      </x:c>
      <x:c r="O224" s="39" t="n">
        <x:v>-0.0769300219</x:v>
      </x:c>
      <x:c r="P224" s="39" t="n">
        <x:v>-0.1097327344</x:v>
      </x:c>
      <x:c r="Q224" s="39" t="n">
        <x:v>0.0799800683</x:v>
      </x:c>
      <x:c r="R224" s="39" t="n">
        <x:v>-0.1446113991</x:v>
      </x:c>
      <x:c r="S224" s="39" t="n">
        <x:v>0.0151125852</x:v>
      </x:c>
      <x:c r="T224" s="39" t="n">
        <x:v>0.0191499644</x:v>
      </x:c>
      <x:c r="U224" s="39" t="n">
        <x:v>0.0312124249</x:v>
      </x:c>
      <x:c r="V224" s="39" t="n">
        <x:v>-0.1658379577</x:v>
      </x:c>
      <x:c r="W224" s="39" t="n">
        <x:v>-0.0728589504</x:v>
      </x:c>
      <x:c r="X224" s="39" t="n">
        <x:v>-0.11477776</x:v>
      </x:c>
      <x:c r="Y224" s="39" t="n">
        <x:v>-0.1214174985</x:v>
      </x:c>
      <x:c r="Z224" s="39" t="n">
        <x:v>0.0104151904</x:v>
      </x:c>
      <x:c r="AA224" s="39" t="n">
        <x:v>-0.0612025311</x:v>
      </x:c>
      <x:c r="AB224" s="39" t="n">
        <x:v>-0.022869397</x:v>
      </x:c>
      <x:c r="AC224" s="39" t="n">
        <x:v>-0.2287837283</x:v>
      </x:c>
      <x:c r="AD224" s="39" t="n">
        <x:v>-0.0364428496</x:v>
      </x:c>
      <x:c r="AE224" s="39" t="n">
        <x:v>-0.0184010645</x:v>
      </x:c>
      <x:c r="AF224" s="39" t="n">
        <x:v>-0.1070318533</x:v>
      </x:c>
      <x:c r="AG224" s="39" t="n">
        <x:v>0.1873678119</x:v>
      </x:c>
      <x:c r="AH224" s="39" t="n">
        <x:v>0.0511001216</x:v>
      </x:c>
      <x:c r="AI224" s="39" t="n">
        <x:v>-0.0964292507</x:v>
      </x:c>
      <x:c r="AJ224" s="39" t="n">
        <x:v>-0.0685121992</x:v>
      </x:c>
      <x:c r="AK224" s="39" t="n">
        <x:v>-0.0326559765</x:v>
      </x:c>
      <x:c r="AL224" s="39" t="n">
        <x:v>0.0616488713</x:v>
      </x:c>
      <x:c r="AM224" s="39" t="n">
        <x:v>-0.057465775</x:v>
      </x:c>
      <x:c r="AN224" s="39" t="n">
        <x:v>0.1322757934</x:v>
      </x:c>
      <x:c r="AO224" s="39" t="n">
        <x:v>-0.0832226153</x:v>
      </x:c>
      <x:c r="AP224" s="39" t="n">
        <x:v>-0.1000450069</x:v>
      </x:c>
      <x:c r="AQ224" s="39" t="n">
        <x:v>0.006695377</x:v>
      </x:c>
      <x:c r="AR224" s="39" t="n">
        <x:v>-0.0344128241</x:v>
      </x:c>
      <x:c r="AS224" s="39" t="n">
        <x:v>-0.0358911152</x:v>
      </x:c>
    </x:row>
    <x:row r="225" ht="19" customHeight="1">
      <x:c r="A225" s="30" t="str">
        <x:v>Other FX</x:v>
      </x:c>
      <x:c r="B225" s="40" t="d">
        <x:v>2025-01-27T00:00:00.000Z</x:v>
      </x:c>
      <x:c r="C225" s="39" t="n">
        <x:v>0.0428795193</x:v>
      </x:c>
      <x:c r="D225" s="39" t="n">
        <x:v>-0.0402676341</x:v>
      </x:c>
      <x:c r="E225" s="39" t="n">
        <x:v>0.0705107377</x:v>
      </x:c>
      <x:c r="F225" s="39" t="n">
        <x:v>0.0696980512</x:v>
      </x:c>
      <x:c r="G225" s="39" t="n">
        <x:v>0.0182339578</x:v>
      </x:c>
      <x:c r="H225" s="39" t="n">
        <x:v>-0.0330236329</x:v>
      </x:c>
      <x:c r="I225" s="39" t="n">
        <x:v>0.0729906749</x:v>
      </x:c>
      <x:c r="J225" s="39" t="n">
        <x:v>-0.0903444285</x:v>
      </x:c>
      <x:c r="K225" s="39" t="n">
        <x:v>0.0043810958</x:v>
      </x:c>
      <x:c r="L225" s="39" t="n">
        <x:v>0.0950712859</x:v>
      </x:c>
      <x:c r="M225" s="39" t="n">
        <x:v>0.0511574144</x:v>
      </x:c>
      <x:c r="N225" s="39" t="n">
        <x:v>0.1124877683</x:v>
      </x:c>
      <x:c r="O225" s="39" t="n">
        <x:v>0.152735735</x:v>
      </x:c>
      <x:c r="P225" s="39" t="n">
        <x:v>-0.0337060094</x:v>
      </x:c>
      <x:c r="Q225" s="39" t="n">
        <x:v>-0.1047622376</x:v>
      </x:c>
      <x:c r="R225" s="39" t="n">
        <x:v>0.1867518194</x:v>
      </x:c>
      <x:c r="S225" s="39" t="n">
        <x:v>0.0101981972</x:v>
      </x:c>
      <x:c r="T225" s="39" t="n">
        <x:v>0.2343025772</x:v>
      </x:c>
      <x:c r="U225" s="39" t="n">
        <x:v>-0.0906538289</x:v>
      </x:c>
      <x:c r="V225" s="39" t="n">
        <x:v>0.1019646312</x:v>
      </x:c>
      <x:c r="W225" s="39" t="n">
        <x:v>0.128822754</x:v>
      </x:c>
      <x:c r="X225" s="39" t="n">
        <x:v>-0.1307256991</x:v>
      </x:c>
      <x:c r="Y225" s="39" t="n">
        <x:v>-0.0380616295</x:v>
      </x:c>
      <x:c r="Z225" s="39" t="n">
        <x:v>0.1148904068</x:v>
      </x:c>
      <x:c r="AA225" s="39" t="n">
        <x:v>0.0453909945</x:v>
      </x:c>
      <x:c r="AB225" s="39" t="n">
        <x:v>-0.5452064138</x:v>
      </x:c>
      <x:c r="AC225" s="39" t="n">
        <x:v>0.0128966789</x:v>
      </x:c>
      <x:c r="AD225" s="39" t="n">
        <x:v>0.0084392407</x:v>
      </x:c>
      <x:c r="AE225" s="39" t="n">
        <x:v>0.0058345566</x:v>
      </x:c>
      <x:c r="AF225" s="39" t="n">
        <x:v>-0.0365979481</x:v>
      </x:c>
      <x:c r="AG225" s="39" t="n">
        <x:v>0.0366639085</x:v>
      </x:c>
      <x:c r="AH225" s="39" t="n">
        <x:v>0.0434730583</x:v>
      </x:c>
      <x:c r="AI225" s="39" t="n">
        <x:v>-0.1374103577</x:v>
      </x:c>
      <x:c r="AJ225" s="39" t="n">
        <x:v>0.0456417036</x:v>
      </x:c>
      <x:c r="AK225" s="39" t="n">
        <x:v>0.0747287505</x:v>
      </x:c>
      <x:c r="AL225" s="39" t="n">
        <x:v>0.0130365751</x:v>
      </x:c>
      <x:c r="AM225" s="39" t="n">
        <x:v>-0.024703866</x:v>
      </x:c>
      <x:c r="AN225" s="39" t="n">
        <x:v>0.0520949737</x:v>
      </x:c>
      <x:c r="AO225" s="39" t="n">
        <x:v>0.0671067839</x:v>
      </x:c>
      <x:c r="AP225" s="39" t="n">
        <x:v>0.0640641338</x:v>
      </x:c>
      <x:c r="AQ225" s="39" t="n">
        <x:v>0.0200339293</x:v>
      </x:c>
      <x:c r="AR225" s="39" t="n">
        <x:v>0.0530690364</x:v>
      </x:c>
      <x:c r="AS225" s="39" t="n">
        <x:v>0.0280460392</x:v>
      </x:c>
    </x:row>
    <x:row r="226" ht="19" customHeight="1">
      <x:c r="A226" s="30" t="str">
        <x:v>Other FX</x:v>
      </x:c>
      <x:c r="B226" s="40" t="d">
        <x:v>2025-02-24T00:00:00.000Z</x:v>
      </x:c>
      <x:c r="C226" s="39" t="n">
        <x:v>-0.2899232366</x:v>
      </x:c>
      <x:c r="D226" s="39" t="n">
        <x:v>-0.1130026692</x:v>
      </x:c>
      <x:c r="E226" s="39" t="n">
        <x:v>0.1037865168</x:v>
      </x:c>
      <x:c r="F226" s="39" t="n">
        <x:v>0.1030463009</x:v>
      </x:c>
      <x:c r="G226" s="39" t="n">
        <x:v>0.0150946373</x:v>
      </x:c>
      <x:c r="H226" s="39" t="n">
        <x:v>-0.0925697047</x:v>
      </x:c>
      <x:c r="I226" s="39" t="n">
        <x:v>-0.1431847245</x:v>
      </x:c>
      <x:c r="J226" s="39" t="n">
        <x:v>-0.2740430861</x:v>
      </x:c>
      <x:c r="K226" s="39" t="n">
        <x:v>0.0022203783</x:v>
      </x:c>
      <x:c r="L226" s="39" t="n">
        <x:v>-0.0218098367</x:v>
      </x:c>
      <x:c r="M226" s="39" t="n">
        <x:v>-0.1561028139</x:v>
      </x:c>
      <x:c r="N226" s="39" t="n">
        <x:v>-0.006790633</x:v>
      </x:c>
      <x:c r="O226" s="39" t="n">
        <x:v>-0.009801613</x:v>
      </x:c>
      <x:c r="P226" s="39" t="n">
        <x:v>-0.0423522034</x:v>
      </x:c>
      <x:c r="Q226" s="39" t="n">
        <x:v>0.2167166816</x:v>
      </x:c>
      <x:c r="R226" s="39" t="n">
        <x:v>0.0411672056</x:v>
      </x:c>
      <x:c r="S226" s="39" t="n">
        <x:v>0.0850406848</x:v>
      </x:c>
      <x:c r="T226" s="39" t="n">
        <x:v>0.0616383536</x:v>
      </x:c>
      <x:c r="U226" s="39" t="n">
        <x:v>-0.2846241276</x:v>
      </x:c>
      <x:c r="V226" s="39" t="n">
        <x:v>-0.2665224162</x:v>
      </x:c>
      <x:c r="W226" s="39" t="n">
        <x:v>0.0049191969</x:v>
      </x:c>
      <x:c r="X226" s="39" t="n">
        <x:v>0.0947260579</x:v>
      </x:c>
      <x:c r="Y226" s="39" t="n">
        <x:v>-0.0025601314</x:v>
      </x:c>
      <x:c r="Z226" s="39" t="n">
        <x:v>0.0114528964</x:v>
      </x:c>
      <x:c r="AA226" s="39" t="n">
        <x:v>0.170764625</x:v>
      </x:c>
      <x:c r="AB226" s="39" t="n">
        <x:v>-0.3566414444</x:v>
      </x:c>
      <x:c r="AC226" s="39" t="n">
        <x:v>0.037118538</x:v>
      </x:c>
      <x:c r="AD226" s="39" t="n">
        <x:v>0.0616738101</x:v>
      </x:c>
      <x:c r="AE226" s="39" t="n">
        <x:v>-0.0260293129</x:v>
      </x:c>
      <x:c r="AF226" s="39" t="n">
        <x:v>-0.0853166164</x:v>
      </x:c>
      <x:c r="AG226" s="39" t="n">
        <x:v>-0.003881281</x:v>
      </x:c>
      <x:c r="AH226" s="39" t="n">
        <x:v>-0.1357312666</x:v>
      </x:c>
      <x:c r="AI226" s="39" t="n">
        <x:v>-0.2109663531</x:v>
      </x:c>
      <x:c r="AJ226" s="39" t="n">
        <x:v>0.1626880389</x:v>
      </x:c>
      <x:c r="AK226" s="39" t="n">
        <x:v>0.140602423</x:v>
      </x:c>
      <x:c r="AL226" s="39" t="n">
        <x:v>0.0439009057</x:v>
      </x:c>
      <x:c r="AM226" s="39" t="n">
        <x:v>-0.0538548579</x:v>
      </x:c>
      <x:c r="AN226" s="39" t="n">
        <x:v>-0.2430042214</x:v>
      </x:c>
      <x:c r="AO226" s="39" t="n">
        <x:v>0.0794400459</x:v>
      </x:c>
      <x:c r="AP226" s="39" t="n">
        <x:v>-0.0460979759</x:v>
      </x:c>
      <x:c r="AQ226" s="39" t="n">
        <x:v>0.1410301153</x:v>
      </x:c>
      <x:c r="AR226" s="39" t="n">
        <x:v>0.1050507865</x:v>
      </x:c>
      <x:c r="AS226" s="39" t="n">
        <x:v>0.1096654711</x:v>
      </x:c>
    </x:row>
    <x:row r="227" ht="19" customHeight="1">
      <x:c r="A227" s="30" t="str">
        <x:v>Other FX</x:v>
      </x:c>
      <x:c r="B227" s="40" t="d">
        <x:v>2025-03-24T00:00:00.000Z</x:v>
      </x:c>
      <x:c r="C227" s="39" t="n">
        <x:v>-0.1465156714</x:v>
      </x:c>
      <x:c r="D227" s="39" t="n">
        <x:v>-0.1222623078</x:v>
      </x:c>
      <x:c r="E227" s="39" t="n">
        <x:v>-0.0151138833</x:v>
      </x:c>
      <x:c r="F227" s="39" t="n">
        <x:v>-0.0434024164</x:v>
      </x:c>
      <x:c r="G227" s="39" t="n">
        <x:v>-0.2091435927</x:v>
      </x:c>
      <x:c r="H227" s="39" t="n">
        <x:v>-0.1215050687</x:v>
      </x:c>
      <x:c r="I227" s="39" t="n">
        <x:v>-0.1242080967</x:v>
      </x:c>
      <x:c r="J227" s="39" t="n">
        <x:v>-0.2271731424</x:v>
      </x:c>
      <x:c r="K227" s="39" t="n">
        <x:v>-0.31263103</x:v>
      </x:c>
      <x:c r="L227" s="39" t="n">
        <x:v>0.0073502252</x:v>
      </x:c>
      <x:c r="M227" s="39" t="n">
        <x:v>-0.0588977273</x:v>
      </x:c>
      <x:c r="N227" s="39" t="n">
        <x:v>-0.0704216389</x:v>
      </x:c>
      <x:c r="O227" s="39" t="n">
        <x:v>-0.0760689838</x:v>
      </x:c>
      <x:c r="P227" s="39" t="n">
        <x:v>-0.323547639</x:v>
      </x:c>
      <x:c r="Q227" s="39" t="n">
        <x:v>-0.0684893436</x:v>
      </x:c>
      <x:c r="R227" s="39" t="n">
        <x:v>-0.2908460718</x:v>
      </x:c>
      <x:c r="S227" s="39" t="n">
        <x:v>0.026301916</x:v>
      </x:c>
      <x:c r="T227" s="39" t="n">
        <x:v>-0.3013909298</x:v>
      </x:c>
      <x:c r="U227" s="39" t="n">
        <x:v>-0.0419897721</x:v>
      </x:c>
      <x:c r="V227" s="39" t="n">
        <x:v>0.0157079758</x:v>
      </x:c>
      <x:c r="W227" s="39" t="n">
        <x:v>-0.0627132076</x:v>
      </x:c>
      <x:c r="X227" s="39" t="n">
        <x:v>0.0034422503</x:v>
      </x:c>
      <x:c r="Y227" s="39" t="n">
        <x:v>-0.1636135031</x:v>
      </x:c>
      <x:c r="Z227" s="39" t="n">
        <x:v>0.0731323024</x:v>
      </x:c>
      <x:c r="AA227" s="39" t="n">
        <x:v>-0.0143872488</x:v>
      </x:c>
      <x:c r="AB227" s="39" t="n">
        <x:v>0.2675860791</x:v>
      </x:c>
      <x:c r="AC227" s="39" t="n">
        <x:v>-0.4413056163</x:v>
      </x:c>
      <x:c r="AD227" s="39" t="n">
        <x:v>-0.0628572852</x:v>
      </x:c>
      <x:c r="AE227" s="39" t="n">
        <x:v>-0.028700839</x:v>
      </x:c>
      <x:c r="AF227" s="39" t="n">
        <x:v>-0.2810942217</x:v>
      </x:c>
      <x:c r="AG227" s="39" t="n">
        <x:v>-0.0529796217</x:v>
      </x:c>
      <x:c r="AH227" s="39" t="n">
        <x:v>0.1572703208</x:v>
      </x:c>
      <x:c r="AI227" s="39" t="n">
        <x:v>-0.0252853525</x:v>
      </x:c>
      <x:c r="AJ227" s="39" t="n">
        <x:v>-0.1448046283</x:v>
      </x:c>
      <x:c r="AK227" s="39" t="n">
        <x:v>-0.0474240434</x:v>
      </x:c>
      <x:c r="AL227" s="39" t="n">
        <x:v>0.064671577</x:v>
      </x:c>
      <x:c r="AM227" s="39" t="n">
        <x:v>-0.060265151</x:v>
      </x:c>
      <x:c r="AN227" s="39" t="n">
        <x:v>-0.1672069913</x:v>
      </x:c>
      <x:c r="AO227" s="39" t="n">
        <x:v>-0.1840824931</x:v>
      </x:c>
      <x:c r="AP227" s="39" t="n">
        <x:v>-0.1440817479</x:v>
      </x:c>
      <x:c r="AQ227" s="39" t="n">
        <x:v>-0.0356025401</x:v>
      </x:c>
      <x:c r="AR227" s="39" t="n">
        <x:v>-0.033754467</x:v>
      </x:c>
      <x:c r="AS227" s="39" t="n">
        <x:v>0.0086753744</x:v>
      </x:c>
    </x:row>
    <x:row r="228" ht="19" customHeight="1">
      <x:c r="A228" s="30" t="str">
        <x:v>Other FX</x:v>
      </x:c>
      <x:c r="B228" s="40" t="d">
        <x:v>2025-04-21T00:00:00.000Z</x:v>
      </x:c>
      <x:c r="C228" s="39" t="n">
        <x:v>0.080540274</x:v>
      </x:c>
      <x:c r="D228" s="39" t="n">
        <x:v>-0.0265181883</x:v>
      </x:c>
      <x:c r="E228" s="39" t="n">
        <x:v>-0.0303717298</x:v>
      </x:c>
      <x:c r="F228" s="39" t="n">
        <x:v>0.0030837883</x:v>
      </x:c>
      <x:c r="G228" s="39" t="n">
        <x:v>-0.1276011478</x:v>
      </x:c>
      <x:c r="H228" s="39" t="n">
        <x:v>0.0249967139</x:v>
      </x:c>
      <x:c r="I228" s="39" t="n">
        <x:v>-0.0254688785</x:v>
      </x:c>
      <x:c r="J228" s="39" t="n">
        <x:v>0.1808801869</x:v>
      </x:c>
      <x:c r="K228" s="39" t="n">
        <x:v>-0.1807686509</x:v>
      </x:c>
      <x:c r="L228" s="39" t="n">
        <x:v>-0.1873878546</x:v>
      </x:c>
      <x:c r="M228" s="39" t="n">
        <x:v>0.0180599246</x:v>
      </x:c>
      <x:c r="N228" s="39" t="n">
        <x:v>0.0049785059</x:v>
      </x:c>
      <x:c r="O228" s="39" t="n">
        <x:v>-0.0043645276</x:v>
      </x:c>
      <x:c r="P228" s="39" t="n">
        <x:v>-0.0827632419</x:v>
      </x:c>
      <x:c r="Q228" s="39" t="n">
        <x:v>0.0183558218</x:v>
      </x:c>
      <x:c r="R228" s="39" t="n">
        <x:v>-0.1374266054</x:v>
      </x:c>
      <x:c r="S228" s="39" t="n">
        <x:v>-0.0032671757</x:v>
      </x:c>
      <x:c r="T228" s="39" t="n">
        <x:v>0.0671825275</x:v>
      </x:c>
      <x:c r="U228" s="39" t="n">
        <x:v>-0.2280244384</x:v>
      </x:c>
      <x:c r="V228" s="39" t="n">
        <x:v>0.1577277295</x:v>
      </x:c>
      <x:c r="W228" s="39" t="n">
        <x:v>0.2152000235</x:v>
      </x:c>
      <x:c r="X228" s="39" t="n">
        <x:v>-0.114171848</x:v>
      </x:c>
      <x:c r="Y228" s="39" t="n">
        <x:v>-0.2268022666</x:v>
      </x:c>
      <x:c r="Z228" s="39" t="n">
        <x:v>0.0607559698</x:v>
      </x:c>
      <x:c r="AA228" s="39" t="n">
        <x:v>-0.0659216889</x:v>
      </x:c>
      <x:c r="AB228" s="39" t="n">
        <x:v>-0.2791115586</x:v>
      </x:c>
      <x:c r="AC228" s="39" t="n">
        <x:v>0.0377511937</x:v>
      </x:c>
      <x:c r="AD228" s="39" t="n">
        <x:v>-0.0681823945</x:v>
      </x:c>
      <x:c r="AE228" s="39" t="n">
        <x:v>-0.012888303</x:v>
      </x:c>
      <x:c r="AF228" s="39" t="n">
        <x:v>0.0366189572</x:v>
      </x:c>
      <x:c r="AG228" s="39" t="n">
        <x:v>-0.0125241983</x:v>
      </x:c>
      <x:c r="AH228" s="39" t="n">
        <x:v>0.0783485253</x:v>
      </x:c>
      <x:c r="AI228" s="39" t="n">
        <x:v>-0.156749887</x:v>
      </x:c>
      <x:c r="AJ228" s="39" t="n">
        <x:v>0.094747337</x:v>
      </x:c>
      <x:c r="AK228" s="39" t="n">
        <x:v>-0.1050247179</x:v>
      </x:c>
      <x:c r="AL228" s="39" t="n">
        <x:v>-0.0961814611</x:v>
      </x:c>
      <x:c r="AM228" s="39" t="n">
        <x:v>0.0441382706</x:v>
      </x:c>
      <x:c r="AN228" s="39" t="n">
        <x:v>0.0185778664</x:v>
      </x:c>
      <x:c r="AO228" s="39" t="n">
        <x:v>0.0340452742</x:v>
      </x:c>
      <x:c r="AP228" s="39" t="n">
        <x:v>-0.0248928147</x:v>
      </x:c>
      <x:c r="AQ228" s="39" t="n">
        <x:v>-0.0033665658</x:v>
      </x:c>
      <x:c r="AR228" s="39" t="n">
        <x:v>-0.0993901815</x:v>
      </x:c>
      <x:c r="AS228" s="39" t="n">
        <x:v>-0.011770202</x:v>
      </x:c>
    </x:row>
    <x:row r="229" ht="19" customHeight="1">
      <x:c r="A229" s="30" t="str">
        <x:v>Other FX</x:v>
      </x:c>
      <x:c r="B229" s="40" t="d">
        <x:v>2025-05-19T00:00:00.000Z</x:v>
      </x:c>
      <x:c r="C229" s="39" t="n">
        <x:v>0.293747019</x:v>
      </x:c>
      <x:c r="D229" s="39" t="n">
        <x:v>0.0101192952</x:v>
      </x:c>
      <x:c r="E229" s="39" t="n">
        <x:v>-0.0612116819</x:v>
      </x:c>
      <x:c r="F229" s="39" t="n">
        <x:v>-0.0187145081</x:v>
      </x:c>
      <x:c r="G229" s="39" t="n">
        <x:v>0.2417336929</x:v>
      </x:c>
      <x:c r="H229" s="39" t="n">
        <x:v>-0.0485086772</x:v>
      </x:c>
      <x:c r="I229" s="39" t="n">
        <x:v>0.081361757</x:v>
      </x:c>
      <x:c r="J229" s="39" t="n">
        <x:v>0.1484670943</x:v>
      </x:c>
      <x:c r="K229" s="39" t="n">
        <x:v>0.2566924175</x:v>
      </x:c>
      <x:c r="L229" s="39" t="n">
        <x:v>0.1714280134</x:v>
      </x:c>
      <x:c r="M229" s="39" t="n">
        <x:v>0.172495835</x:v>
      </x:c>
      <x:c r="N229" s="39" t="n">
        <x:v>0.1282103233</x:v>
      </x:c>
      <x:c r="O229" s="39" t="n">
        <x:v>0.0756544192</x:v>
      </x:c>
      <x:c r="P229" s="39" t="n">
        <x:v>0.1937466037</x:v>
      </x:c>
      <x:c r="Q229" s="39" t="n">
        <x:v>-0.0285741969</x:v>
      </x:c>
      <x:c r="R229" s="39" t="n">
        <x:v>-0.1242909142</x:v>
      </x:c>
      <x:c r="S229" s="39" t="n">
        <x:v>0.0646946077</x:v>
      </x:c>
      <x:c r="T229" s="39" t="n">
        <x:v>0.35295489</x:v>
      </x:c>
      <x:c r="U229" s="39" t="n">
        <x:v>-0.0904433678</x:v>
      </x:c>
      <x:c r="V229" s="39" t="n">
        <x:v>0.2533716511</x:v>
      </x:c>
      <x:c r="W229" s="39" t="n">
        <x:v>0.096971258</x:v>
      </x:c>
      <x:c r="X229" s="39" t="n">
        <x:v>0.0041032143</x:v>
      </x:c>
      <x:c r="Y229" s="39" t="n">
        <x:v>0.1219678544</x:v>
      </x:c>
      <x:c r="Z229" s="39" t="n">
        <x:v>-0.0825907399</x:v>
      </x:c>
      <x:c r="AA229" s="39" t="n">
        <x:v>0.0599133428</x:v>
      </x:c>
      <x:c r="AB229" s="39" t="n">
        <x:v>0.1081032808</x:v>
      </x:c>
      <x:c r="AC229" s="39" t="n">
        <x:v>-0.0962746805</x:v>
      </x:c>
      <x:c r="AD229" s="39" t="n">
        <x:v>0.0217520105</x:v>
      </x:c>
      <x:c r="AE229" s="39" t="n">
        <x:v>0.0134973779</x:v>
      </x:c>
      <x:c r="AF229" s="39" t="n">
        <x:v>0.0927023056</x:v>
      </x:c>
      <x:c r="AG229" s="39" t="n">
        <x:v>0.1309151628</x:v>
      </x:c>
      <x:c r="AH229" s="39" t="n">
        <x:v>-0.0477960437</x:v>
      </x:c>
      <x:c r="AI229" s="39" t="n">
        <x:v>0.1106134142</x:v>
      </x:c>
      <x:c r="AJ229" s="39" t="n">
        <x:v>-0.2809064427</x:v>
      </x:c>
      <x:c r="AK229" s="39" t="n">
        <x:v>-0.0182128516</x:v>
      </x:c>
      <x:c r="AL229" s="39" t="n">
        <x:v>0.0849150415</x:v>
      </x:c>
      <x:c r="AM229" s="39" t="n">
        <x:v>0.1858265044</x:v>
      </x:c>
      <x:c r="AN229" s="39" t="n">
        <x:v>0.0120433273</x:v>
      </x:c>
      <x:c r="AO229" s="39" t="n">
        <x:v>0.0157941493</x:v>
      </x:c>
      <x:c r="AP229" s="39" t="n">
        <x:v>-0.0004853274</x:v>
      </x:c>
      <x:c r="AQ229" s="39" t="n">
        <x:v>-0.0303510224</x:v>
      </x:c>
      <x:c r="AR229" s="39" t="n">
        <x:v>-0.0363590276</x:v>
      </x:c>
      <x:c r="AS229" s="39" t="n">
        <x:v>-0.0912211798</x:v>
      </x:c>
    </x:row>
    <x:row r="230" ht="19" customHeight="1">
      <x:c r="A230" s="30" t="str">
        <x:v>Other FX</x:v>
      </x:c>
      <x:c r="B230" s="40" t="d">
        <x:v>2025-06-16T00:00:00.000Z</x:v>
      </x:c>
      <x:c r="C230" s="39" t="n">
        <x:v>0.2125294656</x:v>
      </x:c>
      <x:c r="D230" s="39" t="n">
        <x:v>-0.0011227547</x:v>
      </x:c>
      <x:c r="E230" s="39" t="n">
        <x:v>-0.0222055612</x:v>
      </x:c>
      <x:c r="F230" s="39" t="n">
        <x:v>-0.0302808818</x:v>
      </x:c>
      <x:c r="G230" s="39" t="n">
        <x:v>0.0957400779</x:v>
      </x:c>
      <x:c r="H230" s="39" t="n">
        <x:v>0.0571963329</x:v>
      </x:c>
      <x:c r="I230" s="39" t="n">
        <x:v>0.0567999426</x:v>
      </x:c>
      <x:c r="J230" s="39" t="n">
        <x:v>0.0305675512</x:v>
      </x:c>
      <x:c r="K230" s="39" t="n">
        <x:v>0.1482137261</x:v>
      </x:c>
      <x:c r="L230" s="39" t="n">
        <x:v>0.1248603276</x:v>
      </x:c>
      <x:c r="M230" s="39" t="n">
        <x:v>0.162677732</x:v>
      </x:c>
      <x:c r="N230" s="39" t="n">
        <x:v>-0.0502059991</x:v>
      </x:c>
      <x:c r="O230" s="39" t="n">
        <x:v>-0.0202426242</x:v>
      </x:c>
      <x:c r="P230" s="39" t="n">
        <x:v>0.1826605466</x:v>
      </x:c>
      <x:c r="Q230" s="39" t="n">
        <x:v>0.0927451261</x:v>
      </x:c>
      <x:c r="R230" s="39" t="n">
        <x:v>-0.0305146559</x:v>
      </x:c>
      <x:c r="S230" s="39" t="n">
        <x:v>-0.0496331349</x:v>
      </x:c>
      <x:c r="T230" s="39" t="n">
        <x:v>0.1691760874</x:v>
      </x:c>
      <x:c r="U230" s="39" t="n">
        <x:v>-0.0094788283</x:v>
      </x:c>
      <x:c r="V230" s="39" t="n">
        <x:v>0.0816746606</x:v>
      </x:c>
      <x:c r="W230" s="39" t="n">
        <x:v>0.0510535012</x:v>
      </x:c>
      <x:c r="X230" s="39" t="n">
        <x:v>0.0077143587</x:v>
      </x:c>
      <x:c r="Y230" s="39" t="n">
        <x:v>0.3308928903</x:v>
      </x:c>
      <x:c r="Z230" s="39" t="n">
        <x:v>0.1079087091</x:v>
      </x:c>
      <x:c r="AA230" s="39" t="n">
        <x:v>-0.0760243785</x:v>
      </x:c>
      <x:c r="AB230" s="39" t="n">
        <x:v>0.0865080825</x:v>
      </x:c>
      <x:c r="AC230" s="39" t="n">
        <x:v>0.3326785289</x:v>
      </x:c>
      <x:c r="AD230" s="39" t="n">
        <x:v>-0.0567640668</x:v>
      </x:c>
      <x:c r="AE230" s="39" t="n">
        <x:v>0.0216975868</x:v>
      </x:c>
      <x:c r="AF230" s="39" t="n">
        <x:v>0.050690276</x:v>
      </x:c>
      <x:c r="AG230" s="39" t="n">
        <x:v>-0.0237576587</x:v>
      </x:c>
      <x:c r="AH230" s="39" t="n">
        <x:v>0.0591496851</x:v>
      </x:c>
      <x:c r="AI230" s="39" t="n">
        <x:v>0.1720075552</x:v>
      </x:c>
      <x:c r="AJ230" s="39" t="n">
        <x:v>0.0890398801</x:v>
      </x:c>
      <x:c r="AK230" s="39" t="n">
        <x:v>-0.0013292281</x:v>
      </x:c>
      <x:c r="AL230" s="39" t="n">
        <x:v>-0.0783099836</x:v>
      </x:c>
      <x:c r="AM230" s="39" t="n">
        <x:v>0.0786916599</x:v>
      </x:c>
      <x:c r="AN230" s="39" t="n">
        <x:v>-0.0320175323</x:v>
      </x:c>
      <x:c r="AO230" s="39" t="n">
        <x:v>-0.0496868127</x:v>
      </x:c>
      <x:c r="AP230" s="39" t="n">
        <x:v>-0.0429859615</x:v>
      </x:c>
      <x:c r="AQ230" s="39" t="n">
        <x:v>-0.0553957493</x:v>
      </x:c>
      <x:c r="AR230" s="39" t="n">
        <x:v>-0.0271381229</x:v>
      </x:c>
      <x:c r="AS230" s="39" t="n">
        <x:v>-0.0600742753</x:v>
      </x:c>
    </x:row>
    <x:row r="231" ht="19" customHeight="1">
      <x:c r="A231" s="30" t="str">
        <x:v>Other FX</x:v>
      </x:c>
      <x:c r="B231" s="40" t="d">
        <x:v>2025-07-14T00:00:00.000Z</x:v>
      </x:c>
      <x:c r="C231" s="39" t="n">
        <x:v>0.056886716</x:v>
      </x:c>
      <x:c r="D231" s="39" t="n">
        <x:v>-0.2242844417</x:v>
      </x:c>
      <x:c r="E231" s="39" t="n">
        <x:v>0.0550440688</x:v>
      </x:c>
      <x:c r="F231" s="39" t="n">
        <x:v>0.0882399685</x:v>
      </x:c>
      <x:c r="G231" s="39" t="n">
        <x:v>0.0392786534</x:v>
      </x:c>
      <x:c r="H231" s="39" t="n">
        <x:v>0.017505686</x:v>
      </x:c>
      <x:c r="I231" s="39" t="n">
        <x:v>0.1026103805</x:v>
      </x:c>
      <x:c r="J231" s="39" t="n">
        <x:v>0.0717045079</x:v>
      </x:c>
      <x:c r="K231" s="39" t="n">
        <x:v>0.12937937</x:v>
      </x:c>
      <x:c r="L231" s="39" t="n">
        <x:v>0.0478041218</x:v>
      </x:c>
      <x:c r="M231" s="39" t="n">
        <x:v>-0.1089604003</x:v>
      </x:c>
      <x:c r="N231" s="39" t="n">
        <x:v>-0.0005019786</x:v>
      </x:c>
      <x:c r="O231" s="39" t="n">
        <x:v>0.0013021556</x:v>
      </x:c>
      <x:c r="P231" s="39" t="n">
        <x:v>0.1187470009</x:v>
      </x:c>
      <x:c r="Q231" s="39" t="n">
        <x:v>-0.0739366162</x:v>
      </x:c>
      <x:c r="R231" s="39" t="n">
        <x:v>0.1032983729</x:v>
      </x:c>
      <x:c r="S231" s="39" t="n">
        <x:v>-0.012533767</x:v>
      </x:c>
      <x:c r="T231" s="39" t="n">
        <x:v>0.1303954851</x:v>
      </x:c>
      <x:c r="U231" s="39" t="n">
        <x:v>0.230746071</x:v>
      </x:c>
      <x:c r="V231" s="39" t="n">
        <x:v>-0.0376451913</x:v>
      </x:c>
      <x:c r="W231" s="39" t="n">
        <x:v>-0.0246979929</x:v>
      </x:c>
      <x:c r="X231" s="39" t="n">
        <x:v>0.0023685207</x:v>
      </x:c>
      <x:c r="Y231" s="39" t="n">
        <x:v>-0.1757525201</x:v>
      </x:c>
      <x:c r="Z231" s="39" t="n">
        <x:v>-0.0530686668</x:v>
      </x:c>
      <x:c r="AA231" s="39" t="n">
        <x:v>-0.0829228749</x:v>
      </x:c>
      <x:c r="AB231" s="39" t="n">
        <x:v>0.29775227</x:v>
      </x:c>
      <x:c r="AC231" s="39" t="n">
        <x:v>0.4087815875</x:v>
      </x:c>
      <x:c r="AD231" s="39" t="n">
        <x:v>-0.0368248121</x:v>
      </x:c>
      <x:c r="AE231" s="39" t="n">
        <x:v>0.0378055554</x:v>
      </x:c>
      <x:c r="AF231" s="39" t="n">
        <x:v>0.2196857047</x:v>
      </x:c>
      <x:c r="AG231" s="39" t="n">
        <x:v>0.1692772331</x:v>
      </x:c>
      <x:c r="AH231" s="39" t="n">
        <x:v>0.0826283636</x:v>
      </x:c>
      <x:c r="AI231" s="39" t="n">
        <x:v>0.2227474256</x:v>
      </x:c>
      <x:c r="AJ231" s="39" t="n">
        <x:v>0.0159120243</x:v>
      </x:c>
      <x:c r="AK231" s="39" t="n">
        <x:v>0.0328044752</x:v>
      </x:c>
      <x:c r="AL231" s="39" t="n">
        <x:v>-0.1269174899</x:v>
      </x:c>
      <x:c r="AM231" s="39" t="n">
        <x:v>0.0899325576</x:v>
      </x:c>
      <x:c r="AN231" s="39" t="n">
        <x:v>0.1097827197</x:v>
      </x:c>
      <x:c r="AO231" s="39" t="n">
        <x:v>-0.0634157303</x:v>
      </x:c>
      <x:c r="AP231" s="39" t="n">
        <x:v>0.0241878981</x:v>
      </x:c>
      <x:c r="AQ231" s="39" t="n">
        <x:v>-0.0014744791</x:v>
      </x:c>
      <x:c r="AR231" s="39" t="n">
        <x:v>0.1024710791</x:v>
      </x:c>
      <x:c r="AS231" s="39" t="n">
        <x:v>-0.0483414295</x:v>
      </x:c>
    </x:row>
    <x:row r="232" ht="19" customHeight="1">
      <x:c r="A232" s="30" t="str">
        <x:v>Other FX</x:v>
      </x:c>
      <x:c r="B232" s="40" t="d">
        <x:v>2025-08-11T00:00:00.000Z</x:v>
      </x:c>
      <x:c r="C232" s="39" t="n">
        <x:v>0.0305192617</x:v>
      </x:c>
      <x:c r="D232" s="39" t="n">
        <x:v>-0.1336299369</x:v>
      </x:c>
      <x:c r="E232" s="39" t="n">
        <x:v>0.0667782206</x:v>
      </x:c>
      <x:c r="F232" s="39" t="n">
        <x:v>0.0518674874</x:v>
      </x:c>
      <x:c r="G232" s="39" t="n">
        <x:v>-0.062159186</x:v>
      </x:c>
      <x:c r="H232" s="39" t="n">
        <x:v>-0.2716640463</x:v>
      </x:c>
      <x:c r="I232" s="39" t="n">
        <x:v>0.0295568054</x:v>
      </x:c>
      <x:c r="J232" s="39" t="n">
        <x:v>0.24600653</x:v>
      </x:c>
      <x:c r="K232" s="39" t="n">
        <x:v>-0.0140487458</x:v>
      </x:c>
      <x:c r="L232" s="39" t="n">
        <x:v>-0.0799291632</x:v>
      </x:c>
      <x:c r="M232" s="39" t="n">
        <x:v>-0.0958890351</x:v>
      </x:c>
      <x:c r="N232" s="39" t="n">
        <x:v>-0.0578729864</x:v>
      </x:c>
      <x:c r="O232" s="39" t="n">
        <x:v>0.0243643086</x:v>
      </x:c>
      <x:c r="P232" s="39" t="n">
        <x:v>0.1040468165</x:v>
      </x:c>
      <x:c r="Q232" s="39" t="n">
        <x:v>0.1951265631</x:v>
      </x:c>
      <x:c r="R232" s="39" t="n">
        <x:v>0.069224944</x:v>
      </x:c>
      <x:c r="S232" s="39" t="n">
        <x:v>-0.0071654385</x:v>
      </x:c>
      <x:c r="T232" s="39" t="n">
        <x:v>0.0246495001</x:v>
      </x:c>
      <x:c r="U232" s="39" t="n">
        <x:v>-0.1259288129</x:v>
      </x:c>
      <x:c r="V232" s="39" t="n">
        <x:v>-0.0033777091</x:v>
      </x:c>
      <x:c r="W232" s="39" t="n">
        <x:v>0.0334650428</x:v>
      </x:c>
      <x:c r="X232" s="39" t="n">
        <x:v>-0.0285723943</x:v>
      </x:c>
      <x:c r="Y232" s="39" t="n">
        <x:v>0.0434035219</x:v>
      </x:c>
      <x:c r="Z232" s="39" t="n">
        <x:v>0.2539381831</x:v>
      </x:c>
      <x:c r="AA232" s="39" t="n">
        <x:v>0.0041341501</x:v>
      </x:c>
      <x:c r="AB232" s="39" t="n">
        <x:v>0.0765396911</x:v>
      </x:c>
      <x:c r="AC232" s="39" t="n">
        <x:v>-0.277162391</x:v>
      </x:c>
      <x:c r="AD232" s="39" t="n">
        <x:v>-0.0023452305</x:v>
      </x:c>
      <x:c r="AE232" s="39" t="n">
        <x:v>0.0568676377</x:v>
      </x:c>
      <x:c r="AF232" s="39" t="n">
        <x:v>0.0032616649</x:v>
      </x:c>
      <x:c r="AG232" s="39" t="n">
        <x:v>0.0475443088</x:v>
      </x:c>
      <x:c r="AH232" s="39" t="n">
        <x:v>0.0664890002</x:v>
      </x:c>
      <x:c r="AI232" s="39" t="n">
        <x:v>0.1499735529</x:v>
      </x:c>
      <x:c r="AJ232" s="39" t="n">
        <x:v>-0.1290214338</x:v>
      </x:c>
      <x:c r="AK232" s="39" t="n">
        <x:v>0.0266771274</x:v>
      </x:c>
      <x:c r="AL232" s="39" t="n">
        <x:v>-0.175623124</x:v>
      </x:c>
      <x:c r="AM232" s="39" t="n">
        <x:v>0.0270880521</x:v>
      </x:c>
      <x:c r="AN232" s="39" t="n">
        <x:v>0.1211052639</x:v>
      </x:c>
      <x:c r="AO232" s="39" t="n">
        <x:v>0.0253855933</x:v>
      </x:c>
      <x:c r="AP232" s="39" t="n">
        <x:v>0.148694036</x:v>
      </x:c>
      <x:c r="AQ232" s="39" t="n">
        <x:v>-0.0019044958</x:v>
      </x:c>
      <x:c r="AR232" s="39" t="n">
        <x:v>0.0977497912</x:v>
      </x:c>
      <x:c r="AS232" s="39" t="n">
        <x:v>0.0037406269</x:v>
      </x:c>
    </x:row>
    <x:row r="233" ht="19" customHeight="1">
      <x:c r="A233" s="30" t="str">
        <x:v>Other FX</x:v>
      </x:c>
      <x:c r="B233" s="40" t="d">
        <x:v>2025-09-08T00:00:00.000Z</x:v>
      </x:c>
      <x:c r="C233" s="39" t="n">
        <x:v>0.0850183949</x:v>
      </x:c>
      <x:c r="D233" s="39" t="n">
        <x:v>-0.2477811629</x:v>
      </x:c>
      <x:c r="E233" s="39" t="n">
        <x:v>-0.0579886922</x:v>
      </x:c>
      <x:c r="F233" s="39" t="n">
        <x:v>0.0182381207</x:v>
      </x:c>
      <x:c r="G233" s="39" t="n">
        <x:v>-0.0110498298</x:v>
      </x:c>
      <x:c r="H233" s="39" t="n">
        <x:v>-0.2042268768</x:v>
      </x:c>
      <x:c r="I233" s="39" t="n">
        <x:v>-0.0175409292</x:v>
      </x:c>
      <x:c r="J233" s="39" t="n">
        <x:v>0.0602171084</x:v>
      </x:c>
      <x:c r="K233" s="39" t="n">
        <x:v>0.3015346217</x:v>
      </x:c>
      <x:c r="L233" s="39" t="n">
        <x:v>0.1900885677</x:v>
      </x:c>
      <x:c r="M233" s="39" t="n">
        <x:v>-0.0044021232</x:v>
      </x:c>
      <x:c r="N233" s="39" t="n">
        <x:v>-0.0234538045</x:v>
      </x:c>
      <x:c r="O233" s="39" t="n">
        <x:v>-0.0117142826</x:v>
      </x:c>
      <x:c r="P233" s="39" t="n">
        <x:v>0.2854033509</x:v>
      </x:c>
      <x:c r="Q233" s="39" t="n">
        <x:v>-0.0328001336</x:v>
      </x:c>
      <x:c r="R233" s="39" t="n">
        <x:v>0.1951967974</x:v>
      </x:c>
      <x:c r="S233" s="39" t="n">
        <x:v>-0.0760202407</x:v>
      </x:c>
      <x:c r="T233" s="39" t="n">
        <x:v>0.135291098</x:v>
      </x:c>
      <x:c r="U233" s="39" t="n">
        <x:v>-0.2938363029</x:v>
      </x:c>
      <x:c r="V233" s="39" t="n">
        <x:v>0.0034996022</x:v>
      </x:c>
      <x:c r="W233" s="39" t="n">
        <x:v>-0.0582018379</x:v>
      </x:c>
      <x:c r="X233" s="39" t="n">
        <x:v>-0.0390976345</x:v>
      </x:c>
      <x:c r="Y233" s="39" t="n">
        <x:v>0.2775444397</x:v>
      </x:c>
      <x:c r="Z233" s="39" t="n">
        <x:v>0.1091189206</x:v>
      </x:c>
      <x:c r="AA233" s="39" t="n">
        <x:v>0.0063788839</x:v>
      </x:c>
      <x:c r="AB233" s="39" t="n">
        <x:v>0.0027266329</x:v>
      </x:c>
      <x:c r="AC233" s="39" t="n">
        <x:v>-0.0222116137</x:v>
      </x:c>
      <x:c r="AD233" s="39" t="n">
        <x:v>0.0125805811</x:v>
      </x:c>
      <x:c r="AE233" s="39" t="n">
        <x:v>-0.0222101633</x:v>
      </x:c>
      <x:c r="AF233" s="39" t="n">
        <x:v>0.2180044066</x:v>
      </x:c>
      <x:c r="AG233" s="39" t="n">
        <x:v>-0.1629234426</x:v>
      </x:c>
      <x:c r="AH233" s="39" t="n">
        <x:v>0.0069428987</x:v>
      </x:c>
      <x:c r="AI233" s="39" t="n">
        <x:v>-0.2254674655</x:v>
      </x:c>
      <x:c r="AJ233" s="39" t="n">
        <x:v>0.1040326654</x:v>
      </x:c>
      <x:c r="AK233" s="39" t="n">
        <x:v>0.005890092</x:v>
      </x:c>
      <x:c r="AL233" s="39" t="n">
        <x:v>0.080529454</x:v>
      </x:c>
      <x:c r="AM233" s="39" t="n">
        <x:v>-0.0255870645</x:v>
      </x:c>
      <x:c r="AN233" s="39" t="n">
        <x:v>0.1915967308</x:v>
      </x:c>
      <x:c r="AO233" s="39" t="n">
        <x:v>-0.035294025</x:v>
      </x:c>
      <x:c r="AP233" s="39" t="n">
        <x:v>0.0661075468</x:v>
      </x:c>
      <x:c r="AQ233" s="39" t="n">
        <x:v>-0.0891829388</x:v>
      </x:c>
      <x:c r="AR233" s="39" t="n">
        <x:v>-0.0020535463</x:v>
      </x:c>
      <x:c r="AS233" s="39" t="n">
        <x:v>0.0255234523</x:v>
      </x:c>
    </x:row>
    <x:row r="234" ht="19" customHeight="1">
      <x:c r="A234" s="30" t="str">
        <x:v>Other FX</x:v>
      </x:c>
      <x:c r="B234" s="40" t="d">
        <x:v>2025-10-06T00:00:00.000Z</x:v>
      </x:c>
      <x:c r="C234" s="39" t="n">
        <x:v>-0.0880816772</x:v>
      </x:c>
      <x:c r="D234" s="39" t="n">
        <x:v>0.0221101815</x:v>
      </x:c>
      <x:c r="E234" s="39" t="n">
        <x:v>0.0996123323</x:v>
      </x:c>
      <x:c r="F234" s="39" t="n">
        <x:v>0.0759904748</x:v>
      </x:c>
      <x:c r="G234" s="39" t="n">
        <x:v>-0.0696992483</x:v>
      </x:c>
      <x:c r="H234" s="39" t="n">
        <x:v>0.0589739905</x:v>
      </x:c>
      <x:c r="I234" s="39" t="n">
        <x:v>-0.0751822581</x:v>
      </x:c>
      <x:c r="J234" s="39" t="n">
        <x:v>0.0864456257</x:v>
      </x:c>
      <x:c r="K234" s="39" t="n">
        <x:v>0.1417524776</x:v>
      </x:c>
      <x:c r="L234" s="39" t="n">
        <x:v>0.011715451</x:v>
      </x:c>
      <x:c r="M234" s="39" t="n">
        <x:v>0.0280412966</x:v>
      </x:c>
      <x:c r="N234" s="39" t="n">
        <x:v>0.0984982629</x:v>
      </x:c>
      <x:c r="O234" s="39" t="n">
        <x:v>-0.0533412133</x:v>
      </x:c>
      <x:c r="P234" s="39" t="n">
        <x:v>0.2199220609</x:v>
      </x:c>
      <x:c r="Q234" s="39" t="n">
        <x:v>0.0985940615</x:v>
      </x:c>
      <x:c r="R234" s="39" t="n">
        <x:v>0.0621936525</x:v>
      </x:c>
      <x:c r="S234" s="39" t="n">
        <x:v>0.0508435182</x:v>
      </x:c>
      <x:c r="T234" s="39" t="n">
        <x:v>-0.0488916813</x:v>
      </x:c>
      <x:c r="U234" s="39" t="n">
        <x:v>0.2335407029</x:v>
      </x:c>
      <x:c r="V234" s="39" t="n">
        <x:v>-0.1032625713</x:v>
      </x:c>
      <x:c r="W234" s="39" t="n">
        <x:v>0.0372624249</x:v>
      </x:c>
      <x:c r="X234" s="39" t="n">
        <x:v>-0.121775052</x:v>
      </x:c>
      <x:c r="Y234" s="39" t="n">
        <x:v>0.1893845664</x:v>
      </x:c>
      <x:c r="Z234" s="39" t="n">
        <x:v>0.1416279876</x:v>
      </x:c>
      <x:c r="AA234" s="39" t="n">
        <x:v>-0.0475264707</x:v>
      </x:c>
      <x:c r="AB234" s="39" t="n">
        <x:v>0.6578875083</x:v>
      </x:c>
      <x:c r="AC234" s="39" t="n">
        <x:v>-0.3704156364</x:v>
      </x:c>
      <x:c r="AD234" s="39" t="n">
        <x:v>-0.0646991878</x:v>
      </x:c>
      <x:c r="AE234" s="39" t="n">
        <x:v>-0.0127518713</x:v>
      </x:c>
      <x:c r="AF234" s="39" t="n">
        <x:v>-0.0115770774</x:v>
      </x:c>
      <x:c r="AG234" s="39" t="n">
        <x:v>-0.006137601</x:v>
      </x:c>
      <x:c r="AH234" s="39" t="n">
        <x:v>0.0601992644</x:v>
      </x:c>
      <x:c r="AI234" s="39" t="n">
        <x:v>0.4256958176</x:v>
      </x:c>
      <x:c r="AJ234" s="39" t="n">
        <x:v>0.1395306169</x:v>
      </x:c>
      <x:c r="AK234" s="39" t="n">
        <x:v>-0.0294723497</x:v>
      </x:c>
      <x:c r="AL234" s="39" t="n">
        <x:v>0.2218132747</x:v>
      </x:c>
      <x:c r="AM234" s="39" t="n">
        <x:v>0.0029450427</x:v>
      </x:c>
      <x:c r="AN234" s="39" t="n">
        <x:v>-0.0290917695</x:v>
      </x:c>
      <x:c r="AO234" s="39" t="n">
        <x:v>-0.0568588585</x:v>
      </x:c>
      <x:c r="AP234" s="39" t="n">
        <x:v>-0.1566010672</x:v>
      </x:c>
      <x:c r="AQ234" s="39" t="n">
        <x:v>0.0158535295</x:v>
      </x:c>
      <x:c r="AR234" s="39" t="n">
        <x:v>0.0950007679</x:v>
      </x:c>
      <x:c r="AS234" s="39" t="n">
        <x:v>-0.0147817156</x:v>
      </x:c>
    </x:row>
    <x:row r="235" ht="19" customHeight="1">
      <x:c r="A235" s="30" t="str">
        <x:v>Other FX</x:v>
      </x:c>
      <x:c r="B235" s="40" t="d">
        <x:v>2025-11-03T00:00:00.000Z</x:v>
      </x:c>
      <x:c r="C235" s="39" t="n">
        <x:v>-0.0434647777</x:v>
      </x:c>
      <x:c r="D235" s="39" t="n">
        <x:v>0.334606808</x:v>
      </x:c>
      <x:c r="E235" s="39" t="n">
        <x:v>0.0525831431</x:v>
      </x:c>
      <x:c r="F235" s="39" t="n">
        <x:v>0.0288493178</x:v>
      </x:c>
      <x:c r="G235" s="39" t="n">
        <x:v>0.0303817501</x:v>
      </x:c>
      <x:c r="H235" s="39" t="n">
        <x:v>-0.3693834568</x:v>
      </x:c>
      <x:c r="I235" s="39" t="n">
        <x:v>0.1752686622</x:v>
      </x:c>
      <x:c r="J235" s="39" t="n">
        <x:v>0.1910693172</x:v>
      </x:c>
      <x:c r="K235" s="39" t="n">
        <x:v>0.3471194086</x:v>
      </x:c>
      <x:c r="L235" s="39" t="n">
        <x:v>0.1518871187</x:v>
      </x:c>
      <x:c r="M235" s="39" t="n">
        <x:v>-0.0902158889</x:v>
      </x:c>
      <x:c r="N235" s="39" t="n">
        <x:v>-0.0537733166</x:v>
      </x:c>
      <x:c r="O235" s="39" t="n">
        <x:v>-0.2493863983</x:v>
      </x:c>
      <x:c r="P235" s="39" t="n">
        <x:v>0.4680486798</x:v>
      </x:c>
      <x:c r="Q235" s="39" t="n">
        <x:v>-0.0882911695</x:v>
      </x:c>
      <x:c r="R235" s="39" t="n">
        <x:v>0.4068166639</x:v>
      </x:c>
      <x:c r="S235" s="39" t="n">
        <x:v>0.0247419685</x:v>
      </x:c>
      <x:c r="T235" s="39" t="n">
        <x:v>0.1223831318</x:v>
      </x:c>
      <x:c r="U235" s="39" t="n">
        <x:v>-0.0976403759</x:v>
      </x:c>
      <x:c r="V235" s="39" t="n">
        <x:v>-0.2219246707</x:v>
      </x:c>
      <x:c r="W235" s="39" t="n">
        <x:v>-0.1442403762</x:v>
      </x:c>
      <x:c r="X235" s="39" t="n">
        <x:v>-0.0882499036</x:v>
      </x:c>
      <x:c r="Y235" s="39" t="n">
        <x:v>0.3604736103</x:v>
      </x:c>
      <x:c r="Z235" s="39" t="n">
        <x:v>-0.0100048566</x:v>
      </x:c>
      <x:c r="AA235" s="39" t="n">
        <x:v>-0.143109129</x:v>
      </x:c>
      <x:c r="AB235" s="39" t="n">
        <x:v>0.1797471359</x:v>
      </x:c>
      <x:c r="AC235" s="39" t="n">
        <x:v>-0.330753606</x:v>
      </x:c>
      <x:c r="AD235" s="39" t="n">
        <x:v>-0.0101760572</x:v>
      </x:c>
      <x:c r="AE235" s="39" t="n">
        <x:v>0.235889305</x:v>
      </x:c>
      <x:c r="AF235" s="39" t="n">
        <x:v>-0.0571189479</x:v>
      </x:c>
      <x:c r="AG235" s="39" t="n">
        <x:v>-0.097708273</x:v>
      </x:c>
      <x:c r="AH235" s="39" t="n">
        <x:v>0.1370296191</x:v>
      </x:c>
      <x:c r="AI235" s="39" t="n">
        <x:v>0.1040235494</x:v>
      </x:c>
      <x:c r="AJ235" s="39" t="n">
        <x:v>0.148851844</x:v>
      </x:c>
      <x:c r="AK235" s="39" t="n">
        <x:v>0.1869291521</x:v>
      </x:c>
      <x:c r="AL235" s="39" t="n">
        <x:v>0.3459520238</x:v>
      </x:c>
      <x:c r="AM235" s="39" t="n">
        <x:v>-0.0403639469</x:v>
      </x:c>
      <x:c r="AN235" s="39" t="n">
        <x:v>0.226158938</x:v>
      </x:c>
      <x:c r="AO235" s="39" t="n">
        <x:v>-0.014254371</x:v>
      </x:c>
      <x:c r="AP235" s="39" t="n">
        <x:v>-0.0126938851</x:v>
      </x:c>
      <x:c r="AQ235" s="39" t="n">
        <x:v>0.0721862131</x:v>
      </x:c>
      <x:c r="AR235" s="39" t="n">
        <x:v>-0.0375065947</x:v>
      </x:c>
      <x:c r="AS235" s="39" t="n">
        <x:v>0.024042406</x:v>
      </x:c>
    </x:row>
    <x:row r="236" ht="19" customHeight="1">
      <x:c r="A236" s="30" t="str">
        <x:v>Other FX</x:v>
      </x:c>
      <x:c r="B236" s="40" t="d">
        <x:v>2025-12-01T00:00:00.000Z</x:v>
      </x:c>
      <x:c r="C236" s="39" t="n">
        <x:v>-0.1943939573</x:v>
      </x:c>
      <x:c r="D236" s="39" t="n">
        <x:v>0.0443687848</x:v>
      </x:c>
      <x:c r="E236" s="39" t="n">
        <x:v>-0.0762995899</x:v>
      </x:c>
      <x:c r="F236" s="39" t="n">
        <x:v>-0.035569581</x:v>
      </x:c>
      <x:c r="G236" s="39" t="n">
        <x:v>-0.1069687359</x:v>
      </x:c>
      <x:c r="H236" s="39" t="n">
        <x:v>0.1135430048</x:v>
      </x:c>
      <x:c r="I236" s="39" t="n">
        <x:v>-0.0916280316</x:v>
      </x:c>
      <x:c r="J236" s="39" t="n">
        <x:v>-0.0378102722</x:v>
      </x:c>
      <x:c r="K236" s="39" t="n">
        <x:v>-0.0746459177</x:v>
      </x:c>
      <x:c r="L236" s="39" t="n">
        <x:v>-0.0031757738</x:v>
      </x:c>
      <x:c r="M236" s="39" t="n">
        <x:v>-0.0670567345</x:v>
      </x:c>
      <x:c r="N236" s="39" t="n">
        <x:v>0.0401104653</x:v>
      </x:c>
      <x:c r="O236" s="39" t="n">
        <x:v>0.0661803302</x:v>
      </x:c>
      <x:c r="P236" s="39" t="n">
        <x:v>-0.0621152756</x:v>
      </x:c>
      <x:c r="Q236" s="39" t="n">
        <x:v>0.0377338129</x:v>
      </x:c>
      <x:c r="R236" s="39" t="n">
        <x:v>-0.0352094358</x:v>
      </x:c>
      <x:c r="S236" s="39" t="n">
        <x:v>-0.063347649</x:v>
      </x:c>
      <x:c r="T236" s="39" t="n">
        <x:v>-0.2146767513</x:v>
      </x:c>
      <x:c r="U236" s="39" t="n">
        <x:v>0.0843870521</x:v>
      </x:c>
      <x:c r="V236" s="39" t="n">
        <x:v>-0.1304985656</x:v>
      </x:c>
      <x:c r="W236" s="39" t="n">
        <x:v>-0.1403809088</x:v>
      </x:c>
      <x:c r="X236" s="39" t="n">
        <x:v>-0.0477520499</x:v>
      </x:c>
      <x:c r="Y236" s="39" t="n">
        <x:v>-0.1289602812</x:v>
      </x:c>
      <x:c r="Z236" s="39" t="n">
        <x:v>-0.0276720479</x:v>
      </x:c>
      <x:c r="AA236" s="39" t="n">
        <x:v>0.0372524666</x:v>
      </x:c>
      <x:c r="AB236" s="39" t="n">
        <x:v>0.1540082663</x:v>
      </x:c>
      <x:c r="AC236" s="39" t="n">
        <x:v>0.2794378935</x:v>
      </x:c>
      <x:c r="AD236" s="39" t="n">
        <x:v>-0.0685605108</x:v>
      </x:c>
      <x:c r="AE236" s="39" t="n">
        <x:v>-0.1044658958</x:v>
      </x:c>
      <x:c r="AF236" s="39" t="n">
        <x:v>-0.0074838746</x:v>
      </x:c>
      <x:c r="AG236" s="39" t="n">
        <x:v>-0.0227104356</x:v>
      </x:c>
      <x:c r="AH236" s="39" t="n">
        <x:v>-0.0895330772</x:v>
      </x:c>
      <x:c r="AI236" s="39" t="n">
        <x:v>-0.1972126263</x:v>
      </x:c>
      <x:c r="AJ236" s="39" t="n">
        <x:v>0.1318222539</x:v>
      </x:c>
      <x:c r="AK236" s="39" t="n">
        <x:v>0.0426527072</x:v>
      </x:c>
      <x:c r="AL236" s="39" t="n">
        <x:v>-0.1955229873</x:v>
      </x:c>
      <x:c r="AM236" s="39" t="n">
        <x:v>-0.037941813</x:v>
      </x:c>
      <x:c r="AN236" s="39" t="n">
        <x:v>0.146682567</x:v>
      </x:c>
      <x:c r="AO236" s="39" t="n">
        <x:v>-0.0878597412</x:v>
      </x:c>
      <x:c r="AP236" s="39" t="n">
        <x:v>-0.0926441349</x:v>
      </x:c>
      <x:c r="AQ236" s="39" t="n">
        <x:v>-0.0467629175</x:v>
      </x:c>
      <x:c r="AR236" s="39" t="n">
        <x:v>0.0913999238</x:v>
      </x:c>
      <x:c r="AS236" s="39" t="n">
        <x:v>-0.01633719</x:v>
      </x:c>
    </x:row>
    <x:row r="237" ht="19" customHeight="1">
      <x:c r="A237" s="30" t="str">
        <x:v>Other FX</x:v>
      </x:c>
      <x:c r="B237" s="40" t="d">
        <x:v>2025-12-29T00:00:00.000Z</x:v>
      </x:c>
      <x:c r="C237" s="39" t="n">
        <x:v>-0.0152080045</x:v>
      </x:c>
      <x:c r="D237" s="39" t="n">
        <x:v>-0.0990445755</x:v>
      </x:c>
      <x:c r="E237" s="39" t="n">
        <x:v>-0.0399606329</x:v>
      </x:c>
      <x:c r="F237" s="39" t="n">
        <x:v>-0.0056636164</x:v>
      </x:c>
      <x:c r="G237" s="39" t="n">
        <x:v>0.0900726718</x:v>
      </x:c>
      <x:c r="H237" s="39" t="n">
        <x:v>0.1358574308</x:v>
      </x:c>
      <x:c r="I237" s="39" t="n">
        <x:v>-0.0196600404</x:v>
      </x:c>
      <x:c r="J237" s="39" t="n">
        <x:v>-0.0641942768</x:v>
      </x:c>
      <x:c r="K237" s="39" t="n">
        <x:v>-0.0412665573</x:v>
      </x:c>
      <x:c r="L237" s="39" t="n">
        <x:v>-0.0769860592</x:v>
      </x:c>
      <x:c r="M237" s="39" t="n">
        <x:v>0.0421363419</x:v>
      </x:c>
      <x:c r="N237" s="39" t="n">
        <x:v>-0.0119316956</x:v>
      </x:c>
      <x:c r="O237" s="39" t="n">
        <x:v>0.0158446125</x:v>
      </x:c>
      <x:c r="P237" s="39" t="n">
        <x:v>0.0895100415</x:v>
      </x:c>
      <x:c r="Q237" s="39" t="n">
        <x:v>0.0375107178</x:v>
      </x:c>
      <x:c r="R237" s="39" t="n">
        <x:v>0.0203813531</x:v>
      </x:c>
      <x:c r="S237" s="39" t="n">
        <x:v>-0.0154463871</x:v>
      </x:c>
      <x:c r="T237" s="39" t="n">
        <x:v>-0.036748523</x:v>
      </x:c>
      <x:c r="U237" s="39" t="n">
        <x:v>0.1360900855</x:v>
      </x:c>
      <x:c r="V237" s="39" t="n">
        <x:v>0.0331906753</x:v>
      </x:c>
      <x:c r="W237" s="39" t="n">
        <x:v>-0.1432365165</x:v>
      </x:c>
      <x:c r="X237" s="39" t="n">
        <x:v>0.1063367512</x:v>
      </x:c>
      <x:c r="Y237" s="39" t="n">
        <x:v>0.3513208032</x:v>
      </x:c>
      <x:c r="Z237" s="39" t="n">
        <x:v>0.1272199527</x:v>
      </x:c>
      <x:c r="AA237" s="39" t="n">
        <x:v>0.0178330825</x:v>
      </x:c>
      <x:c r="AB237" s="39" t="n">
        <x:v>-0.1287285757</x:v>
      </x:c>
      <x:c r="AC237" s="39" t="n">
        <x:v>-0.029081727</x:v>
      </x:c>
      <x:c r="AD237" s="39" t="n">
        <x:v>-0.0284740656</x:v>
      </x:c>
      <x:c r="AE237" s="39" t="n">
        <x:v>0.0022510325</x:v>
      </x:c>
      <x:c r="AF237" s="39" t="n">
        <x:v>0.0612020618</x:v>
      </x:c>
      <x:c r="AG237" s="39" t="n">
        <x:v>0.1540322744</x:v>
      </x:c>
      <x:c r="AH237" s="39" t="n">
        <x:v>0.1770356667</x:v>
      </x:c>
      <x:c r="AI237" s="39" t="n">
        <x:v>-0.0145628956</x:v>
      </x:c>
      <x:c r="AJ237" s="39" t="n">
        <x:v>0.0991778149</x:v>
      </x:c>
      <x:c r="AK237" s="39" t="n">
        <x:v>-0.1665216778</x:v>
      </x:c>
      <x:c r="AL237" s="39" t="n">
        <x:v>0.0817619189</x:v>
      </x:c>
      <x:c r="AM237" s="39" t="n">
        <x:v>-0.0316295788</x:v>
      </x:c>
      <x:c r="AN237" s="39" t="n">
        <x:v>-0.0597373566</x:v>
      </x:c>
      <x:c r="AO237" s="39" t="n">
        <x:v>-0.0897090297</x:v>
      </x:c>
      <x:c r="AP237" s="39" t="n">
        <x:v>-0.0500442336</x:v>
      </x:c>
      <x:c r="AQ237" s="39" t="n">
        <x:v>-0.0395483954</x:v>
      </x:c>
      <x:c r="AR237" s="39" t="n">
        <x:v>0.0212105109</x:v>
      </x:c>
      <x:c r="AS237" s="39" t="n">
        <x:v>-0.03886878</x:v>
      </x:c>
    </x:row>
    <x:row r="238" ht="19" customHeight="1">
      <x:c r="A238" s="30" t="str">
        <x:v>Other FX</x:v>
      </x:c>
      <x:c r="B238" s="40" t="d">
        <x:v>2026-01-26T00:00:00.000Z</x:v>
      </x:c>
      <x:c r="C238" s="39" t="n">
        <x:v>-0.0638151392</x:v>
      </x:c>
      <x:c r="D238" s="39" t="n">
        <x:v>0.2828601573</x:v>
      </x:c>
      <x:c r="E238" s="39" t="n">
        <x:v>-0.0093389042</x:v>
      </x:c>
      <x:c r="F238" s="39" t="n">
        <x:v>0.0321057662</x:v>
      </x:c>
      <x:c r="G238" s="39" t="n">
        <x:v>-0.0422817788</x:v>
      </x:c>
      <x:c r="H238" s="39" t="n">
        <x:v>-0.0074345247</x:v>
      </x:c>
      <x:c r="I238" s="39" t="n">
        <x:v>0.0824844337</x:v>
      </x:c>
      <x:c r="J238" s="39" t="n">
        <x:v>0.0507024109</x:v>
      </x:c>
      <x:c r="K238" s="39" t="n">
        <x:v>0.4055734166</x:v>
      </x:c>
      <x:c r="L238" s="39" t="n">
        <x:v>0.1396131378</x:v>
      </x:c>
      <x:c r="M238" s="39" t="n">
        <x:v>0.2271974453</x:v>
      </x:c>
      <x:c r="N238" s="39" t="n">
        <x:v>0.0837144799</x:v>
      </x:c>
      <x:c r="O238" s="39" t="n">
        <x:v>-0.0149629981</x:v>
      </x:c>
      <x:c r="P238" s="39" t="n">
        <x:v>0.2729597077</x:v>
      </x:c>
      <x:c r="Q238" s="39" t="n">
        <x:v>0.0637349219</x:v>
      </x:c>
      <x:c r="R238" s="39" t="n">
        <x:v>0.1810451952</x:v>
      </x:c>
      <x:c r="S238" s="39" t="n">
        <x:v>0.0552346931</x:v>
      </x:c>
      <x:c r="T238" s="39" t="n">
        <x:v>-0.1501824779</x:v>
      </x:c>
      <x:c r="U238" s="39" t="n">
        <x:v>0.3817327598</x:v>
      </x:c>
      <x:c r="V238" s="39" t="n">
        <x:v>-0.2293619004</x:v>
      </x:c>
      <x:c r="W238" s="39" t="n">
        <x:v>-0.1290729919</x:v>
      </x:c>
      <x:c r="X238" s="39" t="n">
        <x:v>0.0481429003</x:v>
      </x:c>
      <x:c r="Y238" s="39" t="n">
        <x:v>0.2389861645</x:v>
      </x:c>
      <x:c r="Z238" s="39" t="n">
        <x:v>-0.0611725795</x:v>
      </x:c>
      <x:c r="AA238" s="39" t="n">
        <x:v>-0.0294298891</x:v>
      </x:c>
      <x:c r="AB238" s="39" t="n">
        <x:v>0.2870383166</x:v>
      </x:c>
      <x:c r="AC238" s="39" t="n">
        <x:v>-0.2328785771</x:v>
      </x:c>
      <x:c r="AD238" s="39" t="n">
        <x:v>0.0602721805</x:v>
      </x:c>
      <x:c r="AE238" s="39" t="n">
        <x:v>-0.0707912894</x:v>
      </x:c>
      <x:c r="AF238" s="39" t="n">
        <x:v>-0.1742466422</x:v>
      </x:c>
      <x:c r="AG238" s="39" t="n">
        <x:v>-0.0834319529</x:v>
      </x:c>
      <x:c r="AH238" s="39" t="n">
        <x:v>0.164623231</x:v>
      </x:c>
      <x:c r="AI238" s="39" t="n">
        <x:v>-0.049962125</x:v>
      </x:c>
      <x:c r="AJ238" s="39" t="n">
        <x:v>-0.0612451696</x:v>
      </x:c>
      <x:c r="AK238" s="39" t="n">
        <x:v>-0.083934257</x:v>
      </x:c>
      <x:c r="AL238" s="39" t="n">
        <x:v>-0.0422037003</x:v>
      </x:c>
      <x:c r="AM238" s="39" t="n">
        <x:v>-0.1418063201</x:v>
      </x:c>
      <x:c r="AN238" s="39" t="n">
        <x:v>0.0205229438</x:v>
      </x:c>
      <x:c r="AO238" s="39" t="n">
        <x:v>0.0840922547</x:v>
      </x:c>
      <x:c r="AP238" s="39" t="n">
        <x:v>0.0640565337</x:v>
      </x:c>
      <x:c r="AQ238" s="39" t="n">
        <x:v>0.0512917337</x:v>
      </x:c>
      <x:c r="AR238" s="39" t="n">
        <x:v>0.0907766015</x:v>
      </x:c>
      <x:c r="AS238" s="39" t="n">
        <x:v>-0.0950195724</x:v>
      </x:c>
    </x:row>
    <x:row r="239" ht="19" customHeight="1">
      <x:c r="A239" s="30" t="str">
        <x:v>Other FX</x:v>
      </x:c>
      <x:c r="B239" s="40" t="d">
        <x:v>2026-02-23T00:00:00.000Z</x:v>
      </x:c>
      <x:c r="C239" s="39" t="n">
        <x:v>0.1424594139</x:v>
      </x:c>
      <x:c r="D239" s="39" t="n">
        <x:v>-0.1082263053</x:v>
      </x:c>
      <x:c r="E239" s="39" t="n">
        <x:v>0.1447728241</x:v>
      </x:c>
      <x:c r="F239" s="39" t="n">
        <x:v>0.1783640917</x:v>
      </x:c>
      <x:c r="G239" s="39" t="n">
        <x:v>-0.1227471054</x:v>
      </x:c>
      <x:c r="H239" s="39" t="n">
        <x:v>-0.0987937825</x:v>
      </x:c>
      <x:c r="I239" s="39" t="n">
        <x:v>-0.1987573346</x:v>
      </x:c>
      <x:c r="J239" s="39" t="n">
        <x:v>0.2417207192</x:v>
      </x:c>
      <x:c r="K239" s="39" t="n">
        <x:v>-0.0723680673</x:v>
      </x:c>
      <x:c r="L239" s="39" t="n">
        <x:v>0.1924712913</x:v>
      </x:c>
      <x:c r="M239" s="39" t="n">
        <x:v>0.1077619836</x:v>
      </x:c>
      <x:c r="N239" s="39" t="n">
        <x:v>0.0970748581</x:v>
      </x:c>
      <x:c r="O239" s="39" t="n">
        <x:v>0.0798991237</x:v>
      </x:c>
      <x:c r="P239" s="39" t="n">
        <x:v>0.0635946078</x:v>
      </x:c>
      <x:c r="Q239" s="39" t="n">
        <x:v>0.0427376142</x:v>
      </x:c>
      <x:c r="R239" s="39" t="n">
        <x:v>0.022147993</x:v>
      </x:c>
      <x:c r="S239" s="39" t="n">
        <x:v>0.1224905888</x:v>
      </x:c>
      <x:c r="T239" s="39" t="n">
        <x:v>-0.0449324203</x:v>
      </x:c>
      <x:c r="U239" s="39" t="n">
        <x:v>0.2182607543</x:v>
      </x:c>
      <x:c r="V239" s="39" t="n">
        <x:v>0.1746779297</x:v>
      </x:c>
      <x:c r="W239" s="39" t="n">
        <x:v>0.2162693028</x:v>
      </x:c>
      <x:c r="X239" s="39" t="n">
        <x:v>0.0221066687</x:v>
      </x:c>
      <x:c r="Y239" s="39" t="n">
        <x:v>-0.1232881306</x:v>
      </x:c>
      <x:c r="Z239" s="39" t="n">
        <x:v>0.1002397191</x:v>
      </x:c>
      <x:c r="AA239" s="39" t="n">
        <x:v>0.0408559892</x:v>
      </x:c>
      <x:c r="AB239" s="39" t="n">
        <x:v>0.007981272</x:v>
      </x:c>
      <x:c r="AC239" s="39" t="n">
        <x:v>-0.556403086</x:v>
      </x:c>
      <x:c r="AD239" s="39" t="n">
        <x:v>0.1185464868</x:v>
      </x:c>
      <x:c r="AE239" s="39" t="n">
        <x:v>-0.0349839172</x:v>
      </x:c>
      <x:c r="AF239" s="39" t="n">
        <x:v>-0.0035398006</x:v>
      </x:c>
      <x:c r="AG239" s="39" t="n">
        <x:v>-0.1069133947</x:v>
      </x:c>
      <x:c r="AH239" s="39" t="n">
        <x:v>0.0257645248</x:v>
      </x:c>
      <x:c r="AI239" s="39" t="n">
        <x:v>-0.3426523556</x:v>
      </x:c>
      <x:c r="AJ239" s="39" t="n">
        <x:v>0.024157368</x:v>
      </x:c>
      <x:c r="AK239" s="39" t="n">
        <x:v>0.0891270571</x:v>
      </x:c>
      <x:c r="AL239" s="39" t="n">
        <x:v>0.2622274709</x:v>
      </x:c>
      <x:c r="AM239" s="39" t="n">
        <x:v>-0.1354847145</x:v>
      </x:c>
      <x:c r="AN239" s="39" t="n">
        <x:v>-0.1775037776</x:v>
      </x:c>
      <x:c r="AO239" s="39" t="n">
        <x:v>0.0714264599</x:v>
      </x:c>
      <x:c r="AP239" s="39" t="n">
        <x:v>-0.0065147406</x:v>
      </x:c>
      <x:c r="AQ239" s="39" t="n">
        <x:v>0.0907737112</x:v>
      </x:c>
      <x:c r="AR239" s="39" t="n">
        <x:v>0.1134392633</x:v>
      </x:c>
      <x:c r="AS239" s="39" t="n">
        <x:v>0.0466893755</x:v>
      </x:c>
    </x:row>
    <x:row r="240" ht="19" customHeight="1">
      <x:c r="A240" s="30" t="str">
        <x:v>Other FX</x:v>
      </x:c>
      <x:c r="B240" s="40" t="d">
        <x:v>2026-03-23T00:00:00.000Z</x:v>
      </x:c>
      <x:c r="C240" s="39" t="n">
        <x:v>-0.170607414</x:v>
      </x:c>
      <x:c r="D240" s="39" t="n">
        <x:v>0.3592576881</x:v>
      </x:c>
      <x:c r="E240" s="39" t="n">
        <x:v>-0.0102581535</x:v>
      </x:c>
      <x:c r="F240" s="39" t="n">
        <x:v>0.0394058562</x:v>
      </x:c>
      <x:c r="G240" s="39" t="n">
        <x:v>-0.1652985592</x:v>
      </x:c>
      <x:c r="H240" s="39" t="n">
        <x:v>-0.2388812936</x:v>
      </x:c>
      <x:c r="I240" s="39" t="n">
        <x:v>-0.0804025102</x:v>
      </x:c>
      <x:c r="J240" s="39" t="n">
        <x:v>-0.0428770407</x:v>
      </x:c>
      <x:c r="K240" s="39" t="n">
        <x:v>-0.0220946197</x:v>
      </x:c>
      <x:c r="L240" s="39" t="n">
        <x:v>0.3354362564</x:v>
      </x:c>
      <x:c r="M240" s="39" t="n">
        <x:v>0.4867748597</x:v>
      </x:c>
      <x:c r="N240" s="39" t="n">
        <x:v>0.0406121075</x:v>
      </x:c>
      <x:c r="O240" s="39" t="n">
        <x:v>-0.1552136085</x:v>
      </x:c>
      <x:c r="P240" s="39" t="n">
        <x:v>0.0220964584</x:v>
      </x:c>
      <x:c r="Q240" s="39" t="n">
        <x:v>-0.0922962997</x:v>
      </x:c>
      <x:c r="R240" s="39" t="n">
        <x:v>0.5759807236</x:v>
      </x:c>
      <x:c r="S240" s="39" t="n">
        <x:v>-0.0682167219</x:v>
      </x:c>
      <x:c r="T240" s="39" t="n">
        <x:v>0.2542012104</x:v>
      </x:c>
      <x:c r="U240" s="39" t="n">
        <x:v>0.0143081779</x:v>
      </x:c>
      <x:c r="V240" s="39" t="n">
        <x:v>-0.3586130359</x:v>
      </x:c>
      <x:c r="W240" s="39" t="n">
        <x:v>-0.0457338022</x:v>
      </x:c>
      <x:c r="X240" s="39" t="n">
        <x:v>-0.0641844061</x:v>
      </x:c>
      <x:c r="Y240" s="39" t="n">
        <x:v>-0.16816844</x:v>
      </x:c>
      <x:c r="Z240" s="39" t="n">
        <x:v>-0.2156553613</x:v>
      </x:c>
      <x:c r="AA240" s="39" t="n">
        <x:v>-0.1109455224</x:v>
      </x:c>
      <x:c r="AB240" s="39" t="n">
        <x:v>0.3961697262</x:v>
      </x:c>
      <x:c r="AC240" s="39" t="n">
        <x:v>-0.1461349623</x:v>
      </x:c>
      <x:c r="AD240" s="39" t="n">
        <x:v>-0.2053161162</x:v>
      </x:c>
      <x:c r="AE240" s="39" t="n">
        <x:v>-0.2438520501</x:v>
      </x:c>
      <x:c r="AF240" s="39" t="n">
        <x:v>0.1779829794</x:v>
      </x:c>
      <x:c r="AG240" s="39" t="n">
        <x:v>-0.1787795734</x:v>
      </x:c>
      <x:c r="AH240" s="39" t="n">
        <x:v>-0.1591582622</x:v>
      </x:c>
      <x:c r="AI240" s="39" t="n">
        <x:v>0.0663067387</x:v>
      </x:c>
      <x:c r="AJ240" s="39" t="n">
        <x:v>-0.2786063582</x:v>
      </x:c>
      <x:c r="AK240" s="39" t="n">
        <x:v>-0.0483407314</x:v>
      </x:c>
      <x:c r="AL240" s="39" t="n">
        <x:v>0.0467779311</x:v>
      </x:c>
      <x:c r="AM240" s="39" t="n">
        <x:v>-0.1482500041</x:v>
      </x:c>
      <x:c r="AN240" s="39" t="n">
        <x:v>-0.1645424615</x:v>
      </x:c>
      <x:c r="AO240" s="39" t="n">
        <x:v>-0.0147914534</x:v>
      </x:c>
      <x:c r="AP240" s="39" t="n">
        <x:v>-0.2102741723</x:v>
      </x:c>
      <x:c r="AQ240" s="39" t="n">
        <x:v>-0.0681167745</x:v>
      </x:c>
      <x:c r="AR240" s="39" t="n">
        <x:v>-0.0331683828</x:v>
      </x:c>
      <x:c r="AS240" s="39" t="n">
        <x:v>-0.0979116532</x:v>
      </x:c>
    </x:row>
    <x:row r="241" ht="19" customHeight="1">
      <x:c r="A241" s="30" t="str">
        <x:v>Other FX</x:v>
      </x:c>
      <x:c r="B241" s="40" t="d">
        <x:v>2026-04-20T00:00:00.000Z</x:v>
      </x:c>
      <x:c r="C241" s="39" t="n">
        <x:v>0.0868435644</x:v>
      </x:c>
      <x:c r="D241" s="39" t="n">
        <x:v>-0.1133984139</x:v>
      </x:c>
      <x:c r="E241" s="39" t="n">
        <x:v>-0.0024983114</x:v>
      </x:c>
      <x:c r="F241" s="39" t="n">
        <x:v>0.0526664131</x:v>
      </x:c>
      <x:c r="G241" s="39" t="n">
        <x:v>0.1115184319</x:v>
      </x:c>
      <x:c r="H241" s="39" t="n">
        <x:v>0.102858831</x:v>
      </x:c>
      <x:c r="I241" s="39" t="n">
        <x:v>0.4396853229</x:v>
      </x:c>
      <x:c r="J241" s="39" t="n">
        <x:v>0.2270150883</x:v>
      </x:c>
      <x:c r="K241" s="39" t="n">
        <x:v>0.552662845</x:v>
      </x:c>
      <x:c r="L241" s="39" t="n">
        <x:v>-0.1180177782</x:v>
      </x:c>
      <x:c r="M241" s="39" t="n">
        <x:v>-0.1890015744</x:v>
      </x:c>
      <x:c r="N241" s="39" t="n">
        <x:v>-0.1400681414</x:v>
      </x:c>
      <x:c r="O241" s="39" t="n">
        <x:v>-0.1837983609</x:v>
      </x:c>
      <x:c r="P241" s="39" t="n">
        <x:v>0.4475331404</x:v>
      </x:c>
      <x:c r="Q241" s="39" t="n">
        <x:v>0.05360987</x:v>
      </x:c>
      <x:c r="R241" s="39" t="n">
        <x:v>0.2449096406</x:v>
      </x:c>
      <x:c r="S241" s="39" t="n">
        <x:v>-0.0939381635</x:v>
      </x:c>
      <x:c r="T241" s="39" t="n">
        <x:v>0.0309180143</x:v>
      </x:c>
      <x:c r="U241" s="39" t="n">
        <x:v>-0.1081241903</x:v>
      </x:c>
      <x:c r="V241" s="39" t="n">
        <x:v>-0.1242942654</x:v>
      </x:c>
      <x:c r="W241" s="39" t="n">
        <x:v>-0.0166744061</x:v>
      </x:c>
      <x:c r="X241" s="39" t="n">
        <x:v>-0.098000947</x:v>
      </x:c>
      <x:c r="Y241" s="39" t="n">
        <x:v>0.3509128399</x:v>
      </x:c>
      <x:c r="Z241" s="39" t="n">
        <x:v>0.0549409845</x:v>
      </x:c>
      <x:c r="AA241" s="39" t="n">
        <x:v>0.016864858</x:v>
      </x:c>
      <x:c r="AB241" s="39" t="n">
        <x:v>0.6879418269</x:v>
      </x:c>
      <x:c r="AC241" s="39" t="n">
        <x:v>0.4721090733</x:v>
      </x:c>
      <x:c r="AD241" s="39" t="n">
        <x:v>0.0208454008</x:v>
      </x:c>
      <x:c r="AE241" s="39" t="n">
        <x:v>0.0091316746</x:v>
      </x:c>
      <x:c r="AF241" s="39" t="n">
        <x:v>0.2541256054</x:v>
      </x:c>
      <x:c r="AG241" s="39" t="n">
        <x:v>0.1954169598</x:v>
      </x:c>
      <x:c r="AH241" s="39" t="n">
        <x:v>-0.2015223134</x:v>
      </x:c>
      <x:c r="AI241" s="39" t="n">
        <x:v>0.719614432</x:v>
      </x:c>
      <x:c r="AJ241" s="39" t="n">
        <x:v>0.0101616843</x:v>
      </x:c>
      <x:c r="AK241" s="39" t="n">
        <x:v>0.0090470123</x:v>
      </x:c>
      <x:c r="AL241" s="39" t="n">
        <x:v>0.3969120041</x:v>
      </x:c>
      <x:c r="AM241" s="39" t="n">
        <x:v>0.2725199786</x:v>
      </x:c>
      <x:c r="AN241" s="39" t="n">
        <x:v>0.2748358163</x:v>
      </x:c>
      <x:c r="AO241" s="39" t="n">
        <x:v>-0.0160783573</x:v>
      </x:c>
      <x:c r="AP241" s="39" t="n">
        <x:v>0.0147026659</x:v>
      </x:c>
      <x:c r="AQ241" s="39" t="n">
        <x:v>-0.0455211767</x:v>
      </x:c>
      <x:c r="AR241" s="39" t="n">
        <x:v>-0.1315470813</x:v>
      </x:c>
      <x:c r="AS241" s="39" t="n">
        <x:v>-0.0403347153</x:v>
      </x:c>
    </x:row>
    <x:row r="242" ht="19" customHeight="1">
      <x:c r="A242" s="30" t="str">
        <x:v>Other FX</x:v>
      </x:c>
      <x:c r="B242" s="40" t="d">
        <x:v>2026-05-18T00:00:00.000Z</x:v>
      </x:c>
      <x:c r="C242" s="39" t="n">
        <x:v>-0.0800308211</x:v>
      </x:c>
      <x:c r="D242" s="39" t="n">
        <x:v>0.0622003868</x:v>
      </x:c>
      <x:c r="E242" s="39" t="n">
        <x:v>-0.0349746854</x:v>
      </x:c>
      <x:c r="F242" s="39" t="n">
        <x:v>-0.0087771024</x:v>
      </x:c>
      <x:c r="G242" s="39" t="n">
        <x:v>0.0068319822</x:v>
      </x:c>
      <x:c r="H242" s="39" t="n">
        <x:v>-0.0629688204</x:v>
      </x:c>
      <x:c r="I242" s="39" t="n">
        <x:v>0.0139500732</x:v>
      </x:c>
      <x:c r="J242" s="39" t="n">
        <x:v>0.0407822648</x:v>
      </x:c>
      <x:c r="K242" s="39" t="n">
        <x:v>0.4919052347</x:v>
      </x:c>
      <x:c r="L242" s="39" t="n">
        <x:v>0.080598002</x:v>
      </x:c>
      <x:c r="M242" s="39" t="n">
        <x:v>0.0165440327</x:v>
      </x:c>
      <x:c r="N242" s="39" t="n">
        <x:v>-0.0215141737</x:v>
      </x:c>
      <x:c r="O242" s="39" t="n">
        <x:v>0.0091399436</x:v>
      </x:c>
      <x:c r="P242" s="39" t="n">
        <x:v>0.2407259564</x:v>
      </x:c>
      <x:c r="Q242" s="39" t="n">
        <x:v>0.1205253529</x:v>
      </x:c>
      <x:c r="R242" s="39" t="n">
        <x:v>0.8087011623</x:v>
      </x:c>
      <x:c r="S242" s="39" t="n">
        <x:v>0.025379327</x:v>
      </x:c>
      <x:c r="T242" s="39" t="n">
        <x:v>0.0682756085</x:v>
      </x:c>
      <x:c r="U242" s="39" t="n">
        <x:v>-0.1212816192</x:v>
      </x:c>
      <x:c r="V242" s="39" t="n">
        <x:v>-0.045086848</x:v>
      </x:c>
      <x:c r="W242" s="39" t="n">
        <x:v>-0.0673545085</x:v>
      </x:c>
      <x:c r="X242" s="39" t="n">
        <x:v>-0.1367773911</x:v>
      </x:c>
      <x:c r="Y242" s="39" t="n">
        <x:v>0.6072393417</x:v>
      </x:c>
      <x:c r="Z242" s="39" t="n">
        <x:v>-0.196434703</x:v>
      </x:c>
      <x:c r="AA242" s="39" t="n">
        <x:v>-0.0109428762</x:v>
      </x:c>
      <x:c r="AB242" s="39" t="n">
        <x:v>-0.2065043331</x:v>
      </x:c>
      <x:c r="AC242" s="39" t="n">
        <x:v>-0.2527936012</x:v>
      </x:c>
      <x:c r="AD242" s="39" t="n">
        <x:v>-0.0429978515</x:v>
      </x:c>
      <x:c r="AE242" s="39" t="n">
        <x:v>0.3056811052</x:v>
      </x:c>
      <x:c r="AF242" s="39" t="n">
        <x:v>0.4581048376</x:v>
      </x:c>
      <x:c r="AG242" s="39" t="n">
        <x:v>-0.0978268127</x:v>
      </x:c>
      <x:c r="AH242" s="39" t="n">
        <x:v>-0.1901693007</x:v>
      </x:c>
      <x:c r="AI242" s="39" t="n">
        <x:v>0.4363589973</x:v>
      </x:c>
      <x:c r="AJ242" s="39" t="n">
        <x:v>0.2985110499</x:v>
      </x:c>
      <x:c r="AK242" s="39" t="n">
        <x:v>0.0387208037</x:v>
      </x:c>
      <x:c r="AL242" s="39" t="n">
        <x:v>0.6093853344</x:v>
      </x:c>
      <x:c r="AM242" s="39" t="n">
        <x:v>-0.0193467817</x:v>
      </x:c>
      <x:c r="AN242" s="39" t="n">
        <x:v>0.1474919016</x:v>
      </x:c>
      <x:c r="AO242" s="39" t="n">
        <x:v>0.0157103746</x:v>
      </x:c>
      <x:c r="AP242" s="39" t="n">
        <x:v>-0.1153783662</x:v>
      </x:c>
      <x:c r="AQ242" s="39" t="n">
        <x:v>0.0865950813</x:v>
      </x:c>
      <x:c r="AR242" s="39" t="n">
        <x:v>0.0352267125</x:v>
      </x:c>
      <x:c r="AS242" s="39" t="n">
        <x:v>0.046001413</x:v>
      </x:c>
    </x:row>
    <x:row r="243" ht="19" customHeight="1">
      <x:c r="A243" s="30" t="str">
        <x:v>Other FX</x:v>
      </x:c>
      <x:c r="B243" s="40" t="d">
        <x:v>2026-06-15T00:00:00.000Z</x:v>
      </x:c>
      <x:c r="C243" s="39" t="n">
        <x:v>0.0752784602</x:v>
      </x:c>
      <x:c r="D243" s="39" t="n">
        <x:v>-0.1888908411</x:v>
      </x:c>
      <x:c r="E243" s="39" t="n">
        <x:v>-0.0324062554</x:v>
      </x:c>
      <x:c r="F243" s="39" t="n">
        <x:v>-0.0185851604</x:v>
      </x:c>
      <x:c r="G243" s="39" t="n">
        <x:v>0.0419005524</x:v>
      </x:c>
      <x:c r="H243" s="39" t="n">
        <x:v>0.0099213391</x:v>
      </x:c>
      <x:c r="I243" s="39" t="n">
        <x:v>-0.138356334</x:v>
      </x:c>
      <x:c r="J243" s="39" t="n">
        <x:v>0.1123780306</x:v>
      </x:c>
      <x:c r="K243" s="39" t="n">
        <x:v>0.4534877931</x:v>
      </x:c>
      <x:c r="L243" s="39" t="n">
        <x:v>-0.0710419278</x:v>
      </x:c>
      <x:c r="M243" s="39" t="n">
        <x:v>-0.2696980396</x:v>
      </x:c>
      <x:c r="N243" s="39" t="n">
        <x:v>-0.1106238022</x:v>
      </x:c>
      <x:c r="O243" s="39" t="n">
        <x:v>0.170823508</x:v>
      </x:c>
      <x:c r="P243" s="39" t="n">
        <x:v>0.7044405574</x:v>
      </x:c>
      <x:c r="Q243" s="39" t="n">
        <x:v>-0.104898365</x:v>
      </x:c>
      <x:c r="R243" s="39" t="n">
        <x:v>0.1438555084</x:v>
      </x:c>
      <x:c r="S243" s="39" t="n">
        <x:v>-0.2497142295</x:v>
      </x:c>
      <x:c r="T243" s="39" t="n">
        <x:v>0.0577180075</x:v>
      </x:c>
      <x:c r="U243" s="39" t="n">
        <x:v>0.5814754704</x:v>
      </x:c>
      <x:c r="V243" s="39" t="n">
        <x:v>0.1488967409</x:v>
      </x:c>
      <x:c r="W243" s="39" t="n">
        <x:v>-0.2180055072</x:v>
      </x:c>
      <x:c r="X243" s="39" t="n">
        <x:v>-0.1430367112</x:v>
      </x:c>
      <x:c r="Y243" s="39" t="n">
        <x:v>0.6751850228</x:v>
      </x:c>
      <x:c r="Z243" s="39" t="n">
        <x:v>0.030470022</x:v>
      </x:c>
      <x:c r="AA243" s="39" t="n">
        <x:v>0.042684209</x:v>
      </x:c>
      <x:c r="AB243" s="39" t="n">
        <x:v>0.284844421</x:v>
      </x:c>
      <x:c r="AC243" s="39" t="n">
        <x:v>0.2045991365</x:v>
      </x:c>
      <x:c r="AD243" s="39" t="n">
        <x:v>0.0870868754</x:v>
      </x:c>
      <x:c r="AE243" s="39" t="n">
        <x:v>-0.0496884673</x:v>
      </x:c>
      <x:c r="AF243" s="39" t="n">
        <x:v>0.3788150144</x:v>
      </x:c>
      <x:c r="AG243" s="39" t="n">
        <x:v>0.0820084309</x:v>
      </x:c>
      <x:c r="AH243" s="39" t="n">
        <x:v>-0.1393182692</x:v>
      </x:c>
      <x:c r="AI243" s="39" t="n">
        <x:v>0.2419190409</x:v>
      </x:c>
      <x:c r="AJ243" s="39" t="n">
        <x:v>0.0499667706</x:v>
      </x:c>
      <x:c r="AK243" s="39" t="n">
        <x:v>-0.0586283939</x:v>
      </x:c>
      <x:c r="AL243" s="39" t="n">
        <x:v>-0.2315214987</x:v>
      </x:c>
      <x:c r="AM243" s="39" t="n">
        <x:v>-0.158191833</x:v>
      </x:c>
      <x:c r="AN243" s="39" t="n">
        <x:v>-0.0528723748</x:v>
      </x:c>
      <x:c r="AO243" s="39" t="n">
        <x:v>-0.1144067594</x:v>
      </x:c>
      <x:c r="AP243" s="39" t="n">
        <x:v>0.139574364</x:v>
      </x:c>
      <x:c r="AQ243" s="39" t="n">
        <x:v>-0.014443168</x:v>
      </x:c>
      <x:c r="AR243" s="39" t="n">
        <x:v>-0.0267737802</x:v>
      </x:c>
      <x:c r="AS243" s="39" t="n">
        <x:v>0.016336813</x:v>
      </x:c>
    </x:row>
    <x:row r="244" ht="19" customHeight="1">
      <x:c r="A244" s="30" t="str">
        <x:v>Other FX</x:v>
      </x:c>
      <x:c r="B244" s="40" t="d">
        <x:v>2026-07-13T00:00:00.000Z</x:v>
      </x:c>
      <x:c r="C244" s="39" t="n">
        <x:v>-0.0827582749</x:v>
      </x:c>
      <x:c r="D244" s="39" t="n">
        <x:v>-0.145322325</x:v>
      </x:c>
      <x:c r="E244" s="39" t="n">
        <x:v>0.0541895861</x:v>
      </x:c>
      <x:c r="F244" s="39" t="n">
        <x:v>0.031006744</x:v>
      </x:c>
      <x:c r="G244" s="39" t="n">
        <x:v>-0.0797369036</x:v>
      </x:c>
      <x:c r="H244" s="39" t="n">
        <x:v>0.1034235501</x:v>
      </x:c>
      <x:c r="I244" s="39" t="n">
        <x:v>0.0188661656</x:v>
      </x:c>
      <x:c r="J244" s="39" t="n">
        <x:v>-0.3015777511</x:v>
      </x:c>
      <x:c r="K244" s="39" t="n">
        <x:v>-0.550194112</x:v>
      </x:c>
      <x:c r="L244" s="39" t="n">
        <x:v>0.4414398616</x:v>
      </x:c>
      <x:c r="M244" s="39" t="n">
        <x:v>0.2697662126</x:v>
      </x:c>
      <x:c r="N244" s="39" t="n">
        <x:v>0.1582566801</x:v>
      </x:c>
      <x:c r="O244" s="39" t="n">
        <x:v>-0.0410982345</x:v>
      </x:c>
      <x:c r="P244" s="39" t="n">
        <x:v>-0.7610626693</x:v>
      </x:c>
      <x:c r="Q244" s="39" t="n">
        <x:v>0.193888791</x:v>
      </x:c>
      <x:c r="R244" s="39" t="n">
        <x:v>-0.6147623806</x:v>
      </x:c>
      <x:c r="S244" s="39" t="n">
        <x:v>-0.0116924244</x:v>
      </x:c>
      <x:c r="T244" s="39" t="n">
        <x:v>0.3502308926</x:v>
      </x:c>
      <x:c r="U244" s="39" t="n">
        <x:v>-0.0291110001</x:v>
      </x:c>
      <x:c r="V244" s="39" t="n">
        <x:v>0.3047688179</x:v>
      </x:c>
      <x:c r="W244" s="39" t="n">
        <x:v>-0.1883501414</x:v>
      </x:c>
      <x:c r="X244" s="39" t="n">
        <x:v>0.1346559145</x:v>
      </x:c>
      <x:c r="Y244" s="39" t="n">
        <x:v>-0.5038409493</x:v>
      </x:c>
      <x:c r="Z244" s="39" t="n">
        <x:v>-0.2238354332</x:v>
      </x:c>
      <x:c r="AA244" s="39" t="n">
        <x:v>0.0250913018</x:v>
      </x:c>
      <x:c r="AB244" s="39" t="n">
        <x:v>0.4049458529</x:v>
      </x:c>
      <x:c r="AC244" s="39" t="n">
        <x:v>-0.154072193</x:v>
      </x:c>
      <x:c r="AD244" s="39" t="n">
        <x:v>0.0003845747</x:v>
      </x:c>
      <x:c r="AE244" s="39" t="n">
        <x:v>0.0250894474</x:v>
      </x:c>
      <x:c r="AF244" s="39" t="n">
        <x:v>-0.0557023776</x:v>
      </x:c>
      <x:c r="AG244" s="39" t="n">
        <x:v>-0.051429388</x:v>
      </x:c>
      <x:c r="AH244" s="39" t="n">
        <x:v>-0.090818571</x:v>
      </x:c>
      <x:c r="AI244" s="39" t="n">
        <x:v>-0.1499986156</x:v>
      </x:c>
      <x:c r="AJ244" s="39" t="n">
        <x:v>0.1155289701</x:v>
      </x:c>
      <x:c r="AK244" s="39" t="n">
        <x:v>0.2545920603</x:v>
      </x:c>
      <x:c r="AL244" s="39" t="n">
        <x:v>-0.4850857735</x:v>
      </x:c>
      <x:c r="AM244" s="39" t="n">
        <x:v>0.0609120728</x:v>
      </x:c>
      <x:c r="AN244" s="39" t="n">
        <x:v>-0.1091090986</x:v>
      </x:c>
      <x:c r="AO244" s="39" t="n">
        <x:v>-0.024557485</x:v>
      </x:c>
      <x:c r="AP244" s="39" t="n">
        <x:v>0.0260433462</x:v>
      </x:c>
      <x:c r="AQ244" s="39" t="n">
        <x:v>0.041297396</x:v>
      </x:c>
      <x:c r="AR244" s="39" t="n">
        <x:v>0.1605572571</x:v>
      </x:c>
      <x:c r="AS244" s="39" t="n">
        <x:v>-0.0009553609</x:v>
      </x:c>
    </x:row>
    <x:row r="245" ht="19" customHeight="1">
      <x:c r="A245" s="30" t="str">
        <x:v>Other FX</x:v>
      </x:c>
      <x:c r="B245" s="40" t="d">
        <x:v>2026-08-10T00:00:00.000Z</x:v>
      </x:c>
      <x:c r="C245" s="39" t="n">
        <x:v>-0.0797728912</x:v>
      </x:c>
      <x:c r="D245" s="39" t="n">
        <x:v>0.0671452481</x:v>
      </x:c>
      <x:c r="E245" s="39" t="n">
        <x:v>-0.0983366239</x:v>
      </x:c>
      <x:c r="F245" s="39" t="n">
        <x:v>-0.0710610298</x:v>
      </x:c>
      <x:c r="G245" s="39" t="n">
        <x:v>0.1299563165</x:v>
      </x:c>
      <x:c r="H245" s="39" t="n">
        <x:v>-0.0677390756</x:v>
      </x:c>
      <x:c r="I245" s="39" t="n">
        <x:v>0.1001987869</x:v>
      </x:c>
      <x:c r="J245" s="39" t="n">
        <x:v>0.0136104431</x:v>
      </x:c>
      <x:c r="K245" s="39" t="n">
        <x:v>0.2434816336</x:v>
      </x:c>
      <x:c r="L245" s="39" t="n">
        <x:v>0.1693516199</x:v>
      </x:c>
      <x:c r="M245" s="39" t="n">
        <x:v>-0.0346000359</x:v>
      </x:c>
      <x:c r="N245" s="39" t="n">
        <x:v>-0.0486551006</x:v>
      </x:c>
      <x:c r="O245" s="39" t="n">
        <x:v>-0.0300379424</x:v>
      </x:c>
      <x:c r="P245" s="39" t="n">
        <x:v>0.0201018415</x:v>
      </x:c>
      <x:c r="Q245" s="39" t="n">
        <x:v>-0.1067864454</x:v>
      </x:c>
      <x:c r="R245" s="39" t="n">
        <x:v>0.1466498678</x:v>
      </x:c>
      <x:c r="S245" s="39" t="n">
        <x:v>0.136635364</x:v>
      </x:c>
      <x:c r="T245" s="39" t="n">
        <x:v>0.2130532066</x:v>
      </x:c>
      <x:c r="U245" s="39" t="n">
        <x:v>-0.0111991751</x:v>
      </x:c>
      <x:c r="V245" s="39" t="n">
        <x:v>0.303276271</x:v>
      </x:c>
      <x:c r="W245" s="39" t="n">
        <x:v>0.2076346271</x:v>
      </x:c>
      <x:c r="X245" s="39" t="n">
        <x:v>0.1345535243</x:v>
      </x:c>
      <x:c r="Y245" s="39" t="n">
        <x:v>0.131442273</x:v>
      </x:c>
      <x:c r="Z245" s="39" t="n">
        <x:v>0.3650449544</x:v>
      </x:c>
      <x:c r="AA245" s="39" t="n">
        <x:v>0.0130886371</x:v>
      </x:c>
      <x:c r="AB245" s="39" t="n">
        <x:v>0.2989605974</x:v>
      </x:c>
      <x:c r="AC245" s="39" t="n">
        <x:v>0.0508415618</x:v>
      </x:c>
      <x:c r="AD245" s="39" t="n">
        <x:v>-0.0686633244</x:v>
      </x:c>
      <x:c r="AE245" s="39" t="n">
        <x:v>-0.0190525077</x:v>
      </x:c>
      <x:c r="AF245" s="39" t="n">
        <x:v>0.4105268767</x:v>
      </x:c>
      <x:c r="AG245" s="39" t="n">
        <x:v>0.0861960732</x:v>
      </x:c>
      <x:c r="AH245" s="39" t="n">
        <x:v>0.2808632017</x:v>
      </x:c>
      <x:c r="AI245" s="39" t="n">
        <x:v>-0.0082212842</x:v>
      </x:c>
      <x:c r="AJ245" s="39" t="n">
        <x:v>0.0038456525</x:v>
      </x:c>
      <x:c r="AK245" s="39" t="n">
        <x:v>-0.0949794379</x:v>
      </x:c>
      <x:c r="AL245" s="39" t="n">
        <x:v>0.0769532006</x:v>
      </x:c>
      <x:c r="AM245" s="39" t="n">
        <x:v>0.3800253133</x:v>
      </x:c>
      <x:c r="AN245" s="39" t="n">
        <x:v>-0.0474016934</x:v>
      </x:c>
      <x:c r="AO245" s="39" t="n">
        <x:v>0.0077790811</x:v>
      </x:c>
      <x:c r="AP245" s="39" t="n">
        <x:v>-0.0219910172</x:v>
      </x:c>
      <x:c r="AQ245" s="39" t="n">
        <x:v>0.0897645029</x:v>
      </x:c>
      <x:c r="AR245" s="39" t="n">
        <x:v>0.0231406587</x:v>
      </x:c>
      <x:c r="AS245" s="39" t="n">
        <x:v>0.0210204657</x:v>
      </x:c>
    </x:row>
    <x:row r="246" ht="19" customHeight="1">
      <x:c r="A246" s="30" t="str">
        <x:v>SPY</x:v>
      </x:c>
      <x:c r="B246" s="40" t="d">
        <x:v>2020-07-20T00:00:00.000Z</x:v>
      </x:c>
      <x:c r="C246" s="39" t="n">
        <x:v>-0.0309367254</x:v>
      </x:c>
      <x:c r="D246" s="39" t="n">
        <x:v>0.056567317</x:v>
      </x:c>
      <x:c r="E246" s="39" t="n">
        <x:v>0.0406568784</x:v>
      </x:c>
      <x:c r="F246" s="39" t="n">
        <x:v>0.0382309238</x:v>
      </x:c>
      <x:c r="G246" s="39" t="n">
        <x:v>0.000981563</x:v>
      </x:c>
      <x:c r="H246" s="39" t="n">
        <x:v>0.0160184048</x:v>
      </x:c>
      <x:c r="I246" s="39" t="n">
        <x:v>0.0122274443</x:v>
      </x:c>
      <x:c r="J246" s="39" t="n">
        <x:v>-0.0637344888</x:v>
      </x:c>
      <x:c r="K246" s="39" t="n">
        <x:v>-0.1001888411</x:v>
      </x:c>
      <x:c r="L246" s="39" t="n">
        <x:v>-0.0108335625</x:v>
      </x:c>
      <x:c r="M246" s="39" t="n">
        <x:v>0.054223946</x:v>
      </x:c>
      <x:c r="N246" s="39" t="n">
        <x:v>-0.0137865794</x:v>
      </x:c>
      <x:c r="O246" s="39" t="n">
        <x:v>0.0718568161</x:v>
      </x:c>
      <x:c r="P246" s="39" t="n">
        <x:v>-0.0893640356</x:v>
      </x:c>
      <x:c r="Q246" s="39" t="n">
        <x:v>-0.0728672455</x:v>
      </x:c>
      <x:c r="R246" s="39"/>
      <x:c r="S246" s="39" t="n">
        <x:v>0.00201585</x:v>
      </x:c>
      <x:c r="T246" s="39" t="n">
        <x:v>-0.0601206024</x:v>
      </x:c>
      <x:c r="U246" s="39" t="n">
        <x:v>0.0568498231</x:v>
      </x:c>
      <x:c r="V246" s="39" t="n">
        <x:v>-0.1077934996</x:v>
      </x:c>
      <x:c r="W246" s="39" t="n">
        <x:v>0.0114689943</x:v>
      </x:c>
      <x:c r="X246" s="39" t="n">
        <x:v>0.0447525519</x:v>
      </x:c>
      <x:c r="Y246" s="39" t="n">
        <x:v>-0.1024401365</x:v>
      </x:c>
      <x:c r="Z246" s="39" t="n">
        <x:v>-0.004464458</x:v>
      </x:c>
      <x:c r="AA246" s="39" t="n">
        <x:v>0.0486868535</x:v>
      </x:c>
      <x:c r="AB246" s="39" t="n">
        <x:v>-0.0311740281</x:v>
      </x:c>
      <x:c r="AC246" s="39"/>
      <x:c r="AD246" s="39" t="n">
        <x:v>0.0284126581</x:v>
      </x:c>
      <x:c r="AE246" s="39" t="n">
        <x:v>0.0177349715</x:v>
      </x:c>
      <x:c r="AF246" s="39" t="n">
        <x:v>-0.053723141</x:v>
      </x:c>
      <x:c r="AG246" s="39" t="n">
        <x:v>-0.0397478139</x:v>
      </x:c>
      <x:c r="AH246" s="39" t="n">
        <x:v>-0.0102211884</x:v>
      </x:c>
      <x:c r="AI246" s="39" t="n">
        <x:v>0.0648916924</x:v>
      </x:c>
      <x:c r="AJ246" s="39" t="n">
        <x:v>-0.0456272525</x:v>
      </x:c>
      <x:c r="AK246" s="39" t="n">
        <x:v>-0.0329619703</x:v>
      </x:c>
      <x:c r="AL246" s="39" t="n">
        <x:v>-0.0532686263</x:v>
      </x:c>
      <x:c r="AM246" s="39" t="n">
        <x:v>-0.0295217687</x:v>
      </x:c>
      <x:c r="AN246" s="39" t="n">
        <x:v>-0.0098960761</x:v>
      </x:c>
      <x:c r="AO246" s="39" t="n">
        <x:v>0.0137240621</x:v>
      </x:c>
      <x:c r="AP246" s="39" t="n">
        <x:v>0.0171615248</x:v>
      </x:c>
      <x:c r="AQ246" s="39" t="n">
        <x:v>0.0300432816</x:v>
      </x:c>
      <x:c r="AR246" s="39" t="n">
        <x:v>0.0197712995</x:v>
      </x:c>
      <x:c r="AS246" s="39" t="n">
        <x:v>0.0313600275</x:v>
      </x:c>
    </x:row>
    <x:row r="247" ht="19" customHeight="1">
      <x:c r="A247" s="30" t="str">
        <x:v>SPY</x:v>
      </x:c>
      <x:c r="B247" s="40" t="d">
        <x:v>2020-08-17T00:00:00.000Z</x:v>
      </x:c>
      <x:c r="C247" s="39" t="n">
        <x:v>-0.0407294014</x:v>
      </x:c>
      <x:c r="D247" s="39" t="n">
        <x:v>-0.1379190707</x:v>
      </x:c>
      <x:c r="E247" s="39" t="n">
        <x:v>-0.0722538134</x:v>
      </x:c>
      <x:c r="F247" s="39" t="n">
        <x:v>-0.0413032267</x:v>
      </x:c>
      <x:c r="G247" s="39" t="n">
        <x:v>0.0180999671</x:v>
      </x:c>
      <x:c r="H247" s="39" t="n">
        <x:v>0.0363498279</x:v>
      </x:c>
      <x:c r="I247" s="39" t="n">
        <x:v>0.0090330132</x:v>
      </x:c>
      <x:c r="J247" s="39" t="n">
        <x:v>0.0501528951</x:v>
      </x:c>
      <x:c r="K247" s="39" t="n">
        <x:v>-0.1408675587</x:v>
      </x:c>
      <x:c r="L247" s="39" t="n">
        <x:v>-0.0708334399</x:v>
      </x:c>
      <x:c r="M247" s="39" t="n">
        <x:v>0.0286700304</x:v>
      </x:c>
      <x:c r="N247" s="39" t="n">
        <x:v>0.0393962473</x:v>
      </x:c>
      <x:c r="O247" s="39" t="n">
        <x:v>0.0024562731</x:v>
      </x:c>
      <x:c r="P247" s="39" t="n">
        <x:v>-0.2229786562</x:v>
      </x:c>
      <x:c r="Q247" s="39" t="n">
        <x:v>-0.0104752556</x:v>
      </x:c>
      <x:c r="R247" s="39"/>
      <x:c r="S247" s="39" t="n">
        <x:v>0.0032228519</x:v>
      </x:c>
      <x:c r="T247" s="39" t="n">
        <x:v>-0.0080604487</x:v>
      </x:c>
      <x:c r="U247" s="39" t="n">
        <x:v>-0.0709877094</x:v>
      </x:c>
      <x:c r="V247" s="39" t="n">
        <x:v>-0.0597361515</x:v>
      </x:c>
      <x:c r="W247" s="39" t="n">
        <x:v>-0.0129367267</x:v>
      </x:c>
      <x:c r="X247" s="39" t="n">
        <x:v>-0.0121722757</x:v>
      </x:c>
      <x:c r="Y247" s="39" t="n">
        <x:v>-0.1812629926</x:v>
      </x:c>
      <x:c r="Z247" s="39" t="n">
        <x:v>-0.0501127547</x:v>
      </x:c>
      <x:c r="AA247" s="39" t="n">
        <x:v>0.0081340907</x:v>
      </x:c>
      <x:c r="AB247" s="39" t="n">
        <x:v>-0.1524498424</x:v>
      </x:c>
      <x:c r="AC247" s="39"/>
      <x:c r="AD247" s="39" t="n">
        <x:v>0.0334127856</x:v>
      </x:c>
      <x:c r="AE247" s="39" t="n">
        <x:v>-0.0612600794</x:v>
      </x:c>
      <x:c r="AF247" s="39" t="n">
        <x:v>-0.0704598454</x:v>
      </x:c>
      <x:c r="AG247" s="39" t="n">
        <x:v>-0.0514965772</x:v>
      </x:c>
      <x:c r="AH247" s="39" t="n">
        <x:v>-0.0773809569</x:v>
      </x:c>
      <x:c r="AI247" s="39" t="n">
        <x:v>0.0180781879</x:v>
      </x:c>
      <x:c r="AJ247" s="39" t="n">
        <x:v>-0.0663149172</x:v>
      </x:c>
      <x:c r="AK247" s="39" t="n">
        <x:v>0.015614884</x:v>
      </x:c>
      <x:c r="AL247" s="39" t="n">
        <x:v>0.0421226036</x:v>
      </x:c>
      <x:c r="AM247" s="39" t="n">
        <x:v>-0.0032394085</x:v>
      </x:c>
      <x:c r="AN247" s="39" t="n">
        <x:v>-0.0258982595</x:v>
      </x:c>
      <x:c r="AO247" s="39" t="n">
        <x:v>0.0041327833</x:v>
      </x:c>
      <x:c r="AP247" s="39" t="n">
        <x:v>0.0122813264</x:v>
      </x:c>
      <x:c r="AQ247" s="39" t="n">
        <x:v>-0.033678687</x:v>
      </x:c>
      <x:c r="AR247" s="39" t="n">
        <x:v>0.0020276705</x:v>
      </x:c>
      <x:c r="AS247" s="39" t="n">
        <x:v>0.0164080242</x:v>
      </x:c>
    </x:row>
    <x:row r="248" ht="19" customHeight="1">
      <x:c r="A248" s="30" t="str">
        <x:v>SPY</x:v>
      </x:c>
      <x:c r="B248" s="40" t="d">
        <x:v>2020-09-14T00:00:00.000Z</x:v>
      </x:c>
      <x:c r="C248" s="39" t="n">
        <x:v>-0.0257715936</x:v>
      </x:c>
      <x:c r="D248" s="39" t="n">
        <x:v>-0.1768142203</x:v>
      </x:c>
      <x:c r="E248" s="39" t="n">
        <x:v>-0.015785865</x:v>
      </x:c>
      <x:c r="F248" s="39" t="n">
        <x:v>-0.0215720327</x:v>
      </x:c>
      <x:c r="G248" s="39" t="n">
        <x:v>0.0257695918</x:v>
      </x:c>
      <x:c r="H248" s="39" t="n">
        <x:v>-0.009110285</x:v>
      </x:c>
      <x:c r="I248" s="39" t="n">
        <x:v>-0.0279292883</x:v>
      </x:c>
      <x:c r="J248" s="39" t="n">
        <x:v>-0.0304394786</x:v>
      </x:c>
      <x:c r="K248" s="39" t="n">
        <x:v>0.0352534036</x:v>
      </x:c>
      <x:c r="L248" s="39" t="n">
        <x:v>-0.0735379087</x:v>
      </x:c>
      <x:c r="M248" s="39" t="n">
        <x:v>-0.0036515905</x:v>
      </x:c>
      <x:c r="N248" s="39" t="n">
        <x:v>0.0350843307</x:v>
      </x:c>
      <x:c r="O248" s="39" t="n">
        <x:v>-0.0254054696</x:v>
      </x:c>
      <x:c r="P248" s="39" t="n">
        <x:v>0.0337917476</x:v>
      </x:c>
      <x:c r="Q248" s="39" t="n">
        <x:v>0.0200316229</x:v>
      </x:c>
      <x:c r="R248" s="39"/>
      <x:c r="S248" s="39" t="n">
        <x:v>-0.0281623164</x:v>
      </x:c>
      <x:c r="T248" s="39" t="n">
        <x:v>-0.0206573032</x:v>
      </x:c>
      <x:c r="U248" s="39" t="n">
        <x:v>0.011089246</x:v>
      </x:c>
      <x:c r="V248" s="39" t="n">
        <x:v>0.0016918039</x:v>
      </x:c>
      <x:c r="W248" s="39" t="n">
        <x:v>-0.005898619</x:v>
      </x:c>
      <x:c r="X248" s="39" t="n">
        <x:v>0.0243792857</x:v>
      </x:c>
      <x:c r="Y248" s="39" t="n">
        <x:v>0.0708281085</x:v>
      </x:c>
      <x:c r="Z248" s="39" t="n">
        <x:v>-0.0503229517</x:v>
      </x:c>
      <x:c r="AA248" s="39" t="n">
        <x:v>0.0242515515</x:v>
      </x:c>
      <x:c r="AB248" s="39" t="n">
        <x:v>-0.0653206988</x:v>
      </x:c>
      <x:c r="AC248" s="39"/>
      <x:c r="AD248" s="39" t="n">
        <x:v>-0.0016889066</x:v>
      </x:c>
      <x:c r="AE248" s="39" t="n">
        <x:v>0.0405888963</x:v>
      </x:c>
      <x:c r="AF248" s="39" t="n">
        <x:v>0.0195672265</x:v>
      </x:c>
      <x:c r="AG248" s="39" t="n">
        <x:v>-0.0245049279</x:v>
      </x:c>
      <x:c r="AH248" s="39" t="n">
        <x:v>-0.0633737487</x:v>
      </x:c>
      <x:c r="AI248" s="39" t="n">
        <x:v>-0.054550312</x:v>
      </x:c>
      <x:c r="AJ248" s="39" t="n">
        <x:v>0.0040031721</x:v>
      </x:c>
      <x:c r="AK248" s="39" t="n">
        <x:v>-0.0195013215</x:v>
      </x:c>
      <x:c r="AL248" s="39" t="n">
        <x:v>-0.1025685011</x:v>
      </x:c>
      <x:c r="AM248" s="39" t="n">
        <x:v>-0.0109604029</x:v>
      </x:c>
      <x:c r="AN248" s="39" t="n">
        <x:v>-0.046663672</x:v>
      </x:c>
      <x:c r="AO248" s="39" t="n">
        <x:v>-0.0221605325</x:v>
      </x:c>
      <x:c r="AP248" s="39" t="n">
        <x:v>-0.0054169576</x:v>
      </x:c>
      <x:c r="AQ248" s="39" t="n">
        <x:v>0.0240257142</x:v>
      </x:c>
      <x:c r="AR248" s="39" t="n">
        <x:v>-0.0283392729</x:v>
      </x:c>
      <x:c r="AS248" s="39" t="n">
        <x:v>0.0182668764</x:v>
      </x:c>
    </x:row>
    <x:row r="249" ht="19" customHeight="1">
      <x:c r="A249" s="30" t="str">
        <x:v>SPY</x:v>
      </x:c>
      <x:c r="B249" s="40" t="d">
        <x:v>2020-10-12T00:00:00.000Z</x:v>
      </x:c>
      <x:c r="C249" s="39" t="n">
        <x:v>-0.0158273004</x:v>
      </x:c>
      <x:c r="D249" s="39" t="n">
        <x:v>-0.058593327</x:v>
      </x:c>
      <x:c r="E249" s="39" t="n">
        <x:v>0.0902032223</x:v>
      </x:c>
      <x:c r="F249" s="39" t="n">
        <x:v>0.0428378196</x:v>
      </x:c>
      <x:c r="G249" s="39" t="n">
        <x:v>-0.006257683</x:v>
      </x:c>
      <x:c r="H249" s="39" t="n">
        <x:v>0.0636722852</x:v>
      </x:c>
      <x:c r="I249" s="39" t="n">
        <x:v>0.0238294427</x:v>
      </x:c>
      <x:c r="J249" s="39" t="n">
        <x:v>-0.0045227077</x:v>
      </x:c>
      <x:c r="K249" s="39" t="n">
        <x:v>-0.0426632075</x:v>
      </x:c>
      <x:c r="L249" s="39" t="n">
        <x:v>-0.135913327</x:v>
      </x:c>
      <x:c r="M249" s="39" t="n">
        <x:v>-0.094150203</x:v>
      </x:c>
      <x:c r="N249" s="39" t="n">
        <x:v>-0.0112960148</x:v>
      </x:c>
      <x:c r="O249" s="39" t="n">
        <x:v>0.064181669</x:v>
      </x:c>
      <x:c r="P249" s="39" t="n">
        <x:v>-0.0253886785</x:v>
      </x:c>
      <x:c r="Q249" s="39" t="n">
        <x:v>0.0324184174</x:v>
      </x:c>
      <x:c r="R249" s="39"/>
      <x:c r="S249" s="39" t="n">
        <x:v>0.0008137016</x:v>
      </x:c>
      <x:c r="T249" s="39" t="n">
        <x:v>0.2054415512</x:v>
      </x:c>
      <x:c r="U249" s="39" t="n">
        <x:v>0.0837949953</x:v>
      </x:c>
      <x:c r="V249" s="39" t="n">
        <x:v>0.121590724</x:v>
      </x:c>
      <x:c r="W249" s="39" t="n">
        <x:v>0.0460909545</x:v>
      </x:c>
      <x:c r="X249" s="39" t="n">
        <x:v>0.0345477293</x:v>
      </x:c>
      <x:c r="Y249" s="39" t="n">
        <x:v>-0.024516263</x:v>
      </x:c>
      <x:c r="Z249" s="39" t="n">
        <x:v>0.0307520752</x:v>
      </x:c>
      <x:c r="AA249" s="39" t="n">
        <x:v>-0.0167989535</x:v>
      </x:c>
      <x:c r="AB249" s="39" t="n">
        <x:v>-0.1567820658</x:v>
      </x:c>
      <x:c r="AC249" s="39"/>
      <x:c r="AD249" s="39" t="n">
        <x:v>0.0366118288</x:v>
      </x:c>
      <x:c r="AE249" s="39" t="n">
        <x:v>0.0453733074</x:v>
      </x:c>
      <x:c r="AF249" s="39" t="n">
        <x:v>-0.050634634</x:v>
      </x:c>
      <x:c r="AG249" s="39" t="n">
        <x:v>0.0446348639</x:v>
      </x:c>
      <x:c r="AH249" s="39" t="n">
        <x:v>0.0226949035</x:v>
      </x:c>
      <x:c r="AI249" s="39" t="n">
        <x:v>0.0257250119</x:v>
      </x:c>
      <x:c r="AJ249" s="39" t="n">
        <x:v>-0.0613423027</x:v>
      </x:c>
      <x:c r="AK249" s="39" t="n">
        <x:v>-0.0274630616</x:v>
      </x:c>
      <x:c r="AL249" s="39" t="n">
        <x:v>-0.0382845584</x:v>
      </x:c>
      <x:c r="AM249" s="39" t="n">
        <x:v>0.020664465</x:v>
      </x:c>
      <x:c r="AN249" s="39" t="n">
        <x:v>0.0254936766</x:v>
      </x:c>
      <x:c r="AO249" s="39" t="n">
        <x:v>0.0668858715</x:v>
      </x:c>
      <x:c r="AP249" s="39" t="n">
        <x:v>0.026711339</x:v>
      </x:c>
      <x:c r="AQ249" s="39" t="n">
        <x:v>0.0006845322</x:v>
      </x:c>
      <x:c r="AR249" s="39" t="n">
        <x:v>-0.0039795319</x:v>
      </x:c>
      <x:c r="AS249" s="39" t="n">
        <x:v>-0.0198857576</x:v>
      </x:c>
    </x:row>
    <x:row r="250" ht="19" customHeight="1">
      <x:c r="A250" s="30" t="str">
        <x:v>SPY</x:v>
      </x:c>
      <x:c r="B250" s="40" t="d">
        <x:v>2020-11-09T00:00:00.000Z</x:v>
      </x:c>
      <x:c r="C250" s="39" t="n">
        <x:v>-0.0115107046</x:v>
      </x:c>
      <x:c r="D250" s="39" t="n">
        <x:v>0.0001650877</x:v>
      </x:c>
      <x:c r="E250" s="39" t="n">
        <x:v>-0.0255764107</x:v>
      </x:c>
      <x:c r="F250" s="39" t="n">
        <x:v>0.0017228688</x:v>
      </x:c>
      <x:c r="G250" s="39" t="n">
        <x:v>0.0346067291</x:v>
      </x:c>
      <x:c r="H250" s="39" t="n">
        <x:v>-0.0551457277</x:v>
      </x:c>
      <x:c r="I250" s="39" t="n">
        <x:v>-0.0434291295</x:v>
      </x:c>
      <x:c r="J250" s="39" t="n">
        <x:v>-0.1358179402</x:v>
      </x:c>
      <x:c r="K250" s="39" t="n">
        <x:v>-0.0379355009</x:v>
      </x:c>
      <x:c r="L250" s="39" t="n">
        <x:v>0.1076322111</x:v>
      </x:c>
      <x:c r="M250" s="39" t="n">
        <x:v>0.0217429416</x:v>
      </x:c>
      <x:c r="N250" s="39" t="n">
        <x:v>-0.0013004612</x:v>
      </x:c>
      <x:c r="O250" s="39" t="n">
        <x:v>0.0343853614</x:v>
      </x:c>
      <x:c r="P250" s="39" t="n">
        <x:v>-0.0257462086</x:v>
      </x:c>
      <x:c r="Q250" s="39" t="n">
        <x:v>0.0097152275</x:v>
      </x:c>
      <x:c r="R250" s="39"/>
      <x:c r="S250" s="39" t="n">
        <x:v>-0.0236101108</x:v>
      </x:c>
      <x:c r="T250" s="39" t="n">
        <x:v>0.0152818706</x:v>
      </x:c>
      <x:c r="U250" s="39" t="n">
        <x:v>0.0810900174</x:v>
      </x:c>
      <x:c r="V250" s="39" t="n">
        <x:v>0.032123086</x:v>
      </x:c>
      <x:c r="W250" s="39" t="n">
        <x:v>-0.0665172496</x:v>
      </x:c>
      <x:c r="X250" s="39" t="n">
        <x:v>0.0293085274</x:v>
      </x:c>
      <x:c r="Y250" s="39" t="n">
        <x:v>-0.0146741039</x:v>
      </x:c>
      <x:c r="Z250" s="39" t="n">
        <x:v>-0.0283296194</x:v>
      </x:c>
      <x:c r="AA250" s="39" t="n">
        <x:v>-0.0180722763</x:v>
      </x:c>
      <x:c r="AB250" s="39" t="n">
        <x:v>-0.0508664112</x:v>
      </x:c>
      <x:c r="AC250" s="39"/>
      <x:c r="AD250" s="39" t="n">
        <x:v>-0.0112441351</x:v>
      </x:c>
      <x:c r="AE250" s="39" t="n">
        <x:v>0.0221005815</x:v>
      </x:c>
      <x:c r="AF250" s="39" t="n">
        <x:v>0.0024079332</x:v>
      </x:c>
      <x:c r="AG250" s="39" t="n">
        <x:v>0.0336191597</x:v>
      </x:c>
      <x:c r="AH250" s="39" t="n">
        <x:v>0.0304074827</x:v>
      </x:c>
      <x:c r="AI250" s="39" t="n">
        <x:v>-0.0761465404</x:v>
      </x:c>
      <x:c r="AJ250" s="39" t="n">
        <x:v>-0.0386319364</x:v>
      </x:c>
      <x:c r="AK250" s="39" t="n">
        <x:v>0.0763370783</x:v>
      </x:c>
      <x:c r="AL250" s="39" t="n">
        <x:v>-0.05660211</x:v>
      </x:c>
      <x:c r="AM250" s="39" t="n">
        <x:v>-0.0258897463</x:v>
      </x:c>
      <x:c r="AN250" s="39" t="n">
        <x:v>0.0314600319</x:v>
      </x:c>
      <x:c r="AO250" s="39" t="n">
        <x:v>-0.0281050034</x:v>
      </x:c>
      <x:c r="AP250" s="39" t="n">
        <x:v>-0.0389630418</x:v>
      </x:c>
      <x:c r="AQ250" s="39" t="n">
        <x:v>0.0153573745</x:v>
      </x:c>
      <x:c r="AR250" s="39" t="n">
        <x:v>-0.0115832235</x:v>
      </x:c>
      <x:c r="AS250" s="39" t="n">
        <x:v>0.0220408943</x:v>
      </x:c>
    </x:row>
    <x:row r="251" ht="19" customHeight="1">
      <x:c r="A251" s="30" t="str">
        <x:v>SPY</x:v>
      </x:c>
      <x:c r="B251" s="40" t="d">
        <x:v>2020-12-07T00:00:00.000Z</x:v>
      </x:c>
      <x:c r="C251" s="39" t="n">
        <x:v>-0.0723455675</x:v>
      </x:c>
      <x:c r="D251" s="39" t="n">
        <x:v>0.0599491358</x:v>
      </x:c>
      <x:c r="E251" s="39" t="n">
        <x:v>-0.0764067316</x:v>
      </x:c>
      <x:c r="F251" s="39" t="n">
        <x:v>-0.0503539702</x:v>
      </x:c>
      <x:c r="G251" s="39" t="n">
        <x:v>0.1189277893</x:v>
      </x:c>
      <x:c r="H251" s="39" t="n">
        <x:v>-0.0015328123</x:v>
      </x:c>
      <x:c r="I251" s="39" t="n">
        <x:v>-0.0127130868</x:v>
      </x:c>
      <x:c r="J251" s="39" t="n">
        <x:v>-0.0774863791</x:v>
      </x:c>
      <x:c r="K251" s="39" t="n">
        <x:v>0.03178566</x:v>
      </x:c>
      <x:c r="L251" s="39" t="n">
        <x:v>0.0681844175</x:v>
      </x:c>
      <x:c r="M251" s="39" t="n">
        <x:v>0.124295978</x:v>
      </x:c>
      <x:c r="N251" s="39" t="n">
        <x:v>0.0478752596</x:v>
      </x:c>
      <x:c r="O251" s="39" t="n">
        <x:v>-0.0050884765</x:v>
      </x:c>
      <x:c r="P251" s="39" t="n">
        <x:v>0.0323102065</x:v>
      </x:c>
      <x:c r="Q251" s="39" t="n">
        <x:v>0.0237759395</x:v>
      </x:c>
      <x:c r="R251" s="39"/>
      <x:c r="S251" s="39" t="n">
        <x:v>0.0270860904</x:v>
      </x:c>
      <x:c r="T251" s="39" t="n">
        <x:v>0.1194387861</x:v>
      </x:c>
      <x:c r="U251" s="39" t="n">
        <x:v>0.2728727236</x:v>
      </x:c>
      <x:c r="V251" s="39" t="n">
        <x:v>-0.0125144448</x:v>
      </x:c>
      <x:c r="W251" s="39" t="n">
        <x:v>0.0167843745</x:v>
      </x:c>
      <x:c r="X251" s="39" t="n">
        <x:v>-0.0038407813</x:v>
      </x:c>
      <x:c r="Y251" s="39" t="n">
        <x:v>0.0189547207</x:v>
      </x:c>
      <x:c r="Z251" s="39" t="n">
        <x:v>-0.1518245084</x:v>
      </x:c>
      <x:c r="AA251" s="39" t="n">
        <x:v>-0.0196512106</x:v>
      </x:c>
      <x:c r="AB251" s="39" t="n">
        <x:v>0.0250891024</x:v>
      </x:c>
      <x:c r="AC251" s="39"/>
      <x:c r="AD251" s="39" t="n">
        <x:v>-0.0536869418</x:v>
      </x:c>
      <x:c r="AE251" s="39" t="n">
        <x:v>-0.0247355332</x:v>
      </x:c>
      <x:c r="AF251" s="39" t="n">
        <x:v>0.0729731155</x:v>
      </x:c>
      <x:c r="AG251" s="39" t="n">
        <x:v>0.0727699945</x:v>
      </x:c>
      <x:c r="AH251" s="39" t="n">
        <x:v>0.0024556217</x:v>
      </x:c>
      <x:c r="AI251" s="39" t="n">
        <x:v>-0.003533193</x:v>
      </x:c>
      <x:c r="AJ251" s="39" t="n">
        <x:v>0.0433949446</x:v>
      </x:c>
      <x:c r="AK251" s="39" t="n">
        <x:v>-0.0617626417</x:v>
      </x:c>
      <x:c r="AL251" s="39" t="n">
        <x:v>0.014235004</x:v>
      </x:c>
      <x:c r="AM251" s="39" t="n">
        <x:v>-0.0188897889</x:v>
      </x:c>
      <x:c r="AN251" s="39" t="n">
        <x:v>-0.0443538668</x:v>
      </x:c>
      <x:c r="AO251" s="39" t="n">
        <x:v>-0.0222298959</x:v>
      </x:c>
      <x:c r="AP251" s="39" t="n">
        <x:v>-0.0475390229</x:v>
      </x:c>
      <x:c r="AQ251" s="39" t="n">
        <x:v>-0.0288152242</x:v>
      </x:c>
      <x:c r="AR251" s="39" t="n">
        <x:v>-0.0092397387</x:v>
      </x:c>
      <x:c r="AS251" s="39" t="n">
        <x:v>-0.0263207909</x:v>
      </x:c>
    </x:row>
    <x:row r="252" ht="19" customHeight="1">
      <x:c r="A252" s="30" t="str">
        <x:v>SPY</x:v>
      </x:c>
      <x:c r="B252" s="40" t="d">
        <x:v>2021-01-04T00:00:00.000Z</x:v>
      </x:c>
      <x:c r="C252" s="39" t="n">
        <x:v>0.0443608246</x:v>
      </x:c>
      <x:c r="D252" s="39" t="n">
        <x:v>-0.0583226113</x:v>
      </x:c>
      <x:c r="E252" s="39" t="n">
        <x:v>-0.0524672607</x:v>
      </x:c>
      <x:c r="F252" s="39" t="n">
        <x:v>-0.0632620691</x:v>
      </x:c>
      <x:c r="G252" s="39" t="n">
        <x:v>-0.0210687257</x:v>
      </x:c>
      <x:c r="H252" s="39" t="n">
        <x:v>0.0164261164</x:v>
      </x:c>
      <x:c r="I252" s="39" t="n">
        <x:v>-0.0189892446</x:v>
      </x:c>
      <x:c r="J252" s="39" t="n">
        <x:v>-0.030686831</x:v>
      </x:c>
      <x:c r="K252" s="39" t="n">
        <x:v>-0.1431510915</x:v>
      </x:c>
      <x:c r="L252" s="39" t="n">
        <x:v>-0.0407917461</x:v>
      </x:c>
      <x:c r="M252" s="39" t="n">
        <x:v>0.0442681705</x:v>
      </x:c>
      <x:c r="N252" s="39" t="n">
        <x:v>0.0120467961</x:v>
      </x:c>
      <x:c r="O252" s="39" t="n">
        <x:v>0.0848041981</x:v>
      </x:c>
      <x:c r="P252" s="39" t="n">
        <x:v>-0.0946840217</x:v>
      </x:c>
      <x:c r="Q252" s="39" t="n">
        <x:v>-0.0530865939</x:v>
      </x:c>
      <x:c r="R252" s="39"/>
      <x:c r="S252" s="39" t="n">
        <x:v>0.0480314289</x:v>
      </x:c>
      <x:c r="T252" s="39" t="n">
        <x:v>-0.0723804523</x:v>
      </x:c>
      <x:c r="U252" s="39" t="n">
        <x:v>-0.2414668025</x:v>
      </x:c>
      <x:c r="V252" s="39" t="n">
        <x:v>-0.0246286498</x:v>
      </x:c>
      <x:c r="W252" s="39" t="n">
        <x:v>-0.0128076342</x:v>
      </x:c>
      <x:c r="X252" s="39" t="n">
        <x:v>-0.0130737742</x:v>
      </x:c>
      <x:c r="Y252" s="39" t="n">
        <x:v>-0.0530835943</x:v>
      </x:c>
      <x:c r="Z252" s="39" t="n">
        <x:v>-0.039339877</x:v>
      </x:c>
      <x:c r="AA252" s="39" t="n">
        <x:v>0.0139053223</x:v>
      </x:c>
      <x:c r="AB252" s="39" t="n">
        <x:v>-0.0620900643</x:v>
      </x:c>
      <x:c r="AC252" s="39"/>
      <x:c r="AD252" s="39" t="n">
        <x:v>-0.0124257445</x:v>
      </x:c>
      <x:c r="AE252" s="39" t="n">
        <x:v>-0.0618598469</x:v>
      </x:c>
      <x:c r="AF252" s="39" t="n">
        <x:v>-0.0527754592</x:v>
      </x:c>
      <x:c r="AG252" s="39" t="n">
        <x:v>-0.1044833855</x:v>
      </x:c>
      <x:c r="AH252" s="39" t="n">
        <x:v>-0.0664379176</x:v>
      </x:c>
      <x:c r="AI252" s="39" t="n">
        <x:v>-0.0754778808</x:v>
      </x:c>
      <x:c r="AJ252" s="39" t="n">
        <x:v>-0.0071439015</x:v>
      </x:c>
      <x:c r="AK252" s="39" t="n">
        <x:v>-0.064733511</x:v>
      </x:c>
      <x:c r="AL252" s="39" t="n">
        <x:v>-0.051865112</x:v>
      </x:c>
      <x:c r="AM252" s="39" t="n">
        <x:v>-0.0117944875</x:v>
      </x:c>
      <x:c r="AN252" s="39" t="n">
        <x:v>-0.048310732</x:v>
      </x:c>
      <x:c r="AO252" s="39" t="n">
        <x:v>-0.0426996214</x:v>
      </x:c>
      <x:c r="AP252" s="39" t="n">
        <x:v>-0.0195906408</x:v>
      </x:c>
      <x:c r="AQ252" s="39" t="n">
        <x:v>-0.0553566443</x:v>
      </x:c>
      <x:c r="AR252" s="39" t="n">
        <x:v>0.0050972881</x:v>
      </x:c>
      <x:c r="AS252" s="39" t="n">
        <x:v>-0.0045666281</x:v>
      </x:c>
    </x:row>
    <x:row r="253" ht="19" customHeight="1">
      <x:c r="A253" s="30" t="str">
        <x:v>SPY</x:v>
      </x:c>
      <x:c r="B253" s="40" t="d">
        <x:v>2021-02-01T00:00:00.000Z</x:v>
      </x:c>
      <x:c r="C253" s="39" t="n">
        <x:v>-0.0227042464</x:v>
      </x:c>
      <x:c r="D253" s="39" t="n">
        <x:v>-0.0439829235</x:v>
      </x:c>
      <x:c r="E253" s="39" t="n">
        <x:v>0.0249384021</x:v>
      </x:c>
      <x:c r="F253" s="39" t="n">
        <x:v>-0.0068729331</x:v>
      </x:c>
      <x:c r="G253" s="39" t="n">
        <x:v>0.0245210355</x:v>
      </x:c>
      <x:c r="H253" s="39" t="n">
        <x:v>0.0581918641</x:v>
      </x:c>
      <x:c r="I253" s="39" t="n">
        <x:v>0.0258176032</x:v>
      </x:c>
      <x:c r="J253" s="39" t="n">
        <x:v>-0.0156186983</x:v>
      </x:c>
      <x:c r="K253" s="39" t="n">
        <x:v>0.0682972393</x:v>
      </x:c>
      <x:c r="L253" s="39" t="n">
        <x:v>0.0116742223</x:v>
      </x:c>
      <x:c r="M253" s="39" t="n">
        <x:v>-0.0192199211</x:v>
      </x:c>
      <x:c r="N253" s="39" t="n">
        <x:v>0.0300965445</x:v>
      </x:c>
      <x:c r="O253" s="39" t="n">
        <x:v>0.0421207089</x:v>
      </x:c>
      <x:c r="P253" s="39" t="n">
        <x:v>0.0679491827</x:v>
      </x:c>
      <x:c r="Q253" s="39" t="n">
        <x:v>-0.063918485</x:v>
      </x:c>
      <x:c r="R253" s="39"/>
      <x:c r="S253" s="39" t="n">
        <x:v>-0.0252610192</x:v>
      </x:c>
      <x:c r="T253" s="39" t="n">
        <x:v>0.0210024348</x:v>
      </x:c>
      <x:c r="U253" s="39" t="n">
        <x:v>0.3069574453</x:v>
      </x:c>
      <x:c r="V253" s="39" t="n">
        <x:v>0.1879102056</x:v>
      </x:c>
      <x:c r="W253" s="39" t="n">
        <x:v>0.0417173183</x:v>
      </x:c>
      <x:c r="X253" s="39" t="n">
        <x:v>0.0182585143</x:v>
      </x:c>
      <x:c r="Y253" s="39" t="n">
        <x:v>0.0109584573</x:v>
      </x:c>
      <x:c r="Z253" s="39" t="n">
        <x:v>-0.0041895693</x:v>
      </x:c>
      <x:c r="AA253" s="39" t="n">
        <x:v>-0.0574836767</x:v>
      </x:c>
      <x:c r="AB253" s="39" t="n">
        <x:v>0.0301785407</x:v>
      </x:c>
      <x:c r="AC253" s="39" t="n">
        <x:v>0.2293047993</x:v>
      </x:c>
      <x:c r="AD253" s="39" t="n">
        <x:v>-0.0280251357</x:v>
      </x:c>
      <x:c r="AE253" s="39" t="n">
        <x:v>0.1651398425</x:v>
      </x:c>
      <x:c r="AF253" s="39" t="n">
        <x:v>0.0339076045</x:v>
      </x:c>
      <x:c r="AG253" s="39" t="n">
        <x:v>0.0192771785</x:v>
      </x:c>
      <x:c r="AH253" s="39" t="n">
        <x:v>-0.0065308446</x:v>
      </x:c>
      <x:c r="AI253" s="39" t="n">
        <x:v>-0.0475970061</x:v>
      </x:c>
      <x:c r="AJ253" s="39" t="n">
        <x:v>0.0921127891</x:v>
      </x:c>
      <x:c r="AK253" s="39" t="n">
        <x:v>0.0079243514</x:v>
      </x:c>
      <x:c r="AL253" s="39" t="n">
        <x:v>0.0312637346</x:v>
      </x:c>
      <x:c r="AM253" s="39" t="n">
        <x:v>0.0513898073</x:v>
      </x:c>
      <x:c r="AN253" s="39" t="n">
        <x:v>0.0865579224</x:v>
      </x:c>
      <x:c r="AO253" s="39" t="n">
        <x:v>-0.024342502</x:v>
      </x:c>
      <x:c r="AP253" s="39" t="n">
        <x:v>0.0315077026</x:v>
      </x:c>
      <x:c r="AQ253" s="39" t="n">
        <x:v>-0.0150933693</x:v>
      </x:c>
      <x:c r="AR253" s="39" t="n">
        <x:v>0.0120046593</x:v>
      </x:c>
      <x:c r="AS253" s="39" t="n">
        <x:v>0.0004390037</x:v>
      </x:c>
    </x:row>
    <x:row r="254" ht="19" customHeight="1">
      <x:c r="A254" s="30" t="str">
        <x:v>SPY</x:v>
      </x:c>
      <x:c r="B254" s="40" t="d">
        <x:v>2021-03-01T00:00:00.000Z</x:v>
      </x:c>
      <x:c r="C254" s="39" t="n">
        <x:v>-0.1079604877</x:v>
      </x:c>
      <x:c r="D254" s="39" t="n">
        <x:v>-0.0118325016</x:v>
      </x:c>
      <x:c r="E254" s="39" t="n">
        <x:v>-0.0340981239</x:v>
      </x:c>
      <x:c r="F254" s="39" t="n">
        <x:v>-0.0512460501</x:v>
      </x:c>
      <x:c r="G254" s="39" t="n">
        <x:v>0.0423521575</x:v>
      </x:c>
      <x:c r="H254" s="39" t="n">
        <x:v>-0.0716797641</x:v>
      </x:c>
      <x:c r="I254" s="39" t="n">
        <x:v>-0.0460343778</x:v>
      </x:c>
      <x:c r="J254" s="39" t="n">
        <x:v>0.0703395469</x:v>
      </x:c>
      <x:c r="K254" s="39" t="n">
        <x:v>0.0445286761</x:v>
      </x:c>
      <x:c r="L254" s="39" t="n">
        <x:v>0.129871731</x:v>
      </x:c>
      <x:c r="M254" s="39" t="n">
        <x:v>0.0299812892</x:v>
      </x:c>
      <x:c r="N254" s="39" t="n">
        <x:v>-0.0284269953</x:v>
      </x:c>
      <x:c r="O254" s="39" t="n">
        <x:v>0.0271799978</x:v>
      </x:c>
      <x:c r="P254" s="39" t="n">
        <x:v>0.0469960523</x:v>
      </x:c>
      <x:c r="Q254" s="39" t="n">
        <x:v>-0.0228280759</x:v>
      </x:c>
      <x:c r="R254" s="39"/>
      <x:c r="S254" s="39" t="n">
        <x:v>0.0522075752</x:v>
      </x:c>
      <x:c r="T254" s="39" t="n">
        <x:v>-0.1509844852</x:v>
      </x:c>
      <x:c r="U254" s="39" t="n">
        <x:v>-0.1940159606</x:v>
      </x:c>
      <x:c r="V254" s="39" t="n">
        <x:v>-0.1340319157</x:v>
      </x:c>
      <x:c r="W254" s="39" t="n">
        <x:v>-0.0256342407</x:v>
      </x:c>
      <x:c r="X254" s="39" t="n">
        <x:v>0.0405516626</x:v>
      </x:c>
      <x:c r="Y254" s="39" t="n">
        <x:v>0.0190438584</x:v>
      </x:c>
      <x:c r="Z254" s="39" t="n">
        <x:v>-0.0678154574</x:v>
      </x:c>
      <x:c r="AA254" s="39" t="n">
        <x:v>0.0072709094</x:v>
      </x:c>
      <x:c r="AB254" s="39" t="n">
        <x:v>-0.1001899891</x:v>
      </x:c>
      <x:c r="AC254" s="39" t="n">
        <x:v>-0.1757686412</x:v>
      </x:c>
      <x:c r="AD254" s="39" t="n">
        <x:v>-0.0209634596</x:v>
      </x:c>
      <x:c r="AE254" s="39" t="n">
        <x:v>0.0268399785</x:v>
      </x:c>
      <x:c r="AF254" s="39" t="n">
        <x:v>0.0503598728</x:v>
      </x:c>
      <x:c r="AG254" s="39" t="n">
        <x:v>0.0349264597</x:v>
      </x:c>
      <x:c r="AH254" s="39" t="n">
        <x:v>0.0476060484</x:v>
      </x:c>
      <x:c r="AI254" s="39" t="n">
        <x:v>-0.0749462738</x:v>
      </x:c>
      <x:c r="AJ254" s="39" t="n">
        <x:v>0.0012487255</x:v>
      </x:c>
      <x:c r="AK254" s="39" t="n">
        <x:v>0.036277353</x:v>
      </x:c>
      <x:c r="AL254" s="39" t="n">
        <x:v>-0.0473785521</x:v>
      </x:c>
      <x:c r="AM254" s="39" t="n">
        <x:v>-0.0108277009</x:v>
      </x:c>
      <x:c r="AN254" s="39" t="n">
        <x:v>-0.0058848878</x:v>
      </x:c>
      <x:c r="AO254" s="39" t="n">
        <x:v>-0.0799118273</x:v>
      </x:c>
      <x:c r="AP254" s="39" t="n">
        <x:v>-0.05525682</x:v>
      </x:c>
      <x:c r="AQ254" s="39" t="n">
        <x:v>-0.0040628961</x:v>
      </x:c>
      <x:c r="AR254" s="39" t="n">
        <x:v>-0.0466147108</x:v>
      </x:c>
      <x:c r="AS254" s="39" t="n">
        <x:v>0.0331333306</x:v>
      </x:c>
    </x:row>
    <x:row r="255" ht="19" customHeight="1">
      <x:c r="A255" s="30" t="str">
        <x:v>SPY</x:v>
      </x:c>
      <x:c r="B255" s="40" t="d">
        <x:v>2021-03-29T00:00:00.000Z</x:v>
      </x:c>
      <x:c r="C255" s="39" t="n">
        <x:v>-0.043083405</x:v>
      </x:c>
      <x:c r="D255" s="39" t="n">
        <x:v>-0.0616256989</x:v>
      </x:c>
      <x:c r="E255" s="39" t="n">
        <x:v>0.0463711289</x:v>
      </x:c>
      <x:c r="F255" s="39" t="n">
        <x:v>0.0481664583</x:v>
      </x:c>
      <x:c r="G255" s="39" t="n">
        <x:v>-0.0118749848</x:v>
      </x:c>
      <x:c r="H255" s="39" t="n">
        <x:v>0.044882452</x:v>
      </x:c>
      <x:c r="I255" s="39" t="n">
        <x:v>-0.0033981449</x:v>
      </x:c>
      <x:c r="J255" s="39" t="n">
        <x:v>-0.003562</x:v>
      </x:c>
      <x:c r="K255" s="39" t="n">
        <x:v>-0.0285270229</x:v>
      </x:c>
      <x:c r="L255" s="39" t="n">
        <x:v>-0.0570589599</x:v>
      </x:c>
      <x:c r="M255" s="39" t="n">
        <x:v>-0.0247773434</x:v>
      </x:c>
      <x:c r="N255" s="39" t="n">
        <x:v>-0.0014129378</x:v>
      </x:c>
      <x:c r="O255" s="39" t="n">
        <x:v>0.0359620593</x:v>
      </x:c>
      <x:c r="P255" s="39" t="n">
        <x:v>-0.0274746022</x:v>
      </x:c>
      <x:c r="Q255" s="39" t="n">
        <x:v>-0.0824081388</x:v>
      </x:c>
      <x:c r="R255" s="39"/>
      <x:c r="S255" s="39" t="n">
        <x:v>-0.0228041761</x:v>
      </x:c>
      <x:c r="T255" s="39" t="n">
        <x:v>-0.009750126</x:v>
      </x:c>
      <x:c r="U255" s="39" t="n">
        <x:v>0.0268073479</x:v>
      </x:c>
      <x:c r="V255" s="39" t="n">
        <x:v>-0.0376743229</x:v>
      </x:c>
      <x:c r="W255" s="39" t="n">
        <x:v>0.0030227307</x:v>
      </x:c>
      <x:c r="X255" s="39" t="n">
        <x:v>0.010148475</x:v>
      </x:c>
      <x:c r="Y255" s="39" t="n">
        <x:v>-0.0327083954</x:v>
      </x:c>
      <x:c r="Z255" s="39" t="n">
        <x:v>0.0675030774</x:v>
      </x:c>
      <x:c r="AA255" s="39" t="n">
        <x:v>0.0243478544</x:v>
      </x:c>
      <x:c r="AB255" s="39" t="n">
        <x:v>-0.0904279589</x:v>
      </x:c>
      <x:c r="AC255" s="39" t="n">
        <x:v>0.6072486749</x:v>
      </x:c>
      <x:c r="AD255" s="39" t="n">
        <x:v>0.0389969408</x:v>
      </x:c>
      <x:c r="AE255" s="39" t="n">
        <x:v>-0.0140678377</x:v>
      </x:c>
      <x:c r="AF255" s="39" t="n">
        <x:v>0.0077735159</x:v>
      </x:c>
      <x:c r="AG255" s="39" t="n">
        <x:v>0.0797237329</x:v>
      </x:c>
      <x:c r="AH255" s="39" t="n">
        <x:v>0.0692220248</x:v>
      </x:c>
      <x:c r="AI255" s="39" t="n">
        <x:v>-0.0329896629</x:v>
      </x:c>
      <x:c r="AJ255" s="39" t="n">
        <x:v>-0.0996197518</x:v>
      </x:c>
      <x:c r="AK255" s="39" t="n">
        <x:v>0.0077911027</x:v>
      </x:c>
      <x:c r="AL255" s="39" t="n">
        <x:v>-0.0110827476</x:v>
      </x:c>
      <x:c r="AM255" s="39" t="n">
        <x:v>-0.0046290139</x:v>
      </x:c>
      <x:c r="AN255" s="39" t="n">
        <x:v>-0.0205524405</x:v>
      </x:c>
      <x:c r="AO255" s="39" t="n">
        <x:v>0.0553060107</x:v>
      </x:c>
      <x:c r="AP255" s="39" t="n">
        <x:v>0.1156079948</x:v>
      </x:c>
      <x:c r="AQ255" s="39" t="n">
        <x:v>0.0214692</x:v>
      </x:c>
      <x:c r="AR255" s="39" t="n">
        <x:v>0.0203668621</x:v>
      </x:c>
      <x:c r="AS255" s="39" t="n">
        <x:v>0.002948615</x:v>
      </x:c>
    </x:row>
    <x:row r="256" ht="19" customHeight="1">
      <x:c r="A256" s="30" t="str">
        <x:v>SPY</x:v>
      </x:c>
      <x:c r="B256" s="40" t="d">
        <x:v>2021-04-26T00:00:00.000Z</x:v>
      </x:c>
      <x:c r="C256" s="39" t="n">
        <x:v>-0.0719261759</x:v>
      </x:c>
      <x:c r="D256" s="39" t="n">
        <x:v>-0.0367460866</x:v>
      </x:c>
      <x:c r="E256" s="39" t="n">
        <x:v>0.0057414124</x:v>
      </x:c>
      <x:c r="F256" s="39" t="n">
        <x:v>0.0383696654</x:v>
      </x:c>
      <x:c r="G256" s="39" t="n">
        <x:v>-0.0300768113</x:v>
      </x:c>
      <x:c r="H256" s="39" t="n">
        <x:v>0.0059284858</x:v>
      </x:c>
      <x:c r="I256" s="39" t="n">
        <x:v>0.0275311722</x:v>
      </x:c>
      <x:c r="J256" s="39" t="n">
        <x:v>-0.0281382579</x:v>
      </x:c>
      <x:c r="K256" s="39" t="n">
        <x:v>0.0047335617</x:v>
      </x:c>
      <x:c r="L256" s="39" t="n">
        <x:v>-0.038700733</x:v>
      </x:c>
      <x:c r="M256" s="39" t="n">
        <x:v>0.0255626675</x:v>
      </x:c>
      <x:c r="N256" s="39" t="n">
        <x:v>-0.0225315255</x:v>
      </x:c>
      <x:c r="O256" s="39" t="n">
        <x:v>-0.0175597453</x:v>
      </x:c>
      <x:c r="P256" s="39" t="n">
        <x:v>-0.0884081962</x:v>
      </x:c>
      <x:c r="Q256" s="39" t="n">
        <x:v>0.0411731897</x:v>
      </x:c>
      <x:c r="R256" s="39" t="n">
        <x:v>-0.0488412828</x:v>
      </x:c>
      <x:c r="S256" s="39" t="n">
        <x:v>-0.0260604266</x:v>
      </x:c>
      <x:c r="T256" s="39" t="n">
        <x:v>0.0562391213</x:v>
      </x:c>
      <x:c r="U256" s="39" t="n">
        <x:v>0.1700024166</x:v>
      </x:c>
      <x:c r="V256" s="39" t="n">
        <x:v>0.0016692368</x:v>
      </x:c>
      <x:c r="W256" s="39" t="n">
        <x:v>-0.0513628854</x:v>
      </x:c>
      <x:c r="X256" s="39" t="n">
        <x:v>0.0107594699</x:v>
      </x:c>
      <x:c r="Y256" s="39" t="n">
        <x:v>-0.1294275032</x:v>
      </x:c>
      <x:c r="Z256" s="39" t="n">
        <x:v>-0.0347736758</x:v>
      </x:c>
      <x:c r="AA256" s="39" t="n">
        <x:v>0.0189196973</x:v>
      </x:c>
      <x:c r="AB256" s="39" t="n">
        <x:v>-0.0888763267</x:v>
      </x:c>
      <x:c r="AC256" s="39" t="n">
        <x:v>-0.1998137334</x:v>
      </x:c>
      <x:c r="AD256" s="39" t="n">
        <x:v>-0.0130161454</x:v>
      </x:c>
      <x:c r="AE256" s="39" t="n">
        <x:v>-0.0717651689</x:v>
      </x:c>
      <x:c r="AF256" s="39" t="n">
        <x:v>-0.0338562366</x:v>
      </x:c>
      <x:c r="AG256" s="39" t="n">
        <x:v>-0.0755740112</x:v>
      </x:c>
      <x:c r="AH256" s="39" t="n">
        <x:v>0.005552207</x:v>
      </x:c>
      <x:c r="AI256" s="39" t="n">
        <x:v>-0.0699347917</x:v>
      </x:c>
      <x:c r="AJ256" s="39" t="n">
        <x:v>-0.0383711521</x:v>
      </x:c>
      <x:c r="AK256" s="39" t="n">
        <x:v>-0.0215937246</x:v>
      </x:c>
      <x:c r="AL256" s="39" t="n">
        <x:v>0.0633208077</x:v>
      </x:c>
      <x:c r="AM256" s="39" t="n">
        <x:v>-0.0034126865</x:v>
      </x:c>
      <x:c r="AN256" s="39" t="n">
        <x:v>0.0188093338</x:v>
      </x:c>
      <x:c r="AO256" s="39" t="n">
        <x:v>0.005402857</x:v>
      </x:c>
      <x:c r="AP256" s="39" t="n">
        <x:v>0.0118216392</x:v>
      </x:c>
      <x:c r="AQ256" s="39" t="n">
        <x:v>-0.0020659964</x:v>
      </x:c>
      <x:c r="AR256" s="39" t="n">
        <x:v>-0.0158367284</x:v>
      </x:c>
      <x:c r="AS256" s="39" t="n">
        <x:v>0.0214682438</x:v>
      </x:c>
    </x:row>
    <x:row r="257" ht="19" customHeight="1">
      <x:c r="A257" s="30" t="str">
        <x:v>SPY</x:v>
      </x:c>
      <x:c r="B257" s="40" t="d">
        <x:v>2021-05-24T00:00:00.000Z</x:v>
      </x:c>
      <x:c r="C257" s="39" t="n">
        <x:v>-0.044934469</x:v>
      </x:c>
      <x:c r="D257" s="39" t="n">
        <x:v>0.1512180668</x:v>
      </x:c>
      <x:c r="E257" s="39" t="n">
        <x:v>-0.0240401141</x:v>
      </x:c>
      <x:c r="F257" s="39" t="n">
        <x:v>-0.0301949172</x:v>
      </x:c>
      <x:c r="G257" s="39" t="n">
        <x:v>-0.0170051535</x:v>
      </x:c>
      <x:c r="H257" s="39" t="n">
        <x:v>-0.0496428273</x:v>
      </x:c>
      <x:c r="I257" s="39" t="n">
        <x:v>-0.0421325336</x:v>
      </x:c>
      <x:c r="J257" s="39" t="n">
        <x:v>-0.0382825995</x:v>
      </x:c>
      <x:c r="K257" s="39" t="n">
        <x:v>-0.0186391567</x:v>
      </x:c>
      <x:c r="L257" s="39" t="n">
        <x:v>0.0318960206</x:v>
      </x:c>
      <x:c r="M257" s="39" t="n">
        <x:v>0.0380573948</x:v>
      </x:c>
      <x:c r="N257" s="39" t="n">
        <x:v>0.0275387606</x:v>
      </x:c>
      <x:c r="O257" s="39" t="n">
        <x:v>-0.0043020387</x:v>
      </x:c>
      <x:c r="P257" s="39" t="n">
        <x:v>0.0040760275</x:v>
      </x:c>
      <x:c r="Q257" s="39" t="n">
        <x:v>-0.0629778903</x:v>
      </x:c>
      <x:c r="R257" s="39" t="n">
        <x:v>-0.035157439</x:v>
      </x:c>
      <x:c r="S257" s="39" t="n">
        <x:v>0.0404291601</x:v>
      </x:c>
      <x:c r="T257" s="39" t="n">
        <x:v>-0.0377895959</x:v>
      </x:c>
      <x:c r="U257" s="39" t="n">
        <x:v>0.0212101674</x:v>
      </x:c>
      <x:c r="V257" s="39" t="n">
        <x:v>-0.0619101843</x:v>
      </x:c>
      <x:c r="W257" s="39" t="n">
        <x:v>-0.011000824</x:v>
      </x:c>
      <x:c r="X257" s="39" t="n">
        <x:v>0.0167344366</x:v>
      </x:c>
      <x:c r="Y257" s="39" t="n">
        <x:v>-0.0531115818</x:v>
      </x:c>
      <x:c r="Z257" s="39" t="n">
        <x:v>0.08218423</x:v>
      </x:c>
      <x:c r="AA257" s="39" t="n">
        <x:v>-0.0202126981</x:v>
      </x:c>
      <x:c r="AB257" s="39" t="n">
        <x:v>-0.0187058566</x:v>
      </x:c>
      <x:c r="AC257" s="39" t="n">
        <x:v>0.2264035683</x:v>
      </x:c>
      <x:c r="AD257" s="39" t="n">
        <x:v>0.0056411998</x:v>
      </x:c>
      <x:c r="AE257" s="39" t="n">
        <x:v>0.1391396713</x:v>
      </x:c>
      <x:c r="AF257" s="39" t="n">
        <x:v>-0.0213685857</x:v>
      </x:c>
      <x:c r="AG257" s="39" t="n">
        <x:v>0.0325350283</x:v>
      </x:c>
      <x:c r="AH257" s="39" t="n">
        <x:v>-0.0007560385</x:v>
      </x:c>
      <x:c r="AI257" s="39" t="n">
        <x:v>-0.0289007494</x:v>
      </x:c>
      <x:c r="AJ257" s="39" t="n">
        <x:v>0.0381272611</x:v>
      </x:c>
      <x:c r="AK257" s="39" t="n">
        <x:v>-0.017958053</x:v>
      </x:c>
      <x:c r="AL257" s="39" t="n">
        <x:v>0.0495598638</x:v>
      </x:c>
      <x:c r="AM257" s="39" t="n">
        <x:v>-0.0041953562</x:v>
      </x:c>
      <x:c r="AN257" s="39" t="n">
        <x:v>-0.0118041767</x:v>
      </x:c>
      <x:c r="AO257" s="39" t="n">
        <x:v>6.83e-8</x:v>
      </x:c>
      <x:c r="AP257" s="39" t="n">
        <x:v>-0.0081188489</x:v>
      </x:c>
      <x:c r="AQ257" s="39" t="n">
        <x:v>0.0033727635</x:v>
      </x:c>
      <x:c r="AR257" s="39" t="n">
        <x:v>0.0153001728</x:v>
      </x:c>
      <x:c r="AS257" s="39" t="n">
        <x:v>0.0227818446</x:v>
      </x:c>
    </x:row>
    <x:row r="258" ht="19" customHeight="1">
      <x:c r="A258" s="30" t="str">
        <x:v>SPY</x:v>
      </x:c>
      <x:c r="B258" s="40" t="d">
        <x:v>2021-06-21T00:00:00.000Z</x:v>
      </x:c>
      <x:c r="C258" s="39" t="n">
        <x:v>0.0615043125</x:v>
      </x:c>
      <x:c r="D258" s="39" t="n">
        <x:v>0.0125918167</x:v>
      </x:c>
      <x:c r="E258" s="39" t="n">
        <x:v>-0.0068347999</x:v>
      </x:c>
      <x:c r="F258" s="39" t="n">
        <x:v>-0.0376316372</x:v>
      </x:c>
      <x:c r="G258" s="39" t="n">
        <x:v>0.013104658</x:v>
      </x:c>
      <x:c r="H258" s="39" t="n">
        <x:v>0.0792888178</x:v>
      </x:c>
      <x:c r="I258" s="39" t="n">
        <x:v>0.0260910027</x:v>
      </x:c>
      <x:c r="J258" s="39" t="n">
        <x:v>-0.0574962008</x:v>
      </x:c>
      <x:c r="K258" s="39" t="n">
        <x:v>-0.0722820514</x:v>
      </x:c>
      <x:c r="L258" s="39" t="n">
        <x:v>-0.0150893529</x:v>
      </x:c>
      <x:c r="M258" s="39" t="n">
        <x:v>-0.0405097742</x:v>
      </x:c>
      <x:c r="N258" s="39" t="n">
        <x:v>0.0192531734</x:v>
      </x:c>
      <x:c r="O258" s="39" t="n">
        <x:v>-0.0009940962</x:v>
      </x:c>
      <x:c r="P258" s="39" t="n">
        <x:v>-0.0599984906</x:v>
      </x:c>
      <x:c r="Q258" s="39" t="n">
        <x:v>0.0285096717</x:v>
      </x:c>
      <x:c r="R258" s="39" t="n">
        <x:v>0.1024407321</x:v>
      </x:c>
      <x:c r="S258" s="39" t="n">
        <x:v>0.0011226725</x:v>
      </x:c>
      <x:c r="T258" s="39" t="n">
        <x:v>0.1291592762</x:v>
      </x:c>
      <x:c r="U258" s="39" t="n">
        <x:v>0.1504737739</x:v>
      </x:c>
      <x:c r="V258" s="39" t="n">
        <x:v>0.1088492608</x:v>
      </x:c>
      <x:c r="W258" s="39" t="n">
        <x:v>0.0241929675</x:v>
      </x:c>
      <x:c r="X258" s="39" t="n">
        <x:v>0.0127455461</x:v>
      </x:c>
      <x:c r="Y258" s="39" t="n">
        <x:v>-0.0362194482</x:v>
      </x:c>
      <x:c r="Z258" s="39" t="n">
        <x:v>-0.066913447</x:v>
      </x:c>
      <x:c r="AA258" s="39" t="n">
        <x:v>-0.0262434658</x:v>
      </x:c>
      <x:c r="AB258" s="39" t="n">
        <x:v>-0.0062945089</x:v>
      </x:c>
      <x:c r="AC258" s="39" t="n">
        <x:v>-0.1136210454</x:v>
      </x:c>
      <x:c r="AD258" s="39" t="n">
        <x:v>0.0094052831</x:v>
      </x:c>
      <x:c r="AE258" s="39" t="n">
        <x:v>0.0445277862</x:v>
      </x:c>
      <x:c r="AF258" s="39" t="n">
        <x:v>-0.0754645113</x:v>
      </x:c>
      <x:c r="AG258" s="39" t="n">
        <x:v>0.027320345</x:v>
      </x:c>
      <x:c r="AH258" s="39" t="n">
        <x:v>0.0042849256</x:v>
      </x:c>
      <x:c r="AI258" s="39" t="n">
        <x:v>0.0352017399</x:v>
      </x:c>
      <x:c r="AJ258" s="39" t="n">
        <x:v>0.0670933096</x:v>
      </x:c>
      <x:c r="AK258" s="39" t="n">
        <x:v>0.0696982126</x:v>
      </x:c>
      <x:c r="AL258" s="39" t="n">
        <x:v>0.0235537093</x:v>
      </x:c>
      <x:c r="AM258" s="39" t="n">
        <x:v>0.0283078943</x:v>
      </x:c>
      <x:c r="AN258" s="39" t="n">
        <x:v>0.0193270587</x:v>
      </x:c>
      <x:c r="AO258" s="39" t="n">
        <x:v>0.0251267227</x:v>
      </x:c>
      <x:c r="AP258" s="39" t="n">
        <x:v>0.00133129</x:v>
      </x:c>
      <x:c r="AQ258" s="39" t="n">
        <x:v>-0.0046736573</x:v>
      </x:c>
      <x:c r="AR258" s="39" t="n">
        <x:v>-0.0235462276</x:v>
      </x:c>
      <x:c r="AS258" s="39" t="n">
        <x:v>-0.0279072419</x:v>
      </x:c>
    </x:row>
    <x:row r="259" ht="19" customHeight="1">
      <x:c r="A259" s="30" t="str">
        <x:v>SPY</x:v>
      </x:c>
      <x:c r="B259" s="40" t="d">
        <x:v>2021-07-19T00:00:00.000Z</x:v>
      </x:c>
      <x:c r="C259" s="39" t="n">
        <x:v>-0.0105141746</x:v>
      </x:c>
      <x:c r="D259" s="39" t="n">
        <x:v>0.0037848606</x:v>
      </x:c>
      <x:c r="E259" s="39" t="n">
        <x:v>0.0166051283</x:v>
      </x:c>
      <x:c r="F259" s="39" t="n">
        <x:v>-0.0101442768</x:v>
      </x:c>
      <x:c r="G259" s="39" t="n">
        <x:v>0.0036115421</x:v>
      </x:c>
      <x:c r="H259" s="39" t="n">
        <x:v>0.1374317856</x:v>
      </x:c>
      <x:c r="I259" s="39" t="n">
        <x:v>0.0256937799</x:v>
      </x:c>
      <x:c r="J259" s="39" t="n">
        <x:v>-0.0619505148</x:v>
      </x:c>
      <x:c r="K259" s="39" t="n">
        <x:v>-0.0369577179</x:v>
      </x:c>
      <x:c r="L259" s="39" t="n">
        <x:v>-0.1934123444</x:v>
      </x:c>
      <x:c r="M259" s="39" t="n">
        <x:v>-0.0667166655</x:v>
      </x:c>
      <x:c r="N259" s="39" t="n">
        <x:v>0.0275753246</x:v>
      </x:c>
      <x:c r="O259" s="39" t="n">
        <x:v>0.0104016099</x:v>
      </x:c>
      <x:c r="P259" s="39" t="n">
        <x:v>-0.0888950961</x:v>
      </x:c>
      <x:c r="Q259" s="39" t="n">
        <x:v>-0.1319532521</x:v>
      </x:c>
      <x:c r="R259" s="39" t="n">
        <x:v>0.0048676287</x:v>
      </x:c>
      <x:c r="S259" s="39" t="n">
        <x:v>-0.0137188237</x:v>
      </x:c>
      <x:c r="T259" s="39" t="n">
        <x:v>0.03312654</x:v>
      </x:c>
      <x:c r="U259" s="39" t="n">
        <x:v>0.3575507009</x:v>
      </x:c>
      <x:c r="V259" s="39" t="n">
        <x:v>0.010512857</x:v>
      </x:c>
      <x:c r="W259" s="39" t="n">
        <x:v>-0.0292868316</x:v>
      </x:c>
      <x:c r="X259" s="39" t="n">
        <x:v>0.0561343774</x:v>
      </x:c>
      <x:c r="Y259" s="39" t="n">
        <x:v>-0.068983929</x:v>
      </x:c>
      <x:c r="Z259" s="39" t="n">
        <x:v>0.026612848</x:v>
      </x:c>
      <x:c r="AA259" s="39" t="n">
        <x:v>-0.027313384</x:v>
      </x:c>
      <x:c r="AB259" s="39" t="n">
        <x:v>-0.1610850774</x:v>
      </x:c>
      <x:c r="AC259" s="39" t="n">
        <x:v>-0.0409634613</x:v>
      </x:c>
      <x:c r="AD259" s="39" t="n">
        <x:v>0.0394072263</x:v>
      </x:c>
      <x:c r="AE259" s="39" t="n">
        <x:v>-0.0396567301</x:v>
      </x:c>
      <x:c r="AF259" s="39" t="n">
        <x:v>-0.0684616325</x:v>
      </x:c>
      <x:c r="AG259" s="39" t="n">
        <x:v>-0.043058361</x:v>
      </x:c>
      <x:c r="AH259" s="39" t="n">
        <x:v>-0.0025351045</x:v>
      </x:c>
      <x:c r="AI259" s="39" t="n">
        <x:v>0.0342782843</x:v>
      </x:c>
      <x:c r="AJ259" s="39" t="n">
        <x:v>0.0106750627</x:v>
      </x:c>
      <x:c r="AK259" s="39" t="n">
        <x:v>0.0281788838</x:v>
      </x:c>
      <x:c r="AL259" s="39" t="n">
        <x:v>0.0138569238</x:v>
      </x:c>
      <x:c r="AM259" s="39" t="n">
        <x:v>0.037169176</x:v>
      </x:c>
      <x:c r="AN259" s="39" t="n">
        <x:v>0.0460120883</x:v>
      </x:c>
      <x:c r="AO259" s="39" t="n">
        <x:v>0.0459005853</x:v>
      </x:c>
      <x:c r="AP259" s="39" t="n">
        <x:v>0.0475179077</x:v>
      </x:c>
      <x:c r="AQ259" s="39" t="n">
        <x:v>0.0391601376</x:v>
      </x:c>
      <x:c r="AR259" s="39" t="n">
        <x:v>0.0299474836</x:v>
      </x:c>
      <x:c r="AS259" s="39" t="n">
        <x:v>-0.000424804</x:v>
      </x:c>
    </x:row>
    <x:row r="260" ht="19" customHeight="1">
      <x:c r="A260" s="30" t="str">
        <x:v>SPY</x:v>
      </x:c>
      <x:c r="B260" s="40" t="d">
        <x:v>2021-08-16T00:00:00.000Z</x:v>
      </x:c>
      <x:c r="C260" s="39" t="n">
        <x:v>-0.0536010926</x:v>
      </x:c>
      <x:c r="D260" s="39" t="n">
        <x:v>-0.0225107098</x:v>
      </x:c>
      <x:c r="E260" s="39" t="n">
        <x:v>0.0537840276</x:v>
      </x:c>
      <x:c r="F260" s="39" t="n">
        <x:v>0.065935367</x:v>
      </x:c>
      <x:c r="G260" s="39" t="n">
        <x:v>0.0255149971</x:v>
      </x:c>
      <x:c r="H260" s="39" t="n">
        <x:v>0.0484620952</x:v>
      </x:c>
      <x:c r="I260" s="39" t="n">
        <x:v>-0.0856750758</x:v>
      </x:c>
      <x:c r="J260" s="39" t="n">
        <x:v>-0.0162859918</x:v>
      </x:c>
      <x:c r="K260" s="39" t="n">
        <x:v>0.004830011</x:v>
      </x:c>
      <x:c r="L260" s="39" t="n">
        <x:v>-0.0570760518</x:v>
      </x:c>
      <x:c r="M260" s="39" t="n">
        <x:v>-0.0585821126</x:v>
      </x:c>
      <x:c r="N260" s="39" t="n">
        <x:v>-0.0121118532</x:v>
      </x:c>
      <x:c r="O260" s="39" t="n">
        <x:v>0.0512879736</x:v>
      </x:c>
      <x:c r="P260" s="39" t="n">
        <x:v>-0.0336719527</x:v>
      </x:c>
      <x:c r="Q260" s="39" t="n">
        <x:v>0.0220746473</x:v>
      </x:c>
      <x:c r="R260" s="39" t="n">
        <x:v>-0.0317872806</x:v>
      </x:c>
      <x:c r="S260" s="39" t="n">
        <x:v>-0.038153126</x:v>
      </x:c>
      <x:c r="T260" s="39" t="n">
        <x:v>-0.0035683374</x:v>
      </x:c>
      <x:c r="U260" s="39" t="n">
        <x:v>0.1227911028</x:v>
      </x:c>
      <x:c r="V260" s="39" t="n">
        <x:v>-0.0013274695</x:v>
      </x:c>
      <x:c r="W260" s="39" t="n">
        <x:v>0.0405358757</x:v>
      </x:c>
      <x:c r="X260" s="39" t="n">
        <x:v>0.0471610433</x:v>
      </x:c>
      <x:c r="Y260" s="39" t="n">
        <x:v>-0.0438085108</x:v>
      </x:c>
      <x:c r="Z260" s="39" t="n">
        <x:v>0.0152097908</x:v>
      </x:c>
      <x:c r="AA260" s="39" t="n">
        <x:v>0.0096661713</x:v>
      </x:c>
      <x:c r="AB260" s="39" t="n">
        <x:v>-0.0531072429</x:v>
      </x:c>
      <x:c r="AC260" s="39" t="n">
        <x:v>0.3717933591</x:v>
      </x:c>
      <x:c r="AD260" s="39" t="n">
        <x:v>0.0427630383</x:v>
      </x:c>
      <x:c r="AE260" s="39" t="n">
        <x:v>-0.024343893</x:v>
      </x:c>
      <x:c r="AF260" s="39" t="n">
        <x:v>0.001935254</x:v>
      </x:c>
      <x:c r="AG260" s="39" t="n">
        <x:v>0.0177577836</x:v>
      </x:c>
      <x:c r="AH260" s="39" t="n">
        <x:v>0.0213628696</x:v>
      </x:c>
      <x:c r="AI260" s="39" t="n">
        <x:v>0.1057178593</x:v>
      </x:c>
      <x:c r="AJ260" s="39" t="n">
        <x:v>0.0495704433</x:v>
      </x:c>
      <x:c r="AK260" s="39" t="n">
        <x:v>-0.0152260918</x:v>
      </x:c>
      <x:c r="AL260" s="39" t="n">
        <x:v>0.0086115872</x:v>
      </x:c>
      <x:c r="AM260" s="39" t="n">
        <x:v>0.0333797188</x:v>
      </x:c>
      <x:c r="AN260" s="39" t="n">
        <x:v>0.0326282961</x:v>
      </x:c>
      <x:c r="AO260" s="39" t="n">
        <x:v>0.0626028747</x:v>
      </x:c>
      <x:c r="AP260" s="39" t="n">
        <x:v>0.0137711522</x:v>
      </x:c>
      <x:c r="AQ260" s="39" t="n">
        <x:v>0.0058850415</x:v>
      </x:c>
      <x:c r="AR260" s="39" t="n">
        <x:v>0.0290044229</x:v>
      </x:c>
      <x:c r="AS260" s="39" t="n">
        <x:v>0.0192838976</x:v>
      </x:c>
    </x:row>
    <x:row r="261" ht="19" customHeight="1">
      <x:c r="A261" s="30" t="str">
        <x:v>SPY</x:v>
      </x:c>
      <x:c r="B261" s="40" t="d">
        <x:v>2021-09-13T00:00:00.000Z</x:v>
      </x:c>
      <x:c r="C261" s="39" t="n">
        <x:v>-0.019738092</x:v>
      </x:c>
      <x:c r="D261" s="39" t="n">
        <x:v>0.0161068467</x:v>
      </x:c>
      <x:c r="E261" s="39" t="n">
        <x:v>-0.0736063577</x:v>
      </x:c>
      <x:c r="F261" s="39" t="n">
        <x:v>-0.0313194171</x:v>
      </x:c>
      <x:c r="G261" s="39" t="n">
        <x:v>0.0334944878</x:v>
      </x:c>
      <x:c r="H261" s="39" t="n">
        <x:v>0.0000878546</x:v>
      </x:c>
      <x:c r="I261" s="39" t="n">
        <x:v>0.0653095859</x:v>
      </x:c>
      <x:c r="J261" s="39" t="n">
        <x:v>-0.1025802029</x:v>
      </x:c>
      <x:c r="K261" s="39" t="n">
        <x:v>-0.0931787566</x:v>
      </x:c>
      <x:c r="L261" s="39" t="n">
        <x:v>0.0282373018</x:v>
      </x:c>
      <x:c r="M261" s="39" t="n">
        <x:v>0.0416301764</x:v>
      </x:c>
      <x:c r="N261" s="39" t="n">
        <x:v>0.025002483</x:v>
      </x:c>
      <x:c r="O261" s="39" t="n">
        <x:v>-0.0576435187</x:v>
      </x:c>
      <x:c r="P261" s="39" t="n">
        <x:v>-0.0758625035</x:v>
      </x:c>
      <x:c r="Q261" s="39" t="n">
        <x:v>0.1894905189</x:v>
      </x:c>
      <x:c r="R261" s="39" t="n">
        <x:v>0.2879791638</x:v>
      </x:c>
      <x:c r="S261" s="39" t="n">
        <x:v>-0.0495818222</x:v>
      </x:c>
      <x:c r="T261" s="39" t="n">
        <x:v>0.0508855985</x:v>
      </x:c>
      <x:c r="U261" s="39" t="n">
        <x:v>0.0442497403</x:v>
      </x:c>
      <x:c r="V261" s="39" t="n">
        <x:v>-0.063257674</x:v>
      </x:c>
      <x:c r="W261" s="39" t="n">
        <x:v>0.0578731543</x:v>
      </x:c>
      <x:c r="X261" s="39" t="n">
        <x:v>-0.039897347</x:v>
      </x:c>
      <x:c r="Y261" s="39" t="n">
        <x:v>-0.019320449</x:v>
      </x:c>
      <x:c r="Z261" s="39" t="n">
        <x:v>-0.0723535735</x:v>
      </x:c>
      <x:c r="AA261" s="39" t="n">
        <x:v>-0.0435047889</x:v>
      </x:c>
      <x:c r="AB261" s="39" t="n">
        <x:v>0.0275020128</x:v>
      </x:c>
      <x:c r="AC261" s="39" t="n">
        <x:v>0.3389354756</x:v>
      </x:c>
      <x:c r="AD261" s="39" t="n">
        <x:v>-0.0136948267</x:v>
      </x:c>
      <x:c r="AE261" s="39" t="n">
        <x:v>0.022430891</x:v>
      </x:c>
      <x:c r="AF261" s="39" t="n">
        <x:v>-0.0562756366</x:v>
      </x:c>
      <x:c r="AG261" s="39" t="n">
        <x:v>-0.0207621365</x:v>
      </x:c>
      <x:c r="AH261" s="39" t="n">
        <x:v>-0.0616706979</x:v>
      </x:c>
      <x:c r="AI261" s="39" t="n">
        <x:v>-0.032925955</x:v>
      </x:c>
      <x:c r="AJ261" s="39" t="n">
        <x:v>-0.1286449689</x:v>
      </x:c>
      <x:c r="AK261" s="39" t="n">
        <x:v>-0.0219298745</x:v>
      </x:c>
      <x:c r="AL261" s="39" t="n">
        <x:v>-0.0519912692</x:v>
      </x:c>
      <x:c r="AM261" s="39" t="n">
        <x:v>-0.0025717813</x:v>
      </x:c>
      <x:c r="AN261" s="39" t="n">
        <x:v>-0.0042541365</x:v>
      </x:c>
      <x:c r="AO261" s="39" t="n">
        <x:v>-0.0176351363</x:v>
      </x:c>
      <x:c r="AP261" s="39" t="n">
        <x:v>0.0102235918</x:v>
      </x:c>
      <x:c r="AQ261" s="39" t="n">
        <x:v>-0.0450755445</x:v>
      </x:c>
      <x:c r="AR261" s="39" t="n">
        <x:v>-0.0748308441</x:v>
      </x:c>
      <x:c r="AS261" s="39" t="n">
        <x:v>-0.0364069411</x:v>
      </x:c>
    </x:row>
    <x:row r="262" ht="19" customHeight="1">
      <x:c r="A262" s="30" t="str">
        <x:v>SPY</x:v>
      </x:c>
      <x:c r="B262" s="40" t="d">
        <x:v>2021-10-11T00:00:00.000Z</x:v>
      </x:c>
      <x:c r="C262" s="39" t="n">
        <x:v>0.0478317128</x:v>
      </x:c>
      <x:c r="D262" s="39" t="n">
        <x:v>0.2050127999</x:v>
      </x:c>
      <x:c r="E262" s="39" t="n">
        <x:v>-0.0230544833</x:v>
      </x:c>
      <x:c r="F262" s="39" t="n">
        <x:v>-0.069041388</x:v>
      </x:c>
      <x:c r="G262" s="39" t="n">
        <x:v>-0.0297015824</x:v>
      </x:c>
      <x:c r="H262" s="39" t="n">
        <x:v>-0.036423359</x:v>
      </x:c>
      <x:c r="I262" s="39" t="n">
        <x:v>-0.0107320127</x:v>
      </x:c>
      <x:c r="J262" s="39" t="n">
        <x:v>0.037733994</x:v>
      </x:c>
      <x:c r="K262" s="39" t="n">
        <x:v>-0.0408807159</x:v>
      </x:c>
      <x:c r="L262" s="39" t="n">
        <x:v>0.0948108705</x:v>
      </x:c>
      <x:c r="M262" s="39" t="n">
        <x:v>0.1044432773</x:v>
      </x:c>
      <x:c r="N262" s="39" t="n">
        <x:v>0.051778856</x:v>
      </x:c>
      <x:c r="O262" s="39" t="n">
        <x:v>0.0159409942</x:v>
      </x:c>
      <x:c r="P262" s="39" t="n">
        <x:v>-0.0883390028</x:v>
      </x:c>
      <x:c r="Q262" s="39" t="n">
        <x:v>-0.0088994422</x:v>
      </x:c>
      <x:c r="R262" s="39" t="n">
        <x:v>0.038257962</x:v>
      </x:c>
      <x:c r="S262" s="39" t="n">
        <x:v>0.0626440668</x:v>
      </x:c>
      <x:c r="T262" s="39" t="n">
        <x:v>0.1448851878</x:v>
      </x:c>
      <x:c r="U262" s="39" t="n">
        <x:v>-0.2180566378</x:v>
      </x:c>
      <x:c r="V262" s="39" t="n">
        <x:v>0.00501263</x:v>
      </x:c>
      <x:c r="W262" s="39" t="n">
        <x:v>0.0430199003</x:v>
      </x:c>
      <x:c r="X262" s="39" t="n">
        <x:v>-0.0449390952</x:v>
      </x:c>
      <x:c r="Y262" s="39" t="n">
        <x:v>-0.1252833803</x:v>
      </x:c>
      <x:c r="Z262" s="39" t="n">
        <x:v>-0.0317691766</x:v>
      </x:c>
      <x:c r="AA262" s="39" t="n">
        <x:v>-0.0196508753</x:v>
      </x:c>
      <x:c r="AB262" s="39" t="n">
        <x:v>-0.1003227539</x:v>
      </x:c>
      <x:c r="AC262" s="39" t="n">
        <x:v>0.1955658348</x:v>
      </x:c>
      <x:c r="AD262" s="39" t="n">
        <x:v>-0.0095885868</x:v>
      </x:c>
      <x:c r="AE262" s="39" t="n">
        <x:v>0.0717870758</x:v>
      </x:c>
      <x:c r="AF262" s="39" t="n">
        <x:v>0.0535728408</x:v>
      </x:c>
      <x:c r="AG262" s="39" t="n">
        <x:v>-0.0101477839</x:v>
      </x:c>
      <x:c r="AH262" s="39" t="n">
        <x:v>0.0210969168</x:v>
      </x:c>
      <x:c r="AI262" s="39" t="n">
        <x:v>0.0127948851</x:v>
      </x:c>
      <x:c r="AJ262" s="39" t="n">
        <x:v>0.0004798507</x:v>
      </x:c>
      <x:c r="AK262" s="39" t="n">
        <x:v>-0.0474716923</x:v>
      </x:c>
      <x:c r="AL262" s="39" t="n">
        <x:v>0.0389280591</x:v>
      </x:c>
      <x:c r="AM262" s="39" t="n">
        <x:v>0.006787314</x:v>
      </x:c>
      <x:c r="AN262" s="39" t="n">
        <x:v>-0.0232084838</x:v>
      </x:c>
      <x:c r="AO262" s="39" t="n">
        <x:v>-0.0300803735</x:v>
      </x:c>
      <x:c r="AP262" s="39" t="n">
        <x:v>0.0202458692</x:v>
      </x:c>
      <x:c r="AQ262" s="39" t="n">
        <x:v>-0.0206047644</x:v>
      </x:c>
      <x:c r="AR262" s="39" t="n">
        <x:v>-0.0333715852</x:v>
      </x:c>
      <x:c r="AS262" s="39" t="n">
        <x:v>0.002226958</x:v>
      </x:c>
    </x:row>
    <x:row r="263" ht="19" customHeight="1">
      <x:c r="A263" s="30" t="str">
        <x:v>SPY</x:v>
      </x:c>
      <x:c r="B263" s="40" t="d">
        <x:v>2021-11-08T00:00:00.000Z</x:v>
      </x:c>
      <x:c r="C263" s="39" t="n">
        <x:v>-0.0495989717</x:v>
      </x:c>
      <x:c r="D263" s="39" t="n">
        <x:v>-0.0783865522</x:v>
      </x:c>
      <x:c r="E263" s="39" t="n">
        <x:v>-0.0064735209</x:v>
      </x:c>
      <x:c r="F263" s="39" t="n">
        <x:v>-0.0195389859</x:v>
      </x:c>
      <x:c r="G263" s="39" t="n">
        <x:v>-0.0782424865</x:v>
      </x:c>
      <x:c r="H263" s="39" t="n">
        <x:v>0.0109772892</x:v>
      </x:c>
      <x:c r="I263" s="39" t="n">
        <x:v>-0.0183215793</x:v>
      </x:c>
      <x:c r="J263" s="39" t="n">
        <x:v>0.0958356012</x:v>
      </x:c>
      <x:c r="K263" s="39" t="n">
        <x:v>0.1116382363</x:v>
      </x:c>
      <x:c r="L263" s="39" t="n">
        <x:v>-0.0454562328</x:v>
      </x:c>
      <x:c r="M263" s="39" t="n">
        <x:v>0.0588619933</x:v>
      </x:c>
      <x:c r="N263" s="39" t="n">
        <x:v>-0.0295838001</x:v>
      </x:c>
      <x:c r="O263" s="39" t="n">
        <x:v>-0.0039139365</x:v>
      </x:c>
      <x:c r="P263" s="39" t="n">
        <x:v>0.0058869573</x:v>
      </x:c>
      <x:c r="Q263" s="39" t="n">
        <x:v>-0.0280560255</x:v>
      </x:c>
      <x:c r="R263" s="39" t="n">
        <x:v>0.1723462457</x:v>
      </x:c>
      <x:c r="S263" s="39" t="n">
        <x:v>0.0412886401</x:v>
      </x:c>
      <x:c r="T263" s="39" t="n">
        <x:v>0.080764694</x:v>
      </x:c>
      <x:c r="U263" s="39" t="n">
        <x:v>-0.1987733819</x:v>
      </x:c>
      <x:c r="V263" s="39" t="n">
        <x:v>-0.0711541841</x:v>
      </x:c>
      <x:c r="W263" s="39" t="n">
        <x:v>0.0295039667</x:v>
      </x:c>
      <x:c r="X263" s="39" t="n">
        <x:v>0.0119665159</x:v>
      </x:c>
      <x:c r="Y263" s="39" t="n">
        <x:v>0.0374988672</x:v>
      </x:c>
      <x:c r="Z263" s="39" t="n">
        <x:v>0.0480468448</x:v>
      </x:c>
      <x:c r="AA263" s="39" t="n">
        <x:v>0.0197901846</x:v>
      </x:c>
      <x:c r="AB263" s="39" t="n">
        <x:v>-0.1190703738</x:v>
      </x:c>
      <x:c r="AC263" s="39" t="n">
        <x:v>-0.3113520332</x:v>
      </x:c>
      <x:c r="AD263" s="39" t="n">
        <x:v>0.0160580634</x:v>
      </x:c>
      <x:c r="AE263" s="39" t="n">
        <x:v>0.1449931827</x:v>
      </x:c>
      <x:c r="AF263" s="39" t="n">
        <x:v>-0.078939162</x:v>
      </x:c>
      <x:c r="AG263" s="39" t="n">
        <x:v>0.019926276</x:v>
      </x:c>
      <x:c r="AH263" s="39" t="n">
        <x:v>-0.0456131029</x:v>
      </x:c>
      <x:c r="AI263" s="39" t="n">
        <x:v>0.1370480764</x:v>
      </x:c>
      <x:c r="AJ263" s="39" t="n">
        <x:v>0.0299261931</x:v>
      </x:c>
      <x:c r="AK263" s="39" t="n">
        <x:v>-0.0029731515</x:v>
      </x:c>
      <x:c r="AL263" s="39" t="n">
        <x:v>-0.0592650661</x:v>
      </x:c>
      <x:c r="AM263" s="39" t="n">
        <x:v>0.0325922319</x:v>
      </x:c>
      <x:c r="AN263" s="39" t="n">
        <x:v>0.0045689568</x:v>
      </x:c>
      <x:c r="AO263" s="39" t="n">
        <x:v>0.0810682506</x:v>
      </x:c>
      <x:c r="AP263" s="39" t="n">
        <x:v>0.035205375</x:v>
      </x:c>
      <x:c r="AQ263" s="39" t="n">
        <x:v>0.025579105</x:v>
      </x:c>
      <x:c r="AR263" s="39" t="n">
        <x:v>0.012523165</x:v>
      </x:c>
      <x:c r="AS263" s="39" t="n">
        <x:v>-0.0035415722</x:v>
      </x:c>
    </x:row>
    <x:row r="264" ht="19" customHeight="1">
      <x:c r="A264" s="30" t="str">
        <x:v>SPY</x:v>
      </x:c>
      <x:c r="B264" s="40" t="d">
        <x:v>2021-12-06T00:00:00.000Z</x:v>
      </x:c>
      <x:c r="C264" s="39" t="n">
        <x:v>0.0280900983</x:v>
      </x:c>
      <x:c r="D264" s="39" t="n">
        <x:v>-0.0552005241</x:v>
      </x:c>
      <x:c r="E264" s="39" t="n">
        <x:v>0.0184316678</x:v>
      </x:c>
      <x:c r="F264" s="39" t="n">
        <x:v>0.0267110102</x:v>
      </x:c>
      <x:c r="G264" s="39" t="n">
        <x:v>-0.0108327177</x:v>
      </x:c>
      <x:c r="H264" s="39" t="n">
        <x:v>-0.0385274451</x:v>
      </x:c>
      <x:c r="I264" s="39" t="n">
        <x:v>-0.013674323</x:v>
      </x:c>
      <x:c r="J264" s="39" t="n">
        <x:v>-0.0452916618</x:v>
      </x:c>
      <x:c r="K264" s="39" t="n">
        <x:v>-0.0353937068</x:v>
      </x:c>
      <x:c r="L264" s="39" t="n">
        <x:v>-0.0746427557</x:v>
      </x:c>
      <x:c r="M264" s="39" t="n">
        <x:v>-0.0595199546</x:v>
      </x:c>
      <x:c r="N264" s="39" t="n">
        <x:v>0.0491364579</x:v>
      </x:c>
      <x:c r="O264" s="39" t="n">
        <x:v>-0.0291544858</x:v>
      </x:c>
      <x:c r="P264" s="39" t="n">
        <x:v>-0.0440780954</x:v>
      </x:c>
      <x:c r="Q264" s="39" t="n">
        <x:v>-0.07663377</x:v>
      </x:c>
      <x:c r="R264" s="39" t="n">
        <x:v>-0.2853145248</x:v>
      </x:c>
      <x:c r="S264" s="39" t="n">
        <x:v>0.0127132117</x:v>
      </x:c>
      <x:c r="T264" s="39" t="n">
        <x:v>-0.2828696733</x:v>
      </x:c>
      <x:c r="U264" s="39" t="n">
        <x:v>0.1096513561</x:v>
      </x:c>
      <x:c r="V264" s="39" t="n">
        <x:v>-0.1455181038</x:v>
      </x:c>
      <x:c r="W264" s="39" t="n">
        <x:v>-0.0756860704</x:v>
      </x:c>
      <x:c r="X264" s="39" t="n">
        <x:v>-0.0475166679</x:v>
      </x:c>
      <x:c r="Y264" s="39" t="n">
        <x:v>0.0587452005</x:v>
      </x:c>
      <x:c r="Z264" s="39" t="n">
        <x:v>-0.000375434</x:v>
      </x:c>
      <x:c r="AA264" s="39" t="n">
        <x:v>-0.0180476623</x:v>
      </x:c>
      <x:c r="AB264" s="39" t="n">
        <x:v>-0.0690138994</x:v>
      </x:c>
      <x:c r="AC264" s="39" t="n">
        <x:v>-0.3194318575</x:v>
      </x:c>
      <x:c r="AD264" s="39" t="n">
        <x:v>0.051253781</x:v>
      </x:c>
      <x:c r="AE264" s="39" t="n">
        <x:v>0.0893224903</x:v>
      </x:c>
      <x:c r="AF264" s="39" t="n">
        <x:v>0.0118754771</x:v>
      </x:c>
      <x:c r="AG264" s="39" t="n">
        <x:v>-0.0269784722</x:v>
      </x:c>
      <x:c r="AH264" s="39" t="n">
        <x:v>-0.0100524307</x:v>
      </x:c>
      <x:c r="AI264" s="39" t="n">
        <x:v>-0.0412267758</x:v>
      </x:c>
      <x:c r="AJ264" s="39" t="n">
        <x:v>-0.0646362867</x:v>
      </x:c>
      <x:c r="AK264" s="39" t="n">
        <x:v>-0.0233252326</x:v>
      </x:c>
      <x:c r="AL264" s="39" t="n">
        <x:v>0.0336155805</x:v>
      </x:c>
      <x:c r="AM264" s="39" t="n">
        <x:v>0.0125618743</x:v>
      </x:c>
      <x:c r="AN264" s="39" t="n">
        <x:v>-0.0026148194</x:v>
      </x:c>
      <x:c r="AO264" s="39" t="n">
        <x:v>0.0543309911</x:v>
      </x:c>
      <x:c r="AP264" s="39" t="n">
        <x:v>0.0914561956</x:v>
      </x:c>
      <x:c r="AQ264" s="39" t="n">
        <x:v>0.0022775363</x:v>
      </x:c>
      <x:c r="AR264" s="39" t="n">
        <x:v>0.0010630324</x:v>
      </x:c>
      <x:c r="AS264" s="39" t="n">
        <x:v>0.0032225502</x:v>
      </x:c>
    </x:row>
    <x:row r="265" ht="19" customHeight="1">
      <x:c r="A265" s="30" t="str">
        <x:v>SPY</x:v>
      </x:c>
      <x:c r="B265" s="40" t="d">
        <x:v>2022-01-03T00:00:00.000Z</x:v>
      </x:c>
      <x:c r="C265" s="39" t="n">
        <x:v>0.0515068628</x:v>
      </x:c>
      <x:c r="D265" s="39" t="n">
        <x:v>-0.0562059407</x:v>
      </x:c>
      <x:c r="E265" s="39" t="n">
        <x:v>0.0473693777</x:v>
      </x:c>
      <x:c r="F265" s="39" t="n">
        <x:v>0.0217722759</x:v>
      </x:c>
      <x:c r="G265" s="39" t="n">
        <x:v>0.0424108747</x:v>
      </x:c>
      <x:c r="H265" s="39" t="n">
        <x:v>-0.0425571481</x:v>
      </x:c>
      <x:c r="I265" s="39" t="n">
        <x:v>-0.0226355279</x:v>
      </x:c>
      <x:c r="J265" s="39" t="n">
        <x:v>-0.0387737836</x:v>
      </x:c>
      <x:c r="K265" s="39" t="n">
        <x:v>0.0230482491</x:v>
      </x:c>
      <x:c r="L265" s="39" t="n">
        <x:v>0.065401673</x:v>
      </x:c>
      <x:c r="M265" s="39" t="n">
        <x:v>0.0601004555</x:v>
      </x:c>
      <x:c r="N265" s="39" t="n">
        <x:v>-0.0238920374</x:v>
      </x:c>
      <x:c r="O265" s="39" t="n">
        <x:v>-0.0574576413</x:v>
      </x:c>
      <x:c r="P265" s="39" t="n">
        <x:v>0.0713883131</x:v>
      </x:c>
      <x:c r="Q265" s="39" t="n">
        <x:v>-0.1353586712</x:v>
      </x:c>
      <x:c r="R265" s="39" t="n">
        <x:v>-0.1230462372</x:v>
      </x:c>
      <x:c r="S265" s="39" t="n">
        <x:v>-0.0103060492</x:v>
      </x:c>
      <x:c r="T265" s="39" t="n">
        <x:v>-0.1985656448</x:v>
      </x:c>
      <x:c r="U265" s="39" t="n">
        <x:v>-0.1283317834</x:v>
      </x:c>
      <x:c r="V265" s="39" t="n">
        <x:v>0.0129730581</x:v>
      </x:c>
      <x:c r="W265" s="39" t="n">
        <x:v>-0.0755513464</x:v>
      </x:c>
      <x:c r="X265" s="39" t="n">
        <x:v>0.0324860581</x:v>
      </x:c>
      <x:c r="Y265" s="39" t="n">
        <x:v>0.0480658659</x:v>
      </x:c>
      <x:c r="Z265" s="39" t="n">
        <x:v>0.0220423643</x:v>
      </x:c>
      <x:c r="AA265" s="39" t="n">
        <x:v>0.1019886418</x:v>
      </x:c>
      <x:c r="AB265" s="39" t="n">
        <x:v>-0.1201658878</x:v>
      </x:c>
      <x:c r="AC265" s="39" t="n">
        <x:v>-0.1719813878</x:v>
      </x:c>
      <x:c r="AD265" s="39" t="n">
        <x:v>0.0349192069</x:v>
      </x:c>
      <x:c r="AE265" s="39" t="n">
        <x:v>0.0952603373</x:v>
      </x:c>
      <x:c r="AF265" s="39" t="n">
        <x:v>0.076708472</x:v>
      </x:c>
      <x:c r="AG265" s="39" t="n">
        <x:v>0.0420232803</x:v>
      </x:c>
      <x:c r="AH265" s="39" t="n">
        <x:v>0.0090961019</x:v>
      </x:c>
      <x:c r="AI265" s="39" t="n">
        <x:v>-0.030628012</x:v>
      </x:c>
      <x:c r="AJ265" s="39" t="n">
        <x:v>0.0259550594</x:v>
      </x:c>
      <x:c r="AK265" s="39" t="n">
        <x:v>0.0261907051</x:v>
      </x:c>
      <x:c r="AL265" s="39" t="n">
        <x:v>0.0077090181</x:v>
      </x:c>
      <x:c r="AM265" s="39" t="n">
        <x:v>-0.0492697748</x:v>
      </x:c>
      <x:c r="AN265" s="39" t="n">
        <x:v>-0.0565451049</x:v>
      </x:c>
      <x:c r="AO265" s="39" t="n">
        <x:v>-0.0349989128</x:v>
      </x:c>
      <x:c r="AP265" s="39" t="n">
        <x:v>-0.029802415</x:v>
      </x:c>
      <x:c r="AQ265" s="39" t="n">
        <x:v>0.0391079188</x:v>
      </x:c>
      <x:c r="AR265" s="39" t="n">
        <x:v>0.0216856285</x:v>
      </x:c>
      <x:c r="AS265" s="39" t="n">
        <x:v>0.0663827415</x:v>
      </x:c>
    </x:row>
    <x:row r="266" ht="19" customHeight="1">
      <x:c r="A266" s="30" t="str">
        <x:v>SPY</x:v>
      </x:c>
      <x:c r="B266" s="40" t="d">
        <x:v>2022-01-31T00:00:00.000Z</x:v>
      </x:c>
      <x:c r="C266" s="39" t="n">
        <x:v>-0.0124011178</x:v>
      </x:c>
      <x:c r="D266" s="39" t="n">
        <x:v>0.0457385472</x:v>
      </x:c>
      <x:c r="E266" s="39" t="n">
        <x:v>-0.0148696001</x:v>
      </x:c>
      <x:c r="F266" s="39" t="n">
        <x:v>-0.0086204471</x:v>
      </x:c>
      <x:c r="G266" s="39" t="n">
        <x:v>-0.0280287609</x:v>
      </x:c>
      <x:c r="H266" s="39" t="n">
        <x:v>-0.0231096168</x:v>
      </x:c>
      <x:c r="I266" s="39" t="n">
        <x:v>0.0332557054</x:v>
      </x:c>
      <x:c r="J266" s="39" t="n">
        <x:v>-0.0878916005</x:v>
      </x:c>
      <x:c r="K266" s="39" t="n">
        <x:v>0.0040343633</x:v>
      </x:c>
      <x:c r="L266" s="39" t="n">
        <x:v>0.0257348216</x:v>
      </x:c>
      <x:c r="M266" s="39" t="n">
        <x:v>0.0197729441</x:v>
      </x:c>
      <x:c r="N266" s="39" t="n">
        <x:v>0.0121731502</x:v>
      </x:c>
      <x:c r="O266" s="39" t="n">
        <x:v>-0.0531137494</x:v>
      </x:c>
      <x:c r="P266" s="39" t="n">
        <x:v>-0.1473628194</x:v>
      </x:c>
      <x:c r="Q266" s="39" t="n">
        <x:v>0.0276785848</x:v>
      </x:c>
      <x:c r="R266" s="39" t="n">
        <x:v>-0.1164457326</x:v>
      </x:c>
      <x:c r="S266" s="39" t="n">
        <x:v>0.0569706946</x:v>
      </x:c>
      <x:c r="T266" s="39" t="n">
        <x:v>0.0010241276</x:v>
      </x:c>
      <x:c r="U266" s="39" t="n">
        <x:v>-0.1800497057</x:v>
      </x:c>
      <x:c r="V266" s="39" t="n">
        <x:v>0.0054910388</x:v>
      </x:c>
      <x:c r="W266" s="39" t="n">
        <x:v>-0.1636575262</x:v>
      </x:c>
      <x:c r="X266" s="39" t="n">
        <x:v>0.004936869</x:v>
      </x:c>
      <x:c r="Y266" s="39" t="n">
        <x:v>-0.0868931295</x:v>
      </x:c>
      <x:c r="Z266" s="39" t="n">
        <x:v>0.0132317637</x:v>
      </x:c>
      <x:c r="AA266" s="39" t="n">
        <x:v>-0.0027534076</x:v>
      </x:c>
      <x:c r="AB266" s="39" t="n">
        <x:v>-0.0865962202</x:v>
      </x:c>
      <x:c r="AC266" s="39" t="n">
        <x:v>-0.009163726</x:v>
      </x:c>
      <x:c r="AD266" s="39" t="n">
        <x:v>0.0119717946</x:v>
      </x:c>
      <x:c r="AE266" s="39" t="n">
        <x:v>-0.1861498423</x:v>
      </x:c>
      <x:c r="AF266" s="39" t="n">
        <x:v>0.0092748582</x:v>
      </x:c>
      <x:c r="AG266" s="39" t="n">
        <x:v>0.0004703927</x:v>
      </x:c>
      <x:c r="AH266" s="39" t="n">
        <x:v>-0.0568297948</x:v>
      </x:c>
      <x:c r="AI266" s="39" t="n">
        <x:v>0.0142016327</x:v>
      </x:c>
      <x:c r="AJ266" s="39" t="n">
        <x:v>-0.0574054734</x:v>
      </x:c>
      <x:c r="AK266" s="39" t="n">
        <x:v>-0.0655341672</x:v>
      </x:c>
      <x:c r="AL266" s="39" t="n">
        <x:v>-0.0280699081</x:v>
      </x:c>
      <x:c r="AM266" s="39" t="n">
        <x:v>0.0245632262</x:v>
      </x:c>
      <x:c r="AN266" s="39" t="n">
        <x:v>0.0616469604</x:v>
      </x:c>
      <x:c r="AO266" s="39" t="n">
        <x:v>-0.0124134319</x:v>
      </x:c>
      <x:c r="AP266" s="39" t="n">
        <x:v>-0.0356945189</x:v>
      </x:c>
      <x:c r="AQ266" s="39" t="n">
        <x:v>0.0034215692</x:v>
      </x:c>
      <x:c r="AR266" s="39" t="n">
        <x:v>-0.0225468083</x:v>
      </x:c>
      <x:c r="AS266" s="39" t="n">
        <x:v>-0.0108074797</x:v>
      </x:c>
    </x:row>
    <x:row r="267" ht="19" customHeight="1">
      <x:c r="A267" s="30" t="str">
        <x:v>SPY</x:v>
      </x:c>
      <x:c r="B267" s="40" t="d">
        <x:v>2022-02-28T00:00:00.000Z</x:v>
      </x:c>
      <x:c r="C267" s="39" t="n">
        <x:v>0.0385444598</x:v>
      </x:c>
      <x:c r="D267" s="39" t="n">
        <x:v>0.1337861046</x:v>
      </x:c>
      <x:c r="E267" s="39" t="n">
        <x:v>0.0377374042</x:v>
      </x:c>
      <x:c r="F267" s="39" t="n">
        <x:v>0.0147756742</x:v>
      </x:c>
      <x:c r="G267" s="39" t="n">
        <x:v>0.0159331564</x:v>
      </x:c>
      <x:c r="H267" s="39" t="n">
        <x:v>-0.0180913739</x:v>
      </x:c>
      <x:c r="I267" s="39" t="n">
        <x:v>-0.0024381666</x:v>
      </x:c>
      <x:c r="J267" s="39" t="n">
        <x:v>-0.0358612208</x:v>
      </x:c>
      <x:c r="K267" s="39" t="n">
        <x:v>0.020952915</x:v>
      </x:c>
      <x:c r="L267" s="39" t="n">
        <x:v>-0.0375905999</x:v>
      </x:c>
      <x:c r="M267" s="39" t="n">
        <x:v>0.1061855163</x:v>
      </x:c>
      <x:c r="N267" s="39" t="n">
        <x:v>0.1589054718</x:v>
      </x:c>
      <x:c r="O267" s="39" t="n">
        <x:v>0.0499852411</x:v>
      </x:c>
      <x:c r="P267" s="39" t="n">
        <x:v>-0.0477037401</x:v>
      </x:c>
      <x:c r="Q267" s="39" t="n">
        <x:v>-0.0841285022</x:v>
      </x:c>
      <x:c r="R267" s="39" t="n">
        <x:v>-0.0424514501</x:v>
      </x:c>
      <x:c r="S267" s="39" t="n">
        <x:v>-0.0332965493</x:v>
      </x:c>
      <x:c r="T267" s="39" t="n">
        <x:v>0.0108697387</x:v>
      </x:c>
      <x:c r="U267" s="39" t="n">
        <x:v>-0.1860485889</x:v>
      </x:c>
      <x:c r="V267" s="39" t="n">
        <x:v>-0.0087516317</x:v>
      </x:c>
      <x:c r="W267" s="39" t="n">
        <x:v>-0.0558619003</x:v>
      </x:c>
      <x:c r="X267" s="39" t="n">
        <x:v>-0.054210448</x:v>
      </x:c>
      <x:c r="Y267" s="39" t="n">
        <x:v>-0.0273425752</x:v>
      </x:c>
      <x:c r="Z267" s="39" t="n">
        <x:v>0.0472553818</x:v>
      </x:c>
      <x:c r="AA267" s="39" t="n">
        <x:v>-0.0147298878</x:v>
      </x:c>
      <x:c r="AB267" s="39" t="n">
        <x:v>0.0475246101</x:v>
      </x:c>
      <x:c r="AC267" s="39" t="n">
        <x:v>0.3058157691</x:v>
      </x:c>
      <x:c r="AD267" s="39" t="n">
        <x:v>-0.0388808083</x:v>
      </x:c>
      <x:c r="AE267" s="39" t="n">
        <x:v>-0.0687085151</x:v>
      </x:c>
      <x:c r="AF267" s="39" t="n">
        <x:v>0.0031590127</x:v>
      </x:c>
      <x:c r="AG267" s="39" t="n">
        <x:v>-0.1196783113</x:v>
      </x:c>
      <x:c r="AH267" s="39" t="n">
        <x:v>0.0703374038</x:v>
      </x:c>
      <x:c r="AI267" s="39" t="n">
        <x:v>-0.0814179235</x:v>
      </x:c>
      <x:c r="AJ267" s="39" t="n">
        <x:v>0.0548342201</x:v>
      </x:c>
      <x:c r="AK267" s="39" t="n">
        <x:v>0.0278598876</x:v>
      </x:c>
      <x:c r="AL267" s="39" t="n">
        <x:v>-0.0930718546</x:v>
      </x:c>
      <x:c r="AM267" s="39" t="n">
        <x:v>0.0054822071</x:v>
      </x:c>
      <x:c r="AN267" s="39" t="n">
        <x:v>-0.0601501881</x:v>
      </x:c>
      <x:c r="AO267" s="39" t="n">
        <x:v>-0.0051269616</x:v>
      </x:c>
      <x:c r="AP267" s="39" t="n">
        <x:v>-0.070288014</x:v>
      </x:c>
      <x:c r="AQ267" s="39" t="n">
        <x:v>-0.0108733682</x:v>
      </x:c>
      <x:c r="AR267" s="39" t="n">
        <x:v>-0.0333782492</x:v>
      </x:c>
      <x:c r="AS267" s="39" t="n">
        <x:v>0.0080649643</x:v>
      </x:c>
    </x:row>
    <x:row r="268" ht="19" customHeight="1">
      <x:c r="A268" s="30" t="str">
        <x:v>SPY</x:v>
      </x:c>
      <x:c r="B268" s="40" t="d">
        <x:v>2022-03-28T00:00:00.000Z</x:v>
      </x:c>
      <x:c r="C268" s="39" t="n">
        <x:v>-0.0179384169</x:v>
      </x:c>
      <x:c r="D268" s="39" t="n">
        <x:v>0.0540967931</x:v>
      </x:c>
      <x:c r="E268" s="39" t="n">
        <x:v>0.0166789834</x:v>
      </x:c>
      <x:c r="F268" s="39" t="n">
        <x:v>0.026526103</x:v>
      </x:c>
      <x:c r="G268" s="39" t="n">
        <x:v>-0.0569128979</x:v>
      </x:c>
      <x:c r="H268" s="39" t="n">
        <x:v>0.0447400383</x:v>
      </x:c>
      <x:c r="I268" s="39" t="n">
        <x:v>0.0369881526</x:v>
      </x:c>
      <x:c r="J268" s="39" t="n">
        <x:v>-0.0542939728</x:v>
      </x:c>
      <x:c r="K268" s="39" t="n">
        <x:v>-0.1968302376</x:v>
      </x:c>
      <x:c r="L268" s="39" t="n">
        <x:v>0.094770123</x:v>
      </x:c>
      <x:c r="M268" s="39" t="n">
        <x:v>0.0621629744</x:v>
      </x:c>
      <x:c r="N268" s="39" t="n">
        <x:v>0.0391030114</x:v>
      </x:c>
      <x:c r="O268" s="39" t="n">
        <x:v>0.0600881104</x:v>
      </x:c>
      <x:c r="P268" s="39" t="n">
        <x:v>-0.1373989816</x:v>
      </x:c>
      <x:c r="Q268" s="39" t="n">
        <x:v>0.0530951136</x:v>
      </x:c>
      <x:c r="R268" s="39" t="n">
        <x:v>0.0464502388</x:v>
      </x:c>
      <x:c r="S268" s="39" t="n">
        <x:v>-0.0249385352</x:v>
      </x:c>
      <x:c r="T268" s="39" t="n">
        <x:v>0.0859409513</x:v>
      </x:c>
      <x:c r="U268" s="39" t="n">
        <x:v>0.1609326884</x:v>
      </x:c>
      <x:c r="V268" s="39" t="n">
        <x:v>-0.0394901125</x:v>
      </x:c>
      <x:c r="W268" s="39" t="n">
        <x:v>-0.0090989354</x:v>
      </x:c>
      <x:c r="X268" s="39" t="n">
        <x:v>-0.0082277456</x:v>
      </x:c>
      <x:c r="Y268" s="39" t="n">
        <x:v>-0.1664016315</x:v>
      </x:c>
      <x:c r="Z268" s="39" t="n">
        <x:v>0.029730174</x:v>
      </x:c>
      <x:c r="AA268" s="39" t="n">
        <x:v>0.0357411242</x:v>
      </x:c>
      <x:c r="AB268" s="39" t="n">
        <x:v>0.0199237389</x:v>
      </x:c>
      <x:c r="AC268" s="39" t="n">
        <x:v>-0.1748958616</x:v>
      </x:c>
      <x:c r="AD268" s="39" t="n">
        <x:v>-0.0207519885</x:v>
      </x:c>
      <x:c r="AE268" s="39" t="n">
        <x:v>-0.0669330425</x:v>
      </x:c>
      <x:c r="AF268" s="39" t="n">
        <x:v>-0.0617290976</x:v>
      </x:c>
      <x:c r="AG268" s="39" t="n">
        <x:v>-0.0050814239</x:v>
      </x:c>
      <x:c r="AH268" s="39" t="n">
        <x:v>-0.0771084436</x:v>
      </x:c>
      <x:c r="AI268" s="39" t="n">
        <x:v>-0.1086741852</x:v>
      </x:c>
      <x:c r="AJ268" s="39" t="n">
        <x:v>0.044848667</x:v>
      </x:c>
      <x:c r="AK268" s="39" t="n">
        <x:v>0.0394996776</x:v>
      </x:c>
      <x:c r="AL268" s="39" t="n">
        <x:v>0.0641264083</x:v>
      </x:c>
      <x:c r="AM268" s="39" t="n">
        <x:v>0.0045197415</x:v>
      </x:c>
      <x:c r="AN268" s="39" t="n">
        <x:v>-0.0169187102</x:v>
      </x:c>
      <x:c r="AO268" s="39" t="n">
        <x:v>0.0328136777</x:v>
      </x:c>
      <x:c r="AP268" s="39" t="n">
        <x:v>-0.0808102414</x:v>
      </x:c>
      <x:c r="AQ268" s="39" t="n">
        <x:v>-0.0154810907</x:v>
      </x:c>
      <x:c r="AR268" s="39" t="n">
        <x:v>0.0199037475</x:v>
      </x:c>
      <x:c r="AS268" s="39" t="n">
        <x:v>0.0351437978</x:v>
      </x:c>
    </x:row>
    <x:row r="269" ht="19" customHeight="1">
      <x:c r="A269" s="30" t="str">
        <x:v>SPY</x:v>
      </x:c>
      <x:c r="B269" s="40" t="d">
        <x:v>2022-04-25T00:00:00.000Z</x:v>
      </x:c>
      <x:c r="C269" s="39" t="n">
        <x:v>0.1124700695</x:v>
      </x:c>
      <x:c r="D269" s="39" t="n">
        <x:v>-0.1046878131</x:v>
      </x:c>
      <x:c r="E269" s="39" t="n">
        <x:v>0.015914405</x:v>
      </x:c>
      <x:c r="F269" s="39" t="n">
        <x:v>0.0070977088</x:v>
      </x:c>
      <x:c r="G269" s="39" t="n">
        <x:v>-0.0241929688</x:v>
      </x:c>
      <x:c r="H269" s="39" t="n">
        <x:v>0.0291017878</x:v>
      </x:c>
      <x:c r="I269" s="39" t="n">
        <x:v>-0.080193825</x:v>
      </x:c>
      <x:c r="J269" s="39" t="n">
        <x:v>0.0617667749</x:v>
      </x:c>
      <x:c r="K269" s="39" t="n">
        <x:v>0.1204336339</x:v>
      </x:c>
      <x:c r="L269" s="39" t="n">
        <x:v>0.037402841</x:v>
      </x:c>
      <x:c r="M269" s="39" t="n">
        <x:v>-0.0860480157</x:v>
      </x:c>
      <x:c r="N269" s="39" t="n">
        <x:v>-0.0197596316</x:v>
      </x:c>
      <x:c r="O269" s="39" t="n">
        <x:v>-0.034110456</x:v>
      </x:c>
      <x:c r="P269" s="39" t="n">
        <x:v>0.2339540509</x:v>
      </x:c>
      <x:c r="Q269" s="39" t="n">
        <x:v>-0.1375988534</x:v>
      </x:c>
      <x:c r="R269" s="39" t="n">
        <x:v>-0.2062157632</x:v>
      </x:c>
      <x:c r="S269" s="39" t="n">
        <x:v>-0.0517697298</x:v>
      </x:c>
      <x:c r="T269" s="39" t="n">
        <x:v>-0.1819385559</x:v>
      </x:c>
      <x:c r="U269" s="39" t="n">
        <x:v>-0.0908864842</x:v>
      </x:c>
      <x:c r="V269" s="39" t="n">
        <x:v>-0.1039276253</x:v>
      </x:c>
      <x:c r="W269" s="39" t="n">
        <x:v>-0.4240770427</x:v>
      </x:c>
      <x:c r="X269" s="39" t="n">
        <x:v>-0.0607711762</x:v>
      </x:c>
      <x:c r="Y269" s="39" t="n">
        <x:v>0.0847590912</x:v>
      </x:c>
      <x:c r="Z269" s="39" t="n">
        <x:v>0.0213090297</x:v>
      </x:c>
      <x:c r="AA269" s="39" t="n">
        <x:v>-0.043706304</x:v>
      </x:c>
      <x:c r="AB269" s="39" t="n">
        <x:v>0.0468571926</x:v>
      </x:c>
      <x:c r="AC269" s="39" t="n">
        <x:v>-0.053346941</x:v>
      </x:c>
      <x:c r="AD269" s="39" t="n">
        <x:v>0.088291041</x:v>
      </x:c>
      <x:c r="AE269" s="39" t="n">
        <x:v>0.0278619073</x:v>
      </x:c>
      <x:c r="AF269" s="39" t="n">
        <x:v>0.0361130942</x:v>
      </x:c>
      <x:c r="AG269" s="39" t="n">
        <x:v>-0.0524366536</x:v>
      </x:c>
      <x:c r="AH269" s="39" t="n">
        <x:v>0.0674424969</x:v>
      </x:c>
      <x:c r="AI269" s="39" t="n">
        <x:v>0.0438675195</x:v>
      </x:c>
      <x:c r="AJ269" s="39" t="n">
        <x:v>0.0089913929</x:v>
      </x:c>
      <x:c r="AK269" s="39" t="n">
        <x:v>0.0037979561</x:v>
      </x:c>
      <x:c r="AL269" s="39" t="n">
        <x:v>0.0047956593</x:v>
      </x:c>
      <x:c r="AM269" s="39" t="n">
        <x:v>0.0208760995</x:v>
      </x:c>
      <x:c r="AN269" s="39" t="n">
        <x:v>-0.0359172202</x:v>
      </x:c>
      <x:c r="AO269" s="39" t="n">
        <x:v>0.0008898703</x:v>
      </x:c>
      <x:c r="AP269" s="39" t="n">
        <x:v>0.0898587878</x:v>
      </x:c>
      <x:c r="AQ269" s="39" t="n">
        <x:v>0.0548147191</x:v>
      </x:c>
      <x:c r="AR269" s="39" t="n">
        <x:v>0.0146618798</x:v>
      </x:c>
      <x:c r="AS269" s="39" t="n">
        <x:v>-0.0343197717</x:v>
      </x:c>
    </x:row>
    <x:row r="270" ht="19" customHeight="1">
      <x:c r="A270" s="30" t="str">
        <x:v>SPY</x:v>
      </x:c>
      <x:c r="B270" s="40" t="d">
        <x:v>2022-05-23T00:00:00.000Z</x:v>
      </x:c>
      <x:c r="C270" s="39" t="n">
        <x:v>0.0183074147</x:v>
      </x:c>
      <x:c r="D270" s="39" t="n">
        <x:v>0.0604235646</x:v>
      </x:c>
      <x:c r="E270" s="39" t="n">
        <x:v>0.032306926</x:v>
      </x:c>
      <x:c r="F270" s="39" t="n">
        <x:v>0.0082065047</x:v>
      </x:c>
      <x:c r="G270" s="39" t="n">
        <x:v>-0.006426048</x:v>
      </x:c>
      <x:c r="H270" s="39" t="n">
        <x:v>-0.0228587874</x:v>
      </x:c>
      <x:c r="I270" s="39" t="n">
        <x:v>-0.0569628359</x:v>
      </x:c>
      <x:c r="J270" s="39" t="n">
        <x:v>0.0227676192</x:v>
      </x:c>
      <x:c r="K270" s="39" t="n">
        <x:v>-0.0038147539</x:v>
      </x:c>
      <x:c r="L270" s="39" t="n">
        <x:v>0.1050085111</x:v>
      </x:c>
      <x:c r="M270" s="39" t="n">
        <x:v>-0.0268548299</x:v>
      </x:c>
      <x:c r="N270" s="39" t="n">
        <x:v>-0.028171435</x:v>
      </x:c>
      <x:c r="O270" s="39" t="n">
        <x:v>-0.0383083546</x:v>
      </x:c>
      <x:c r="P270" s="39" t="n">
        <x:v>0.0884527201</x:v>
      </x:c>
      <x:c r="Q270" s="39" t="n">
        <x:v>-0.0398951927</x:v>
      </x:c>
      <x:c r="R270" s="39" t="n">
        <x:v>0.1745871326</x:v>
      </x:c>
      <x:c r="S270" s="39" t="n">
        <x:v>-0.0787191449</x:v>
      </x:c>
      <x:c r="T270" s="39" t="n">
        <x:v>-0.3097753262</x:v>
      </x:c>
      <x:c r="U270" s="39" t="n">
        <x:v>0.0793172901</x:v>
      </x:c>
      <x:c r="V270" s="39" t="n">
        <x:v>-0.084598498</x:v>
      </x:c>
      <x:c r="W270" s="39" t="n">
        <x:v>0.0194492316</x:v>
      </x:c>
      <x:c r="X270" s="39" t="n">
        <x:v>0.087439773</x:v>
      </x:c>
      <x:c r="Y270" s="39" t="n">
        <x:v>0.0200522135</x:v>
      </x:c>
      <x:c r="Z270" s="39" t="n">
        <x:v>-0.0555038701</x:v>
      </x:c>
      <x:c r="AA270" s="39" t="n">
        <x:v>0.0769294036</x:v>
      </x:c>
      <x:c r="AB270" s="39" t="n">
        <x:v>-0.0124077653</x:v>
      </x:c>
      <x:c r="AC270" s="39" t="n">
        <x:v>-0.2778626584</x:v>
      </x:c>
      <x:c r="AD270" s="39" t="n">
        <x:v>-0.0575043627</x:v>
      </x:c>
      <x:c r="AE270" s="39" t="n">
        <x:v>-0.0317673238</x:v>
      </x:c>
      <x:c r="AF270" s="39" t="n">
        <x:v>-0.0027931895</x:v>
      </x:c>
      <x:c r="AG270" s="39" t="n">
        <x:v>-0.0863745145</x:v>
      </x:c>
      <x:c r="AH270" s="39" t="n">
        <x:v>0.0005384939</x:v>
      </x:c>
      <x:c r="AI270" s="39" t="n">
        <x:v>0.1208132922</x:v>
      </x:c>
      <x:c r="AJ270" s="39" t="n">
        <x:v>0.058488186</x:v>
      </x:c>
      <x:c r="AK270" s="39" t="n">
        <x:v>-0.0179896455</x:v>
      </x:c>
      <x:c r="AL270" s="39" t="n">
        <x:v>0.0021525543</x:v>
      </x:c>
      <x:c r="AM270" s="39" t="n">
        <x:v>-0.0119255347</x:v>
      </x:c>
      <x:c r="AN270" s="39" t="n">
        <x:v>-0.0236357266</x:v>
      </x:c>
      <x:c r="AO270" s="39" t="n">
        <x:v>-0.1017074012</x:v>
      </x:c>
      <x:c r="AP270" s="39" t="n">
        <x:v>0.0228104425</x:v>
      </x:c>
      <x:c r="AQ270" s="39" t="n">
        <x:v>-0.008253869</x:v>
      </x:c>
      <x:c r="AR270" s="39" t="n">
        <x:v>-0.0040970791</x:v>
      </x:c>
      <x:c r="AS270" s="39" t="n">
        <x:v>-0.0172937234</x:v>
      </x:c>
    </x:row>
    <x:row r="271" ht="19" customHeight="1">
      <x:c r="A271" s="30" t="str">
        <x:v>SPY</x:v>
      </x:c>
      <x:c r="B271" s="40" t="d">
        <x:v>2022-06-20T00:00:00.000Z</x:v>
      </x:c>
      <x:c r="C271" s="39" t="n">
        <x:v>-0.0497091058</x:v>
      </x:c>
      <x:c r="D271" s="39" t="n">
        <x:v>-0.271640791</x:v>
      </x:c>
      <x:c r="E271" s="39" t="n">
        <x:v>-0.0631417227</x:v>
      </x:c>
      <x:c r="F271" s="39" t="n">
        <x:v>-0.0647697798</x:v>
      </x:c>
      <x:c r="G271" s="39" t="n">
        <x:v>-0.0024963613</x:v>
      </x:c>
      <x:c r="H271" s="39" t="n">
        <x:v>0.0189186807</x:v>
      </x:c>
      <x:c r="I271" s="39" t="n">
        <x:v>0.0927268762</x:v>
      </x:c>
      <x:c r="J271" s="39" t="n">
        <x:v>-0.0252167424</x:v>
      </x:c>
      <x:c r="K271" s="39" t="n">
        <x:v>-0.0174690819</x:v>
      </x:c>
      <x:c r="L271" s="39" t="n">
        <x:v>-0.216642521</x:v>
      </x:c>
      <x:c r="M271" s="39" t="n">
        <x:v>-0.1564043346</x:v>
      </x:c>
      <x:c r="N271" s="39" t="n">
        <x:v>-0.1212383071</x:v>
      </x:c>
      <x:c r="O271" s="39" t="n">
        <x:v>0.0070889311</x:v>
      </x:c>
      <x:c r="P271" s="39" t="n">
        <x:v>-0.1292063595</x:v>
      </x:c>
      <x:c r="Q271" s="39" t="n">
        <x:v>0.0374032832</x:v>
      </x:c>
      <x:c r="R271" s="39" t="n">
        <x:v>0.0190833368</x:v>
      </x:c>
      <x:c r="S271" s="39" t="n">
        <x:v>0.0455035432</x:v>
      </x:c>
      <x:c r="T271" s="39" t="n">
        <x:v>-0.0468327445</x:v>
      </x:c>
      <x:c r="U271" s="39" t="n">
        <x:v>0.0453732204</x:v>
      </x:c>
      <x:c r="V271" s="39" t="n">
        <x:v>-0.0159964396</x:v>
      </x:c>
      <x:c r="W271" s="39" t="n">
        <x:v>0.0373963192</x:v>
      </x:c>
      <x:c r="X271" s="39" t="n">
        <x:v>-0.0425947761</x:v>
      </x:c>
      <x:c r="Y271" s="39" t="n">
        <x:v>-0.0885988918</x:v>
      </x:c>
      <x:c r="Z271" s="39" t="n">
        <x:v>0.0082601974</x:v>
      </x:c>
      <x:c r="AA271" s="39" t="n">
        <x:v>-0.0262356803</x:v>
      </x:c>
      <x:c r="AB271" s="39" t="n">
        <x:v>-0.0029423931</x:v>
      </x:c>
      <x:c r="AC271" s="39" t="n">
        <x:v>0.0000903855</x:v>
      </x:c>
      <x:c r="AD271" s="39" t="n">
        <x:v>0.0108904331</x:v>
      </x:c>
      <x:c r="AE271" s="39" t="n">
        <x:v>-0.0143490864</x:v>
      </x:c>
      <x:c r="AF271" s="39" t="n">
        <x:v>-0.0391513897</x:v>
      </x:c>
      <x:c r="AG271" s="39" t="n">
        <x:v>0.1313542926</x:v>
      </x:c>
      <x:c r="AH271" s="39" t="n">
        <x:v>0.0107680204</x:v>
      </x:c>
      <x:c r="AI271" s="39" t="n">
        <x:v>0.0066026843</x:v>
      </x:c>
      <x:c r="AJ271" s="39" t="n">
        <x:v>0.0045730339</x:v>
      </x:c>
      <x:c r="AK271" s="39" t="n">
        <x:v>-0.0342396569</x:v>
      </x:c>
      <x:c r="AL271" s="39" t="n">
        <x:v>-0.0076738476</x:v>
      </x:c>
      <x:c r="AM271" s="39" t="n">
        <x:v>0.0514384618</x:v>
      </x:c>
      <x:c r="AN271" s="39" t="n">
        <x:v>0.1065525492</x:v>
      </x:c>
      <x:c r="AO271" s="39" t="n">
        <x:v>0.0536641848</x:v>
      </x:c>
      <x:c r="AP271" s="39" t="n">
        <x:v>-0.0039320324</x:v>
      </x:c>
      <x:c r="AQ271" s="39" t="n">
        <x:v>-0.0000562608</x:v>
      </x:c>
      <x:c r="AR271" s="39" t="n">
        <x:v>0.0012595132</x:v>
      </x:c>
      <x:c r="AS271" s="39" t="n">
        <x:v>-0.0918473153</x:v>
      </x:c>
    </x:row>
    <x:row r="272" ht="19" customHeight="1">
      <x:c r="A272" s="30" t="str">
        <x:v>SPY</x:v>
      </x:c>
      <x:c r="B272" s="40" t="d">
        <x:v>2022-07-18T00:00:00.000Z</x:v>
      </x:c>
      <x:c r="C272" s="39" t="n">
        <x:v>-0.0375459678</x:v>
      </x:c>
      <x:c r="D272" s="39" t="n">
        <x:v>-0.1591517828</x:v>
      </x:c>
      <x:c r="E272" s="39" t="n">
        <x:v>-0.010655262</x:v>
      </x:c>
      <x:c r="F272" s="39" t="n">
        <x:v>-0.0223928241</x:v>
      </x:c>
      <x:c r="G272" s="39" t="n">
        <x:v>0.0337230007</x:v>
      </x:c>
      <x:c r="H272" s="39" t="n">
        <x:v>0.0024542273</x:v>
      </x:c>
      <x:c r="I272" s="39" t="n">
        <x:v>0.033932408</x:v>
      </x:c>
      <x:c r="J272" s="39" t="n">
        <x:v>0.0121377151</x:v>
      </x:c>
      <x:c r="K272" s="39" t="n">
        <x:v>-0.0101283108</x:v>
      </x:c>
      <x:c r="L272" s="39" t="n">
        <x:v>-0.0279640086</x:v>
      </x:c>
      <x:c r="M272" s="39" t="n">
        <x:v>-0.0050687277</x:v>
      </x:c>
      <x:c r="N272" s="39" t="n">
        <x:v>-0.0308259428</x:v>
      </x:c>
      <x:c r="O272" s="39" t="n">
        <x:v>0.0824847234</x:v>
      </x:c>
      <x:c r="P272" s="39" t="n">
        <x:v>-0.0574622602</x:v>
      </x:c>
      <x:c r="Q272" s="39" t="n">
        <x:v>-0.0117341108</x:v>
      </x:c>
      <x:c r="R272" s="39" t="n">
        <x:v>-0.1770877063</x:v>
      </x:c>
      <x:c r="S272" s="39" t="n">
        <x:v>-0.036124301</x:v>
      </x:c>
      <x:c r="T272" s="39" t="n">
        <x:v>-0.0285293573</x:v>
      </x:c>
      <x:c r="U272" s="39" t="n">
        <x:v>0.077122342</x:v>
      </x:c>
      <x:c r="V272" s="39" t="n">
        <x:v>0.0275178485</x:v>
      </x:c>
      <x:c r="W272" s="39" t="n">
        <x:v>0.1091426217</x:v>
      </x:c>
      <x:c r="X272" s="39" t="n">
        <x:v>0.0550771844</x:v>
      </x:c>
      <x:c r="Y272" s="39" t="n">
        <x:v>-0.0250959278</x:v>
      </x:c>
      <x:c r="Z272" s="39" t="n">
        <x:v>-0.2219119485</x:v>
      </x:c>
      <x:c r="AA272" s="39" t="n">
        <x:v>-0.0435631556</x:v>
      </x:c>
      <x:c r="AB272" s="39" t="n">
        <x:v>-0.0454333574</x:v>
      </x:c>
      <x:c r="AC272" s="39" t="n">
        <x:v>-0.3393129062</x:v>
      </x:c>
      <x:c r="AD272" s="39" t="n">
        <x:v>-0.0116761867</x:v>
      </x:c>
      <x:c r="AE272" s="39" t="n">
        <x:v>0.0233133332</x:v>
      </x:c>
      <x:c r="AF272" s="39" t="n">
        <x:v>-0.0428610291</x:v>
      </x:c>
      <x:c r="AG272" s="39" t="n">
        <x:v>0.0667033747</x:v>
      </x:c>
      <x:c r="AH272" s="39" t="n">
        <x:v>-0.0514749213</x:v>
      </x:c>
      <x:c r="AI272" s="39" t="n">
        <x:v>-0.0339023569</x:v>
      </x:c>
      <x:c r="AJ272" s="39" t="n">
        <x:v>-0.0159820903</x:v>
      </x:c>
      <x:c r="AK272" s="39" t="n">
        <x:v>-0.0377400984</x:v>
      </x:c>
      <x:c r="AL272" s="39" t="n">
        <x:v>0.0408690726</x:v>
      </x:c>
      <x:c r="AM272" s="39" t="n">
        <x:v>-0.0290706694</x:v>
      </x:c>
      <x:c r="AN272" s="39" t="n">
        <x:v>-0.0977193728</x:v>
      </x:c>
      <x:c r="AO272" s="39" t="n">
        <x:v>0.0506987472</x:v>
      </x:c>
      <x:c r="AP272" s="39" t="n">
        <x:v>0.0529942624</x:v>
      </x:c>
      <x:c r="AQ272" s="39" t="n">
        <x:v>-0.0379503689</x:v>
      </x:c>
      <x:c r="AR272" s="39" t="n">
        <x:v>-0.062709098</x:v>
      </x:c>
      <x:c r="AS272" s="39" t="n">
        <x:v>0.0057385102</x:v>
      </x:c>
    </x:row>
    <x:row r="273" ht="19" customHeight="1">
      <x:c r="A273" s="30" t="str">
        <x:v>SPY</x:v>
      </x:c>
      <x:c r="B273" s="40" t="d">
        <x:v>2022-08-15T00:00:00.000Z</x:v>
      </x:c>
      <x:c r="C273" s="39" t="n">
        <x:v>0.003775069</x:v>
      </x:c>
      <x:c r="D273" s="39" t="n">
        <x:v>0.253853946</x:v>
      </x:c>
      <x:c r="E273" s="39" t="n">
        <x:v>0.0899774505</x:v>
      </x:c>
      <x:c r="F273" s="39" t="n">
        <x:v>0.062250677</x:v>
      </x:c>
      <x:c r="G273" s="39" t="n">
        <x:v>0.0956111548</x:v>
      </x:c>
      <x:c r="H273" s="39" t="n">
        <x:v>0.1594493399</x:v>
      </x:c>
      <x:c r="I273" s="39" t="n">
        <x:v>0.0222968992</x:v>
      </x:c>
      <x:c r="J273" s="39" t="n">
        <x:v>0.0368878483</x:v>
      </x:c>
      <x:c r="K273" s="39" t="n">
        <x:v>-0.0900156197</x:v>
      </x:c>
      <x:c r="L273" s="39" t="n">
        <x:v>0.0855594564</x:v>
      </x:c>
      <x:c r="M273" s="39" t="n">
        <x:v>0.1659357432</x:v>
      </x:c>
      <x:c r="N273" s="39" t="n">
        <x:v>0.1138224166</x:v>
      </x:c>
      <x:c r="O273" s="39" t="n">
        <x:v>0.1456773364</x:v>
      </x:c>
      <x:c r="P273" s="39" t="n">
        <x:v>-0.0767484251</x:v>
      </x:c>
      <x:c r="Q273" s="39" t="n">
        <x:v>0.0233047793</x:v>
      </x:c>
      <x:c r="R273" s="39" t="n">
        <x:v>-0.0062606604</x:v>
      </x:c>
      <x:c r="S273" s="39" t="n">
        <x:v>-0.006899366</x:v>
      </x:c>
      <x:c r="T273" s="39" t="n">
        <x:v>0.1391004741</x:v>
      </x:c>
      <x:c r="U273" s="39" t="n">
        <x:v>-0.0501295815</x:v>
      </x:c>
      <x:c r="V273" s="39" t="n">
        <x:v>0.1354297445</x:v>
      </x:c>
      <x:c r="W273" s="39" t="n">
        <x:v>0.0220384897</x:v>
      </x:c>
      <x:c r="X273" s="39" t="n">
        <x:v>-0.0580368128</x:v>
      </x:c>
      <x:c r="Y273" s="39" t="n">
        <x:v>-0.0920369753</x:v>
      </x:c>
      <x:c r="Z273" s="39" t="n">
        <x:v>-0.0957559623</x:v>
      </x:c>
      <x:c r="AA273" s="39" t="n">
        <x:v>0.0873656554</x:v>
      </x:c>
      <x:c r="AB273" s="39" t="n">
        <x:v>-0.060003654</x:v>
      </x:c>
      <x:c r="AC273" s="39" t="n">
        <x:v>-0.0240977268</x:v>
      </x:c>
      <x:c r="AD273" s="39" t="n">
        <x:v>0.0334726477</x:v>
      </x:c>
      <x:c r="AE273" s="39" t="n">
        <x:v>0.1594175314</x:v>
      </x:c>
      <x:c r="AF273" s="39" t="n">
        <x:v>-0.0207542264</x:v>
      </x:c>
      <x:c r="AG273" s="39" t="n">
        <x:v>0.0216146521</x:v>
      </x:c>
      <x:c r="AH273" s="39" t="n">
        <x:v>0.1245529005</x:v>
      </x:c>
      <x:c r="AI273" s="39" t="n">
        <x:v>-0.0269513722</x:v>
      </x:c>
      <x:c r="AJ273" s="39" t="n">
        <x:v>-0.0532942396</x:v>
      </x:c>
      <x:c r="AK273" s="39" t="n">
        <x:v>-0.0517181568</x:v>
      </x:c>
      <x:c r="AL273" s="39" t="n">
        <x:v>-0.0574021125</x:v>
      </x:c>
      <x:c r="AM273" s="39" t="n">
        <x:v>0.0117909948</x:v>
      </x:c>
      <x:c r="AN273" s="39" t="n">
        <x:v>0.014568205</x:v>
      </x:c>
      <x:c r="AO273" s="39" t="n">
        <x:v>0.0174147771</x:v>
      </x:c>
      <x:c r="AP273" s="39" t="n">
        <x:v>0.0170086547</x:v>
      </x:c>
      <x:c r="AQ273" s="39" t="n">
        <x:v>0.0444082229</x:v>
      </x:c>
      <x:c r="AR273" s="39" t="n">
        <x:v>-0.013425196</x:v>
      </x:c>
      <x:c r="AS273" s="39" t="n">
        <x:v>0.0200077592</x:v>
      </x:c>
    </x:row>
    <x:row r="274" ht="19" customHeight="1">
      <x:c r="A274" s="30" t="str">
        <x:v>SPY</x:v>
      </x:c>
      <x:c r="B274" s="40" t="d">
        <x:v>2022-09-12T00:00:00.000Z</x:v>
      </x:c>
      <x:c r="C274" s="39" t="n">
        <x:v>0.0638464993</x:v>
      </x:c>
      <x:c r="D274" s="39" t="n">
        <x:v>0.0485031554</x:v>
      </x:c>
      <x:c r="E274" s="39" t="n">
        <x:v>-0.0266493191</x:v>
      </x:c>
      <x:c r="F274" s="39" t="n">
        <x:v>-0.0280048985</x:v>
      </x:c>
      <x:c r="G274" s="39" t="n">
        <x:v>0.0175344847</x:v>
      </x:c>
      <x:c r="H274" s="39" t="n">
        <x:v>0.0773645858</x:v>
      </x:c>
      <x:c r="I274" s="39" t="n">
        <x:v>0.0333653246</x:v>
      </x:c>
      <x:c r="J274" s="39" t="n">
        <x:v>0.0237172518</x:v>
      </x:c>
      <x:c r="K274" s="39" t="n">
        <x:v>-0.0363044884</x:v>
      </x:c>
      <x:c r="L274" s="39" t="n">
        <x:v>-0.1368158162</x:v>
      </x:c>
      <x:c r="M274" s="39" t="n">
        <x:v>-0.1018683588</x:v>
      </x:c>
      <x:c r="N274" s="39" t="n">
        <x:v>-0.0520296579</x:v>
      </x:c>
      <x:c r="O274" s="39" t="n">
        <x:v>-0.0463804629</x:v>
      </x:c>
      <x:c r="P274" s="39" t="n">
        <x:v>-0.090824066</x:v>
      </x:c>
      <x:c r="Q274" s="39" t="n">
        <x:v>0.1355471916</x:v>
      </x:c>
      <x:c r="R274" s="39" t="n">
        <x:v>0.0675338323</x:v>
      </x:c>
      <x:c r="S274" s="39" t="n">
        <x:v>-0.0429745364</x:v>
      </x:c>
      <x:c r="T274" s="39" t="n">
        <x:v>-0.0348885859</x:v>
      </x:c>
      <x:c r="U274" s="39" t="n">
        <x:v>-0.0085374902</x:v>
      </x:c>
      <x:c r="V274" s="39" t="n">
        <x:v>-0.0226779977</x:v>
      </x:c>
      <x:c r="W274" s="39" t="n">
        <x:v>0.0777584797</x:v>
      </x:c>
      <x:c r="X274" s="39" t="n">
        <x:v>-0.0594248071</x:v>
      </x:c>
      <x:c r="Y274" s="39" t="n">
        <x:v>-0.0034561776</x:v>
      </x:c>
      <x:c r="Z274" s="39" t="n">
        <x:v>0.0341148688</x:v>
      </x:c>
      <x:c r="AA274" s="39" t="n">
        <x:v>-0.0083258095</x:v>
      </x:c>
      <x:c r="AB274" s="39" t="n">
        <x:v>-0.0026172781</x:v>
      </x:c>
      <x:c r="AC274" s="39" t="n">
        <x:v>0.1023171882</x:v>
      </x:c>
      <x:c r="AD274" s="39" t="n">
        <x:v>-0.0305364356</x:v>
      </x:c>
      <x:c r="AE274" s="39" t="n">
        <x:v>0.0252518411</x:v>
      </x:c>
      <x:c r="AF274" s="39" t="n">
        <x:v>-0.0207992039</x:v>
      </x:c>
      <x:c r="AG274" s="39" t="n">
        <x:v>-0.0217034166</x:v>
      </x:c>
      <x:c r="AH274" s="39" t="n">
        <x:v>-0.0254890876</x:v>
      </x:c>
      <x:c r="AI274" s="39" t="n">
        <x:v>-0.014549034</x:v>
      </x:c>
      <x:c r="AJ274" s="39" t="n">
        <x:v>-0.0256597685</x:v>
      </x:c>
      <x:c r="AK274" s="39" t="n">
        <x:v>-0.0413251872</x:v>
      </x:c>
      <x:c r="AL274" s="39" t="n">
        <x:v>-0.0048353056</x:v>
      </x:c>
      <x:c r="AM274" s="39" t="n">
        <x:v>-0.0253004613</x:v>
      </x:c>
      <x:c r="AN274" s="39" t="n">
        <x:v>-0.0192236657</x:v>
      </x:c>
      <x:c r="AO274" s="39" t="n">
        <x:v>-0.0414059799</x:v>
      </x:c>
      <x:c r="AP274" s="39" t="n">
        <x:v>-0.0499696233</x:v>
      </x:c>
      <x:c r="AQ274" s="39" t="n">
        <x:v>-0.0600051119</x:v>
      </x:c>
      <x:c r="AR274" s="39" t="n">
        <x:v>-0.0142902181</x:v>
      </x:c>
      <x:c r="AS274" s="39" t="n">
        <x:v>-0.0496559158</x:v>
      </x:c>
    </x:row>
    <x:row r="275" ht="19" customHeight="1">
      <x:c r="A275" s="30" t="str">
        <x:v>SPY</x:v>
      </x:c>
      <x:c r="B275" s="40" t="d">
        <x:v>2022-10-10T00:00:00.000Z</x:v>
      </x:c>
      <x:c r="C275" s="39" t="n">
        <x:v>-0.0776898488</x:v>
      </x:c>
      <x:c r="D275" s="39" t="n">
        <x:v>0.0675437145</x:v>
      </x:c>
      <x:c r="E275" s="39" t="n">
        <x:v>-0.1015484172</x:v>
      </x:c>
      <x:c r="F275" s="39" t="n">
        <x:v>-0.1058080021</x:v>
      </x:c>
      <x:c r="G275" s="39" t="n">
        <x:v>0.0250148613</x:v>
      </x:c>
      <x:c r="H275" s="39" t="n">
        <x:v>0.0152137127</x:v>
      </x:c>
      <x:c r="I275" s="39" t="n">
        <x:v>-0.0076646307</x:v>
      </x:c>
      <x:c r="J275" s="39" t="n">
        <x:v>0.1406506993</x:v>
      </x:c>
      <x:c r="K275" s="39" t="n">
        <x:v>-0.0028205301</x:v>
      </x:c>
      <x:c r="L275" s="39" t="n">
        <x:v>0.0382883503</x:v>
      </x:c>
      <x:c r="M275" s="39" t="n">
        <x:v>-0.0626947204</x:v>
      </x:c>
      <x:c r="N275" s="39" t="n">
        <x:v>0.0271587011</x:v>
      </x:c>
      <x:c r="O275" s="39" t="n">
        <x:v>0.0628535987</x:v>
      </x:c>
      <x:c r="P275" s="39" t="n">
        <x:v>0.102788383</x:v>
      </x:c>
      <x:c r="Q275" s="39" t="n">
        <x:v>0.0312575263</x:v>
      </x:c>
      <x:c r="R275" s="39" t="n">
        <x:v>-0.0865828382</x:v>
      </x:c>
      <x:c r="S275" s="39" t="n">
        <x:v>-0.0607364208</x:v>
      </x:c>
      <x:c r="T275" s="39" t="n">
        <x:v>-0.132601369</x:v>
      </x:c>
      <x:c r="U275" s="39" t="n">
        <x:v>0.140157697</x:v>
      </x:c>
      <x:c r="V275" s="39" t="n">
        <x:v>0.0571089903</x:v>
      </x:c>
      <x:c r="W275" s="39" t="n">
        <x:v>0.0370996232</x:v>
      </x:c>
      <x:c r="X275" s="39" t="n">
        <x:v>-0.0101724988</x:v>
      </x:c>
      <x:c r="Y275" s="39" t="n">
        <x:v>0.1898942135</x:v>
      </x:c>
      <x:c r="Z275" s="39" t="n">
        <x:v>0.1235948521</x:v>
      </x:c>
      <x:c r="AA275" s="39" t="n">
        <x:v>-0.0543051403</x:v>
      </x:c>
      <x:c r="AB275" s="39" t="n">
        <x:v>-0.1302178837</x:v>
      </x:c>
      <x:c r="AC275" s="39" t="n">
        <x:v>0.1497523049</x:v>
      </x:c>
      <x:c r="AD275" s="39" t="n">
        <x:v>-0.0115410331</x:v>
      </x:c>
      <x:c r="AE275" s="39" t="n">
        <x:v>-0.0170583378</x:v>
      </x:c>
      <x:c r="AF275" s="39" t="n">
        <x:v>0.0354539966</x:v>
      </x:c>
      <x:c r="AG275" s="39" t="n">
        <x:v>0.0987653343</x:v>
      </x:c>
      <x:c r="AH275" s="39" t="n">
        <x:v>0.0338640998</x:v>
      </x:c>
      <x:c r="AI275" s="39" t="n">
        <x:v>-0.0245356132</x:v>
      </x:c>
      <x:c r="AJ275" s="39" t="n">
        <x:v>0.0638863104</x:v>
      </x:c>
      <x:c r="AK275" s="39" t="n">
        <x:v>-0.1097110729</x:v>
      </x:c>
      <x:c r="AL275" s="39" t="n">
        <x:v>0.0313413395</x:v>
      </x:c>
      <x:c r="AM275" s="39" t="n">
        <x:v>0.0336327138</x:v>
      </x:c>
      <x:c r="AN275" s="39" t="n">
        <x:v>0.0760648642</x:v>
      </x:c>
      <x:c r="AO275" s="39" t="n">
        <x:v>-0.0148562325</x:v>
      </x:c>
      <x:c r="AP275" s="39" t="n">
        <x:v>0.1040636962</x:v>
      </x:c>
      <x:c r="AQ275" s="39" t="n">
        <x:v>-0.0141015354</x:v>
      </x:c>
      <x:c r="AR275" s="39" t="n">
        <x:v>0.0012985312</x:v>
      </x:c>
      <x:c r="AS275" s="39" t="n">
        <x:v>0.0326579282</x:v>
      </x:c>
    </x:row>
    <x:row r="276" ht="19" customHeight="1">
      <x:c r="A276" s="30" t="str">
        <x:v>SPY</x:v>
      </x:c>
      <x:c r="B276" s="40" t="d">
        <x:v>2022-11-07T00:00:00.000Z</x:v>
      </x:c>
      <x:c r="C276" s="39" t="n">
        <x:v>-0.0131247751</x:v>
      </x:c>
      <x:c r="D276" s="39" t="n">
        <x:v>0.1486646248</x:v>
      </x:c>
      <x:c r="E276" s="39" t="n">
        <x:v>0.0090655912</x:v>
      </x:c>
      <x:c r="F276" s="39" t="n">
        <x:v>0.0497366148</x:v>
      </x:c>
      <x:c r="G276" s="39" t="n">
        <x:v>-0.1255223894</x:v>
      </x:c>
      <x:c r="H276" s="39" t="n">
        <x:v>-0.1056644306</x:v>
      </x:c>
      <x:c r="I276" s="39" t="n">
        <x:v>-0.1833370581</x:v>
      </x:c>
      <x:c r="J276" s="39" t="n">
        <x:v>-0.0697628601</x:v>
      </x:c>
      <x:c r="K276" s="39" t="n">
        <x:v>-0.2404298067</x:v>
      </x:c>
      <x:c r="L276" s="39" t="n">
        <x:v>0.110466807</x:v>
      </x:c>
      <x:c r="M276" s="39" t="n">
        <x:v>0.0642050998</x:v>
      </x:c>
      <x:c r="N276" s="39" t="n">
        <x:v>-0.0718444753</x:v>
      </x:c>
      <x:c r="O276" s="39" t="n">
        <x:v>0.0340320449</x:v>
      </x:c>
      <x:c r="P276" s="39" t="n">
        <x:v>-0.130153397</x:v>
      </x:c>
      <x:c r="Q276" s="39" t="n">
        <x:v>0.0969391858</x:v>
      </x:c>
      <x:c r="R276" s="39" t="n">
        <x:v>-0.1571465457</x:v>
      </x:c>
      <x:c r="S276" s="39" t="n">
        <x:v>-0.0286098486</x:v>
      </x:c>
      <x:c r="T276" s="39" t="n">
        <x:v>-0.0042539784</x:v>
      </x:c>
      <x:c r="U276" s="39" t="n">
        <x:v>0.0686161019</x:v>
      </x:c>
      <x:c r="V276" s="39" t="n">
        <x:v>0.2570069039</x:v>
      </x:c>
      <x:c r="W276" s="39" t="n">
        <x:v>0.1037161198</x:v>
      </x:c>
      <x:c r="X276" s="39" t="n">
        <x:v>0.0265227535</x:v>
      </x:c>
      <x:c r="Y276" s="39" t="n">
        <x:v>-0.1341768624</x:v>
      </x:c>
      <x:c r="Z276" s="39" t="n">
        <x:v>-0.0741029061</x:v>
      </x:c>
      <x:c r="AA276" s="39" t="n">
        <x:v>0.0405397737</x:v>
      </x:c>
      <x:c r="AB276" s="39" t="n">
        <x:v>-0.0655441379</x:v>
      </x:c>
      <x:c r="AC276" s="39" t="n">
        <x:v>-0.2065046876</x:v>
      </x:c>
      <x:c r="AD276" s="39" t="n">
        <x:v>0.035469731</x:v>
      </x:c>
      <x:c r="AE276" s="39" t="n">
        <x:v>-0.0024721228</x:v>
      </x:c>
      <x:c r="AF276" s="39" t="n">
        <x:v>0.0321552797</x:v>
      </x:c>
      <x:c r="AG276" s="39" t="n">
        <x:v>0.080968995</x:v>
      </x:c>
      <x:c r="AH276" s="39" t="n">
        <x:v>-0.0548711174</x:v>
      </x:c>
      <x:c r="AI276" s="39" t="n">
        <x:v>-0.0756230512</x:v>
      </x:c>
      <x:c r="AJ276" s="39" t="n">
        <x:v>-0.0059885051</x:v>
      </x:c>
      <x:c r="AK276" s="39" t="n">
        <x:v>0.0624127503</x:v>
      </x:c>
      <x:c r="AL276" s="39" t="n">
        <x:v>-0.0543036968</x:v>
      </x:c>
      <x:c r="AM276" s="39" t="n">
        <x:v>-0.0505606284</x:v>
      </x:c>
      <x:c r="AN276" s="39" t="n">
        <x:v>-0.1649020055</x:v>
      </x:c>
      <x:c r="AO276" s="39" t="n">
        <x:v>0.0147939112</x:v>
      </x:c>
      <x:c r="AP276" s="39" t="n">
        <x:v>0.0033242806</x:v>
      </x:c>
      <x:c r="AQ276" s="39" t="n">
        <x:v>0.0248787265</x:v>
      </x:c>
      <x:c r="AR276" s="39" t="n">
        <x:v>-0.0119229065</x:v>
      </x:c>
      <x:c r="AS276" s="39" t="n">
        <x:v>0.0492566407</x:v>
      </x:c>
    </x:row>
    <x:row r="277" ht="19" customHeight="1">
      <x:c r="A277" s="30" t="str">
        <x:v>SPY</x:v>
      </x:c>
      <x:c r="B277" s="40" t="d">
        <x:v>2022-12-05T00:00:00.000Z</x:v>
      </x:c>
      <x:c r="C277" s="39" t="n">
        <x:v>-0.0095931049</x:v>
      </x:c>
      <x:c r="D277" s="39" t="n">
        <x:v>-0.1647531876</x:v>
      </x:c>
      <x:c r="E277" s="39" t="n">
        <x:v>0.0426853827</x:v>
      </x:c>
      <x:c r="F277" s="39" t="n">
        <x:v>0.0397253822</x:v>
      </x:c>
      <x:c r="G277" s="39" t="n">
        <x:v>0.0011175656</x:v>
      </x:c>
      <x:c r="H277" s="39" t="n">
        <x:v>0.0144005427</x:v>
      </x:c>
      <x:c r="I277" s="39" t="n">
        <x:v>-0.0748592099</x:v>
      </x:c>
      <x:c r="J277" s="39" t="n">
        <x:v>-0.0466536324</x:v>
      </x:c>
      <x:c r="K277" s="39" t="n">
        <x:v>-0.0817376955</x:v>
      </x:c>
      <x:c r="L277" s="39" t="n">
        <x:v>-0.1553909711</x:v>
      </x:c>
      <x:c r="M277" s="39" t="n">
        <x:v>-0.0616752495</x:v>
      </x:c>
      <x:c r="N277" s="39" t="n">
        <x:v>-0.0113335462</x:v>
      </x:c>
      <x:c r="O277" s="39" t="n">
        <x:v>0.0084030738</x:v>
      </x:c>
      <x:c r="P277" s="39" t="n">
        <x:v>-0.1206877848</x:v>
      </x:c>
      <x:c r="Q277" s="39" t="n">
        <x:v>-0.1151677624</x:v>
      </x:c>
      <x:c r="R277" s="39" t="n">
        <x:v>-0.0876663085</x:v>
      </x:c>
      <x:c r="S277" s="39" t="n">
        <x:v>0.0089116476</x:v>
      </x:c>
      <x:c r="T277" s="39" t="n">
        <x:v>-0.0831045057</x:v>
      </x:c>
      <x:c r="U277" s="39" t="n">
        <x:v>0.0031112795</x:v>
      </x:c>
      <x:c r="V277" s="39" t="n">
        <x:v>-0.0678998227</x:v>
      </x:c>
      <x:c r="W277" s="39" t="n">
        <x:v>0.1011177582</x:v>
      </x:c>
      <x:c r="X277" s="39" t="n">
        <x:v>0.023026084</x:v>
      </x:c>
      <x:c r="Y277" s="39" t="n">
        <x:v>-0.1457182927</x:v>
      </x:c>
      <x:c r="Z277" s="39" t="n">
        <x:v>-0.0498116152</x:v>
      </x:c>
      <x:c r="AA277" s="39" t="n">
        <x:v>0.0147795949</x:v>
      </x:c>
      <x:c r="AB277" s="39" t="n">
        <x:v>0.0519615322</x:v>
      </x:c>
      <x:c r="AC277" s="39" t="n">
        <x:v>-0.1622924612</x:v>
      </x:c>
      <x:c r="AD277" s="39" t="n">
        <x:v>0.0525247828</x:v>
      </x:c>
      <x:c r="AE277" s="39" t="n">
        <x:v>-0.0854009927</x:v>
      </x:c>
      <x:c r="AF277" s="39" t="n">
        <x:v>0.0467077778</x:v>
      </x:c>
      <x:c r="AG277" s="39" t="n">
        <x:v>-0.0013546626</x:v>
      </x:c>
      <x:c r="AH277" s="39" t="n">
        <x:v>-0.0128815673</x:v>
      </x:c>
      <x:c r="AI277" s="39" t="n">
        <x:v>-0.0463770028</x:v>
      </x:c>
      <x:c r="AJ277" s="39" t="n">
        <x:v>0.0081803411</x:v>
      </x:c>
      <x:c r="AK277" s="39" t="n">
        <x:v>-0.0799157212</x:v>
      </x:c>
      <x:c r="AL277" s="39" t="n">
        <x:v>0.0250034462</x:v>
      </x:c>
      <x:c r="AM277" s="39" t="n">
        <x:v>0.0179391511</x:v>
      </x:c>
      <x:c r="AN277" s="39" t="n">
        <x:v>-0.0379391282</x:v>
      </x:c>
      <x:c r="AO277" s="39" t="n">
        <x:v>-0.0662638285</x:v>
      </x:c>
      <x:c r="AP277" s="39" t="n">
        <x:v>0.0233089311</x:v>
      </x:c>
      <x:c r="AQ277" s="39" t="n">
        <x:v>0.0102367824</x:v>
      </x:c>
      <x:c r="AR277" s="39" t="n">
        <x:v>0.0162863492</x:v>
      </x:c>
      <x:c r="AS277" s="39" t="n">
        <x:v>-0.0215444144</x:v>
      </x:c>
    </x:row>
    <x:row r="278" ht="19" customHeight="1">
      <x:c r="A278" s="30" t="str">
        <x:v>SPY</x:v>
      </x:c>
      <x:c r="B278" s="40" t="d">
        <x:v>2023-01-02T00:00:00.000Z</x:v>
      </x:c>
      <x:c r="C278" s="39" t="n">
        <x:v>-0.048332075</x:v>
      </x:c>
      <x:c r="D278" s="39" t="n">
        <x:v>0.1382066431</x:v>
      </x:c>
      <x:c r="E278" s="39" t="n">
        <x:v>-0.0163942359</x:v>
      </x:c>
      <x:c r="F278" s="39" t="n">
        <x:v>-0.0776810173</x:v>
      </x:c>
      <x:c r="G278" s="39" t="n">
        <x:v>0.0180620408</x:v>
      </x:c>
      <x:c r="H278" s="39" t="n">
        <x:v>-0.0699901467</x:v>
      </x:c>
      <x:c r="I278" s="39" t="n">
        <x:v>-0.006277901</x:v>
      </x:c>
      <x:c r="J278" s="39" t="n">
        <x:v>-0.0931098787</x:v>
      </x:c>
      <x:c r="K278" s="39" t="n">
        <x:v>-0.0130968688</x:v>
      </x:c>
      <x:c r="L278" s="39" t="n">
        <x:v>0.0611181481</x:v>
      </x:c>
      <x:c r="M278" s="39" t="n">
        <x:v>-0.16204252</x:v>
      </x:c>
      <x:c r="N278" s="39" t="n">
        <x:v>-0.0130700225</x:v>
      </x:c>
      <x:c r="O278" s="39" t="n">
        <x:v>-0.122013591</x:v>
      </x:c>
      <x:c r="P278" s="39" t="n">
        <x:v>0.0006941352</x:v>
      </x:c>
      <x:c r="Q278" s="39" t="n">
        <x:v>0.0567513054</x:v>
      </x:c>
      <x:c r="R278" s="39" t="n">
        <x:v>-0.1558740307</x:v>
      </x:c>
      <x:c r="S278" s="39" t="n">
        <x:v>-0.0121268904</x:v>
      </x:c>
      <x:c r="T278" s="39" t="n">
        <x:v>-0.1662245343</x:v>
      </x:c>
      <x:c r="U278" s="39" t="n">
        <x:v>-0.0084040311</x:v>
      </x:c>
      <x:c r="V278" s="39" t="n">
        <x:v>0.00873287</x:v>
      </x:c>
      <x:c r="W278" s="39" t="n">
        <x:v>0.002715001</x:v>
      </x:c>
      <x:c r="X278" s="39" t="n">
        <x:v>0.059645636</x:v>
      </x:c>
      <x:c r="Y278" s="39" t="n">
        <x:v>-0.0074409163</x:v>
      </x:c>
      <x:c r="Z278" s="39" t="n">
        <x:v>0.0566645181</x:v>
      </x:c>
      <x:c r="AA278" s="39" t="n">
        <x:v>0.0276253629</x:v>
      </x:c>
      <x:c r="AB278" s="39" t="n">
        <x:v>0.101055853</x:v>
      </x:c>
      <x:c r="AC278" s="39" t="n">
        <x:v>-0.1655009853</x:v>
      </x:c>
      <x:c r="AD278" s="39" t="n">
        <x:v>0.0120503378</x:v>
      </x:c>
      <x:c r="AE278" s="39" t="n">
        <x:v>-0.0538173476</x:v>
      </x:c>
      <x:c r="AF278" s="39" t="n">
        <x:v>0.0515116701</x:v>
      </x:c>
      <x:c r="AG278" s="39" t="n">
        <x:v>0.1354442885</x:v>
      </x:c>
      <x:c r="AH278" s="39" t="n">
        <x:v>-0.0466016122</x:v>
      </x:c>
      <x:c r="AI278" s="39" t="n">
        <x:v>-0.0662203978</x:v>
      </x:c>
      <x:c r="AJ278" s="39" t="n">
        <x:v>-0.0116053811</x:v>
      </x:c>
      <x:c r="AK278" s="39" t="n">
        <x:v>0.0117397473</x:v>
      </x:c>
      <x:c r="AL278" s="39" t="n">
        <x:v>-0.011836575</x:v>
      </x:c>
      <x:c r="AM278" s="39" t="n">
        <x:v>-0.0580454686</x:v>
      </x:c>
      <x:c r="AN278" s="39" t="n">
        <x:v>-0.0606982819</x:v>
      </x:c>
      <x:c r="AO278" s="39" t="n">
        <x:v>-0.0122844852</x:v>
      </x:c>
      <x:c r="AP278" s="39" t="n">
        <x:v>-0.0056889412</x:v>
      </x:c>
      <x:c r="AQ278" s="39" t="n">
        <x:v>-0.0156590816</x:v>
      </x:c>
      <x:c r="AR278" s="39" t="n">
        <x:v>0.0020223783</x:v>
      </x:c>
      <x:c r="AS278" s="39" t="n">
        <x:v>0.0212568608</x:v>
      </x:c>
    </x:row>
    <x:row r="279" ht="19" customHeight="1">
      <x:c r="A279" s="30" t="str">
        <x:v>SPY</x:v>
      </x:c>
      <x:c r="B279" s="40" t="d">
        <x:v>2023-01-30T00:00:00.000Z</x:v>
      </x:c>
      <x:c r="C279" s="39" t="n">
        <x:v>-0.0561835514</x:v>
      </x:c>
      <x:c r="D279" s="39" t="n">
        <x:v>0.0126152851</x:v>
      </x:c>
      <x:c r="E279" s="39" t="n">
        <x:v>-0.0576586991</x:v>
      </x:c>
      <x:c r="F279" s="39" t="n">
        <x:v>-0.0258793033</x:v>
      </x:c>
      <x:c r="G279" s="39" t="n">
        <x:v>0.0958362688</x:v>
      </x:c>
      <x:c r="H279" s="39" t="n">
        <x:v>0.1314220707</x:v>
      </x:c>
      <x:c r="I279" s="39" t="n">
        <x:v>0.0845755997</x:v>
      </x:c>
      <x:c r="J279" s="39" t="n">
        <x:v>-0.0422045921</x:v>
      </x:c>
      <x:c r="K279" s="39" t="n">
        <x:v>0.0427806605</x:v>
      </x:c>
      <x:c r="L279" s="39" t="n">
        <x:v>0.0024441503</x:v>
      </x:c>
      <x:c r="M279" s="39" t="n">
        <x:v>0.0197367427</x:v>
      </x:c>
      <x:c r="N279" s="39" t="n">
        <x:v>0.034986515</x:v>
      </x:c>
      <x:c r="O279" s="39" t="n">
        <x:v>0.0217497033</x:v>
      </x:c>
      <x:c r="P279" s="39" t="n">
        <x:v>0.0116175908</x:v>
      </x:c>
      <x:c r="Q279" s="39" t="n">
        <x:v>-0.107735984</x:v>
      </x:c>
      <x:c r="R279" s="39" t="n">
        <x:v>0.1228780231</x:v>
      </x:c>
      <x:c r="S279" s="39" t="n">
        <x:v>-0.0031192427</x:v>
      </x:c>
      <x:c r="T279" s="39" t="n">
        <x:v>0.2593165658</x:v>
      </x:c>
      <x:c r="U279" s="39" t="n">
        <x:v>-0.0452833436</x:v>
      </x:c>
      <x:c r="V279" s="39" t="n">
        <x:v>0.0675429965</x:v>
      </x:c>
      <x:c r="W279" s="39" t="n">
        <x:v>0.0789206611</x:v>
      </x:c>
      <x:c r="X279" s="39" t="n">
        <x:v>0.0389286778</x:v>
      </x:c>
      <x:c r="Y279" s="39" t="n">
        <x:v>-0.0388595694</x:v>
      </x:c>
      <x:c r="Z279" s="39" t="n">
        <x:v>-0.0763868996</x:v>
      </x:c>
      <x:c r="AA279" s="39" t="n">
        <x:v>-0.0104990371</x:v>
      </x:c>
      <x:c r="AB279" s="39" t="n">
        <x:v>-0.1560026428</x:v>
      </x:c>
      <x:c r="AC279" s="39" t="n">
        <x:v>0.3587766265</x:v>
      </x:c>
      <x:c r="AD279" s="39" t="n">
        <x:v>-0.0795426866</x:v>
      </x:c>
      <x:c r="AE279" s="39" t="n">
        <x:v>-0.0128661292</x:v>
      </x:c>
      <x:c r="AF279" s="39" t="n">
        <x:v>-0.1215477057</x:v>
      </x:c>
      <x:c r="AG279" s="39" t="n">
        <x:v>-0.0685807926</x:v>
      </x:c>
      <x:c r="AH279" s="39" t="n">
        <x:v>-0.0550083021</x:v>
      </x:c>
      <x:c r="AI279" s="39" t="n">
        <x:v>0.1298516648</x:v>
      </x:c>
      <x:c r="AJ279" s="39" t="n">
        <x:v>-0.1000896705</x:v>
      </x:c>
      <x:c r="AK279" s="39" t="n">
        <x:v>0.0287539225</x:v>
      </x:c>
      <x:c r="AL279" s="39" t="n">
        <x:v>-0.064149281</x:v>
      </x:c>
      <x:c r="AM279" s="39" t="n">
        <x:v>0.0551216728</x:v>
      </x:c>
      <x:c r="AN279" s="39" t="n">
        <x:v>0.0863096975</x:v>
      </x:c>
      <x:c r="AO279" s="39" t="n">
        <x:v>0.0212754472</x:v>
      </x:c>
      <x:c r="AP279" s="39" t="n">
        <x:v>0.0004516164</x:v>
      </x:c>
      <x:c r="AQ279" s="39" t="n">
        <x:v>-0.0687365702</x:v>
      </x:c>
      <x:c r="AR279" s="39" t="n">
        <x:v>-0.0900590814</x:v>
      </x:c>
      <x:c r="AS279" s="39" t="n">
        <x:v>-0.0499414802</x:v>
      </x:c>
    </x:row>
    <x:row r="280" ht="19" customHeight="1">
      <x:c r="A280" s="30" t="str">
        <x:v>SPY</x:v>
      </x:c>
      <x:c r="B280" s="40" t="d">
        <x:v>2023-02-27T00:00:00.000Z</x:v>
      </x:c>
      <x:c r="C280" s="39" t="n">
        <x:v>-0.0528783509</x:v>
      </x:c>
      <x:c r="D280" s="39" t="n">
        <x:v>0.1486552221</x:v>
      </x:c>
      <x:c r="E280" s="39" t="n">
        <x:v>-0.0098796406</x:v>
      </x:c>
      <x:c r="F280" s="39" t="n">
        <x:v>-0.0200338914</x:v>
      </x:c>
      <x:c r="G280" s="39" t="n">
        <x:v>-0.0266199158</x:v>
      </x:c>
      <x:c r="H280" s="39" t="n">
        <x:v>-0.0596675132</x:v>
      </x:c>
      <x:c r="I280" s="39" t="n">
        <x:v>-0.0358200857</x:v>
      </x:c>
      <x:c r="J280" s="39" t="n">
        <x:v>0.2014914432</x:v>
      </x:c>
      <x:c r="K280" s="39" t="n">
        <x:v>-0.0094556633</x:v>
      </x:c>
      <x:c r="L280" s="39" t="n">
        <x:v>0.0364199752</x:v>
      </x:c>
      <x:c r="M280" s="39" t="n">
        <x:v>-0.0276511616</x:v>
      </x:c>
      <x:c r="N280" s="39" t="n">
        <x:v>0.0180293591</x:v>
      </x:c>
      <x:c r="O280" s="39" t="n">
        <x:v>0.0350023744</x:v>
      </x:c>
      <x:c r="P280" s="39" t="n">
        <x:v>-0.059871208</x:v>
      </x:c>
      <x:c r="Q280" s="39" t="n">
        <x:v>-0.0062199739</x:v>
      </x:c>
      <x:c r="R280" s="39" t="n">
        <x:v>0.1344159842</x:v>
      </x:c>
      <x:c r="S280" s="39" t="n">
        <x:v>0.0462535684</x:v>
      </x:c>
      <x:c r="T280" s="39" t="n">
        <x:v>0.0444534675</x:v>
      </x:c>
      <x:c r="U280" s="39" t="n">
        <x:v>-0.1086260125</x:v>
      </x:c>
      <x:c r="V280" s="39" t="n">
        <x:v>0.1024321035</x:v>
      </x:c>
      <x:c r="W280" s="39" t="n">
        <x:v>-0.1055610859</x:v>
      </x:c>
      <x:c r="X280" s="39" t="n">
        <x:v>-0.0256318355</x:v>
      </x:c>
      <x:c r="Y280" s="39" t="n">
        <x:v>-0.0420456229</x:v>
      </x:c>
      <x:c r="Z280" s="39" t="n">
        <x:v>-0.0436027902</x:v>
      </x:c>
      <x:c r="AA280" s="39" t="n">
        <x:v>0.0534828393</x:v>
      </x:c>
      <x:c r="AB280" s="39" t="n">
        <x:v>-0.0504713774</x:v>
      </x:c>
      <x:c r="AC280" s="39" t="n">
        <x:v>-0.0531222961</x:v>
      </x:c>
      <x:c r="AD280" s="39" t="n">
        <x:v>0.0139211541</x:v>
      </x:c>
      <x:c r="AE280" s="39" t="n">
        <x:v>0.0999374495</x:v>
      </x:c>
      <x:c r="AF280" s="39" t="n">
        <x:v>-0.049445104</x:v>
      </x:c>
      <x:c r="AG280" s="39" t="n">
        <x:v>0.0955451185</x:v>
      </x:c>
      <x:c r="AH280" s="39" t="n">
        <x:v>0.0257833053</x:v>
      </x:c>
      <x:c r="AI280" s="39" t="n">
        <x:v>0.0208101371</x:v>
      </x:c>
      <x:c r="AJ280" s="39" t="n">
        <x:v>-0.0643309825</x:v>
      </x:c>
      <x:c r="AK280" s="39" t="n">
        <x:v>0.0156508273</x:v>
      </x:c>
      <x:c r="AL280" s="39" t="n">
        <x:v>0.0229502789</x:v>
      </x:c>
      <x:c r="AM280" s="39" t="n">
        <x:v>0.0217875078</x:v>
      </x:c>
      <x:c r="AN280" s="39" t="n">
        <x:v>-0.0629657114</x:v>
      </x:c>
      <x:c r="AO280" s="39" t="n">
        <x:v>-0.0525617758</x:v>
      </x:c>
      <x:c r="AP280" s="39" t="n">
        <x:v>-0.0557115642</x:v>
      </x:c>
      <x:c r="AQ280" s="39" t="n">
        <x:v>0.005066691</x:v>
      </x:c>
      <x:c r="AR280" s="39" t="n">
        <x:v>-0.0545069183</x:v>
      </x:c>
      <x:c r="AS280" s="39" t="n">
        <x:v>0.0185932966</x:v>
      </x:c>
    </x:row>
    <x:row r="281" ht="19" customHeight="1">
      <x:c r="A281" s="30" t="str">
        <x:v>SPY</x:v>
      </x:c>
      <x:c r="B281" s="40" t="d">
        <x:v>2023-03-27T00:00:00.000Z</x:v>
      </x:c>
      <x:c r="C281" s="39" t="n">
        <x:v>0.0792454759</x:v>
      </x:c>
      <x:c r="D281" s="39" t="n">
        <x:v>-0.0126881915</x:v>
      </x:c>
      <x:c r="E281" s="39" t="n">
        <x:v>0.0158999858</x:v>
      </x:c>
      <x:c r="F281" s="39" t="n">
        <x:v>0.0066788102</x:v>
      </x:c>
      <x:c r="G281" s="39" t="n">
        <x:v>-0.0031958938</x:v>
      </x:c>
      <x:c r="H281" s="39" t="n">
        <x:v>0.115841498</x:v>
      </x:c>
      <x:c r="I281" s="39" t="n">
        <x:v>0.0625082785</x:v>
      </x:c>
      <x:c r="J281" s="39" t="n">
        <x:v>-0.0710718595</x:v>
      </x:c>
      <x:c r="K281" s="39" t="n">
        <x:v>-0.0567231108</x:v>
      </x:c>
      <x:c r="L281" s="39" t="n">
        <x:v>-0.0382399375</x:v>
      </x:c>
      <x:c r="M281" s="39" t="n">
        <x:v>-0.1702176538</x:v>
      </x:c>
      <x:c r="N281" s="39" t="n">
        <x:v>-0.0892933464</x:v>
      </x:c>
      <x:c r="O281" s="39" t="n">
        <x:v>-0.0311948008</x:v>
      </x:c>
      <x:c r="P281" s="39" t="n">
        <x:v>-0.0573713721</x:v>
      </x:c>
      <x:c r="Q281" s="39" t="n">
        <x:v>-0.079169359</x:v>
      </x:c>
      <x:c r="R281" s="39" t="n">
        <x:v>0.0645173635</x:v>
      </x:c>
      <x:c r="S281" s="39" t="n">
        <x:v>0.0312890907</x:v>
      </x:c>
      <x:c r="T281" s="39" t="n">
        <x:v>-0.0312189521</x:v>
      </x:c>
      <x:c r="U281" s="39" t="n">
        <x:v>0.0856818623</x:v>
      </x:c>
      <x:c r="V281" s="39" t="n">
        <x:v>-0.0086767822</x:v>
      </x:c>
      <x:c r="W281" s="39" t="n">
        <x:v>0.0727388229</x:v>
      </x:c>
      <x:c r="X281" s="39" t="n">
        <x:v>0.030747837</x:v>
      </x:c>
      <x:c r="Y281" s="39" t="n">
        <x:v>0.0178074222</x:v>
      </x:c>
      <x:c r="Z281" s="39" t="n">
        <x:v>0.1011870045</x:v>
      </x:c>
      <x:c r="AA281" s="39" t="n">
        <x:v>-0.0279062758</x:v>
      </x:c>
      <x:c r="AB281" s="39" t="n">
        <x:v>-0.1035144989</x:v>
      </x:c>
      <x:c r="AC281" s="39" t="n">
        <x:v>-0.1470138866</x:v>
      </x:c>
      <x:c r="AD281" s="39" t="n">
        <x:v>0.0508571409</x:v>
      </x:c>
      <x:c r="AE281" s="39" t="n">
        <x:v>-0.0316066434</x:v>
      </x:c>
      <x:c r="AF281" s="39" t="n">
        <x:v>0.012178933</x:v>
      </x:c>
      <x:c r="AG281" s="39" t="n">
        <x:v>-0.0010139838</x:v>
      </x:c>
      <x:c r="AH281" s="39" t="n">
        <x:v>-0.0442621545</x:v>
      </x:c>
      <x:c r="AI281" s="39" t="n">
        <x:v>0.1400634578</x:v>
      </x:c>
      <x:c r="AJ281" s="39" t="n">
        <x:v>0.0418099359</x:v>
      </x:c>
      <x:c r="AK281" s="39" t="n">
        <x:v>-0.0575877061</x:v>
      </x:c>
      <x:c r="AL281" s="39" t="n">
        <x:v>-0.0097064575</x:v>
      </x:c>
      <x:c r="AM281" s="39" t="n">
        <x:v>0.0945798703</x:v>
      </x:c>
      <x:c r="AN281" s="39" t="n">
        <x:v>0.0759706573</x:v>
      </x:c>
      <x:c r="AO281" s="39" t="n">
        <x:v>0.0315918867</x:v>
      </x:c>
      <x:c r="AP281" s="39" t="n">
        <x:v>-0.0020137626</x:v>
      </x:c>
      <x:c r="AQ281" s="39" t="n">
        <x:v>0.0408304165</x:v>
      </x:c>
      <x:c r="AR281" s="39" t="n">
        <x:v>-0.0016949486</x:v>
      </x:c>
      <x:c r="AS281" s="39" t="n">
        <x:v>-0.0173487654</x:v>
      </x:c>
    </x:row>
    <x:row r="282" ht="19" customHeight="1">
      <x:c r="A282" s="30" t="str">
        <x:v>SPY</x:v>
      </x:c>
      <x:c r="B282" s="40" t="d">
        <x:v>2023-04-24T00:00:00.000Z</x:v>
      </x:c>
      <x:c r="C282" s="39" t="n">
        <x:v>-0.03429156</x:v>
      </x:c>
      <x:c r="D282" s="39" t="n">
        <x:v>0.0147238584</x:v>
      </x:c>
      <x:c r="E282" s="39" t="n">
        <x:v>0.0168914748</x:v>
      </x:c>
      <x:c r="F282" s="39" t="n">
        <x:v>-0.0168475058</x:v>
      </x:c>
      <x:c r="G282" s="39" t="n">
        <x:v>0.0335534541</x:v>
      </x:c>
      <x:c r="H282" s="39" t="n">
        <x:v>0.1854947657</x:v>
      </x:c>
      <x:c r="I282" s="39" t="n">
        <x:v>0.0065037505</x:v>
      </x:c>
      <x:c r="J282" s="39" t="n">
        <x:v>-0.0092867829</x:v>
      </x:c>
      <x:c r="K282" s="39" t="n">
        <x:v>-0.1442135753</x:v>
      </x:c>
      <x:c r="L282" s="39" t="n">
        <x:v>-0.2059983207</x:v>
      </x:c>
      <x:c r="M282" s="39" t="n">
        <x:v>-0.0280283734</x:v>
      </x:c>
      <x:c r="N282" s="39" t="n">
        <x:v>-0.0710288251</x:v>
      </x:c>
      <x:c r="O282" s="39" t="n">
        <x:v>-0.1886101514</x:v>
      </x:c>
      <x:c r="P282" s="39" t="n">
        <x:v>-0.1037217614</x:v>
      </x:c>
      <x:c r="Q282" s="39" t="n">
        <x:v>-0.4074180022</x:v>
      </x:c>
      <x:c r="R282" s="39" t="n">
        <x:v>-0.2238550255</x:v>
      </x:c>
      <x:c r="S282" s="39" t="n">
        <x:v>-0.0266389877</x:v>
      </x:c>
      <x:c r="T282" s="39" t="n">
        <x:v>-0.2759743392</x:v>
      </x:c>
      <x:c r="U282" s="39" t="n">
        <x:v>-0.0898782254</x:v>
      </x:c>
      <x:c r="V282" s="39" t="n">
        <x:v>-0.0824771256</x:v>
      </x:c>
      <x:c r="W282" s="39" t="n">
        <x:v>-0.0501113783</x:v>
      </x:c>
      <x:c r="X282" s="39" t="n">
        <x:v>0.1096071432</x:v>
      </x:c>
      <x:c r="Y282" s="39" t="n">
        <x:v>0.0381506837</x:v>
      </x:c>
      <x:c r="Z282" s="39" t="n">
        <x:v>0.0027830622</x:v>
      </x:c>
      <x:c r="AA282" s="39" t="n">
        <x:v>-0.0545536284</x:v>
      </x:c>
      <x:c r="AB282" s="39" t="n">
        <x:v>-0.0258688729</x:v>
      </x:c>
      <x:c r="AC282" s="39" t="n">
        <x:v>-0.1159493397</x:v>
      </x:c>
      <x:c r="AD282" s="39" t="n">
        <x:v>0.060130758</x:v>
      </x:c>
      <x:c r="AE282" s="39" t="n">
        <x:v>-0.0266304008</x:v>
      </x:c>
      <x:c r="AF282" s="39" t="n">
        <x:v>-0.1282786791</x:v>
      </x:c>
      <x:c r="AG282" s="39" t="n">
        <x:v>-0.0006949771</x:v>
      </x:c>
      <x:c r="AH282" s="39" t="n">
        <x:v>-0.008674814</x:v>
      </x:c>
      <x:c r="AI282" s="39" t="n">
        <x:v>-0.0948678062</x:v>
      </x:c>
      <x:c r="AJ282" s="39" t="n">
        <x:v>0.1030710731</x:v>
      </x:c>
      <x:c r="AK282" s="39" t="n">
        <x:v>0.0847983933</x:v>
      </x:c>
      <x:c r="AL282" s="39" t="n">
        <x:v>-0.1629345167</x:v>
      </x:c>
      <x:c r="AM282" s="39" t="n">
        <x:v>0.0444393593</x:v>
      </x:c>
      <x:c r="AN282" s="39" t="n">
        <x:v>0.0234120846</x:v>
      </x:c>
      <x:c r="AO282" s="39" t="n">
        <x:v>0.0090398198</x:v>
      </x:c>
      <x:c r="AP282" s="39" t="n">
        <x:v>0.0241255273</x:v>
      </x:c>
      <x:c r="AQ282" s="39" t="n">
        <x:v>0.0327186103</x:v>
      </x:c>
      <x:c r="AR282" s="39" t="n">
        <x:v>0.04582528</x:v>
      </x:c>
      <x:c r="AS282" s="39" t="n">
        <x:v>0.0531864202</x:v>
      </x:c>
    </x:row>
    <x:row r="283" ht="19" customHeight="1">
      <x:c r="A283" s="30" t="str">
        <x:v>SPY</x:v>
      </x:c>
      <x:c r="B283" s="40" t="d">
        <x:v>2023-05-22T00:00:00.000Z</x:v>
      </x:c>
      <x:c r="C283" s="39" t="n">
        <x:v>-0.0008481367</x:v>
      </x:c>
      <x:c r="D283" s="39" t="n">
        <x:v>-0.0259973207</x:v>
      </x:c>
      <x:c r="E283" s="39" t="n">
        <x:v>-0.0926248264</x:v>
      </x:c>
      <x:c r="F283" s="39" t="n">
        <x:v>-0.1010685131</x:v>
      </x:c>
      <x:c r="G283" s="39" t="n">
        <x:v>-0.1157076098</x:v>
      </x:c>
      <x:c r="H283" s="39" t="n">
        <x:v>0.0212015836</x:v>
      </x:c>
      <x:c r="I283" s="39" t="n">
        <x:v>0.1157187277</x:v>
      </x:c>
      <x:c r="J283" s="39" t="n">
        <x:v>-0.0156215949</x:v>
      </x:c>
      <x:c r="K283" s="39" t="n">
        <x:v>0.0537641722</x:v>
      </x:c>
      <x:c r="L283" s="39" t="n">
        <x:v>-0.0271024544</x:v>
      </x:c>
      <x:c r="M283" s="39" t="n">
        <x:v>-0.1332195148</x:v>
      </x:c>
      <x:c r="N283" s="39" t="n">
        <x:v>-0.2025589823</x:v>
      </x:c>
      <x:c r="O283" s="39" t="n">
        <x:v>0.012421239</x:v>
      </x:c>
      <x:c r="P283" s="39" t="n">
        <x:v>0.1218605986</x:v>
      </x:c>
      <x:c r="Q283" s="39" t="n">
        <x:v>0.2375353251</x:v>
      </x:c>
      <x:c r="R283" s="39" t="n">
        <x:v>0.1012615859</x:v>
      </x:c>
      <x:c r="S283" s="39" t="n">
        <x:v>-0.043319615</x:v>
      </x:c>
      <x:c r="T283" s="39" t="n">
        <x:v>0.2157901295</x:v>
      </x:c>
      <x:c r="U283" s="39" t="n">
        <x:v>0.0018610695</x:v>
      </x:c>
      <x:c r="V283" s="39" t="n">
        <x:v>-0.089855617</x:v>
      </x:c>
      <x:c r="W283" s="39" t="n">
        <x:v>0.1239155607</x:v>
      </x:c>
      <x:c r="X283" s="39" t="n">
        <x:v>-0.0142110764</x:v>
      </x:c>
      <x:c r="Y283" s="39" t="n">
        <x:v>0.1196097642</x:v>
      </x:c>
      <x:c r="Z283" s="39" t="n">
        <x:v>-0.0971501367</x:v>
      </x:c>
      <x:c r="AA283" s="39" t="n">
        <x:v>-0.0655514548</x:v>
      </x:c>
      <x:c r="AB283" s="39" t="n">
        <x:v>0.0068630978</x:v>
      </x:c>
      <x:c r="AC283" s="39" t="n">
        <x:v>0.551775087</x:v>
      </x:c>
      <x:c r="AD283" s="39" t="n">
        <x:v>-0.0535610038</x:v>
      </x:c>
      <x:c r="AE283" s="39" t="n">
        <x:v>0.0420774986</x:v>
      </x:c>
      <x:c r="AF283" s="39" t="n">
        <x:v>0.0378632902</x:v>
      </x:c>
      <x:c r="AG283" s="39" t="n">
        <x:v>0.0191302398</x:v>
      </x:c>
      <x:c r="AH283" s="39" t="n">
        <x:v>0.0222291614</x:v>
      </x:c>
      <x:c r="AI283" s="39" t="n">
        <x:v>0.3274117541</x:v>
      </x:c>
      <x:c r="AJ283" s="39" t="n">
        <x:v>0.0460959507</x:v>
      </x:c>
      <x:c r="AK283" s="39" t="n">
        <x:v>-0.0607991986</x:v>
      </x:c>
      <x:c r="AL283" s="39" t="n">
        <x:v>-0.0392751198</x:v>
      </x:c>
      <x:c r="AM283" s="39" t="n">
        <x:v>0.0695474155</x:v>
      </x:c>
      <x:c r="AN283" s="39" t="n">
        <x:v>0.1384709797</x:v>
      </x:c>
      <x:c r="AO283" s="39" t="n">
        <x:v>0.0117298382</x:v>
      </x:c>
      <x:c r="AP283" s="39" t="n">
        <x:v>-0.0095909121</x:v>
      </x:c>
      <x:c r="AQ283" s="39" t="n">
        <x:v>-0.051690006</x:v>
      </x:c>
      <x:c r="AR283" s="39" t="n">
        <x:v>-0.0491751937</x:v>
      </x:c>
      <x:c r="AS283" s="39" t="n">
        <x:v>-0.0224897817</x:v>
      </x:c>
    </x:row>
    <x:row r="284" ht="19" customHeight="1">
      <x:c r="A284" s="30" t="str">
        <x:v>SPY</x:v>
      </x:c>
      <x:c r="B284" s="40" t="d">
        <x:v>2023-06-19T00:00:00.000Z</x:v>
      </x:c>
      <x:c r="C284" s="39" t="n">
        <x:v>-0.0163361719</x:v>
      </x:c>
      <x:c r="D284" s="39" t="n">
        <x:v>0.0535203041</x:v>
      </x:c>
      <x:c r="E284" s="39" t="n">
        <x:v>-0.0188526783</x:v>
      </x:c>
      <x:c r="F284" s="39" t="n">
        <x:v>-0.0186922723</x:v>
      </x:c>
      <x:c r="G284" s="39" t="n">
        <x:v>-0.0458612193</x:v>
      </x:c>
      <x:c r="H284" s="39" t="n">
        <x:v>-0.0518347718</x:v>
      </x:c>
      <x:c r="I284" s="39" t="n">
        <x:v>0.0276024866</x:v>
      </x:c>
      <x:c r="J284" s="39" t="n">
        <x:v>-0.0498448166</x:v>
      </x:c>
      <x:c r="K284" s="39" t="n">
        <x:v>-0.1043171569</x:v>
      </x:c>
      <x:c r="L284" s="39" t="n">
        <x:v>-0.0477564283</x:v>
      </x:c>
      <x:c r="M284" s="39" t="n">
        <x:v>0.1006531505</x:v>
      </x:c>
      <x:c r="N284" s="39" t="n">
        <x:v>-0.0145581894</x:v>
      </x:c>
      <x:c r="O284" s="39" t="n">
        <x:v>0.0090546018</x:v>
      </x:c>
      <x:c r="P284" s="39" t="n">
        <x:v>-0.1698540652</x:v>
      </x:c>
      <x:c r="Q284" s="39" t="n">
        <x:v>-0.0439804108</x:v>
      </x:c>
      <x:c r="R284" s="39" t="n">
        <x:v>0.0094880774</x:v>
      </x:c>
      <x:c r="S284" s="39" t="n">
        <x:v>0.0064088451</x:v>
      </x:c>
      <x:c r="T284" s="39" t="n">
        <x:v>-0.0230538372</x:v>
      </x:c>
      <x:c r="U284" s="39" t="n">
        <x:v>-0.1229558536</x:v>
      </x:c>
      <x:c r="V284" s="39" t="n">
        <x:v>-0.0712873362</x:v>
      </x:c>
      <x:c r="W284" s="39" t="n">
        <x:v>0.0770186803</x:v>
      </x:c>
      <x:c r="X284" s="39" t="n">
        <x:v>-0.0188309884</x:v>
      </x:c>
      <x:c r="Y284" s="39" t="n">
        <x:v>-0.2474007565</x:v>
      </x:c>
      <x:c r="Z284" s="39" t="n">
        <x:v>-0.0708774169</x:v>
      </x:c>
      <x:c r="AA284" s="39" t="n">
        <x:v>0.014000568</x:v>
      </x:c>
      <x:c r="AB284" s="39" t="n">
        <x:v>-0.0528805118</x:v>
      </x:c>
      <x:c r="AC284" s="39" t="n">
        <x:v>0.1363018115</x:v>
      </x:c>
      <x:c r="AD284" s="39" t="n">
        <x:v>-0.0105121214</x:v>
      </x:c>
      <x:c r="AE284" s="39" t="n">
        <x:v>0.0580232816</x:v>
      </x:c>
      <x:c r="AF284" s="39" t="n">
        <x:v>0.0205797125</x:v>
      </x:c>
      <x:c r="AG284" s="39" t="n">
        <x:v>-0.059141724</x:v>
      </x:c>
      <x:c r="AH284" s="39" t="n">
        <x:v>0.0228768003</x:v>
      </x:c>
      <x:c r="AI284" s="39" t="n">
        <x:v>-0.2526416046</x:v>
      </x:c>
      <x:c r="AJ284" s="39" t="n">
        <x:v>0.0367236161</x:v>
      </x:c>
      <x:c r="AK284" s="39" t="n">
        <x:v>-0.0268109459</x:v>
      </x:c>
      <x:c r="AL284" s="39" t="n">
        <x:v>-0.0519987917</x:v>
      </x:c>
      <x:c r="AM284" s="39" t="n">
        <x:v>-0.0313387325</x:v>
      </x:c>
      <x:c r="AN284" s="39" t="n">
        <x:v>-0.0871656061</x:v>
      </x:c>
      <x:c r="AO284" s="39" t="n">
        <x:v>-0.0119247908</x:v>
      </x:c>
      <x:c r="AP284" s="39" t="n">
        <x:v>-0.0083999732</x:v>
      </x:c>
      <x:c r="AQ284" s="39" t="n">
        <x:v>-0.0151890234</x:v>
      </x:c>
      <x:c r="AR284" s="39" t="n">
        <x:v>0.0394303927</x:v>
      </x:c>
      <x:c r="AS284" s="39" t="n">
        <x:v>0.012097649</x:v>
      </x:c>
    </x:row>
    <x:row r="285" ht="19" customHeight="1">
      <x:c r="A285" s="30" t="str">
        <x:v>SPY</x:v>
      </x:c>
      <x:c r="B285" s="40" t="d">
        <x:v>2023-07-17T00:00:00.000Z</x:v>
      </x:c>
      <x:c r="C285" s="39" t="n">
        <x:v>0.057878135</x:v>
      </x:c>
      <x:c r="D285" s="39" t="n">
        <x:v>0.0751425862</x:v>
      </x:c>
      <x:c r="E285" s="39" t="n">
        <x:v>0.0314251034</x:v>
      </x:c>
      <x:c r="F285" s="39" t="n">
        <x:v>0.0395289321</x:v>
      </x:c>
      <x:c r="G285" s="39" t="n">
        <x:v>-0.044967944</x:v>
      </x:c>
      <x:c r="H285" s="39" t="n">
        <x:v>-0.0004276195</x:v>
      </x:c>
      <x:c r="I285" s="39" t="n">
        <x:v>-0.0495391716</x:v>
      </x:c>
      <x:c r="J285" s="39" t="n">
        <x:v>-0.0690779215</x:v>
      </x:c>
      <x:c r="K285" s="39" t="n">
        <x:v>-0.1717440633</x:v>
      </x:c>
      <x:c r="L285" s="39" t="n">
        <x:v>0.0677740593</x:v>
      </x:c>
      <x:c r="M285" s="39" t="n">
        <x:v>0.104578684</x:v>
      </x:c>
      <x:c r="N285" s="39" t="n">
        <x:v>0.0835673378</x:v>
      </x:c>
      <x:c r="O285" s="39" t="n">
        <x:v>0.0029353518</x:v>
      </x:c>
      <x:c r="P285" s="39" t="n">
        <x:v>-0.0924434567</x:v>
      </x:c>
      <x:c r="Q285" s="39" t="n">
        <x:v>-0.022643981</x:v>
      </x:c>
      <x:c r="R285" s="39" t="n">
        <x:v>0.1511984742</x:v>
      </x:c>
      <x:c r="S285" s="39" t="n">
        <x:v>0.0265632308</x:v>
      </x:c>
      <x:c r="T285" s="39" t="n">
        <x:v>-0.0226872354</x:v>
      </x:c>
      <x:c r="U285" s="39" t="n">
        <x:v>0.0463688491</x:v>
      </x:c>
      <x:c r="V285" s="39" t="n">
        <x:v>-0.0937314642</x:v>
      </x:c>
      <x:c r="W285" s="39" t="n">
        <x:v>-0.0286103755</x:v>
      </x:c>
      <x:c r="X285" s="39" t="n">
        <x:v>0.0620727261</x:v>
      </x:c>
      <x:c r="Y285" s="39" t="n">
        <x:v>-0.098409513</x:v>
      </x:c>
      <x:c r="Z285" s="39" t="n">
        <x:v>0.0008919899</x:v>
      </x:c>
      <x:c r="AA285" s="39" t="n">
        <x:v>-0.0791414374</x:v>
      </x:c>
      <x:c r="AB285" s="39" t="n">
        <x:v>-0.0368838515</x:v>
      </x:c>
      <x:c r="AC285" s="39" t="n">
        <x:v>0.4899985297</x:v>
      </x:c>
      <x:c r="AD285" s="39" t="n">
        <x:v>0.0173117316</x:v>
      </x:c>
      <x:c r="AE285" s="39" t="n">
        <x:v>-0.0552369005</x:v>
      </x:c>
      <x:c r="AF285" s="39" t="n">
        <x:v>-0.0242594254</x:v>
      </x:c>
      <x:c r="AG285" s="39" t="n">
        <x:v>-0.0061805171</x:v>
      </x:c>
      <x:c r="AH285" s="39" t="n">
        <x:v>0.0500266772</x:v>
      </x:c>
      <x:c r="AI285" s="39" t="n">
        <x:v>-0.0960409224</x:v>
      </x:c>
      <x:c r="AJ285" s="39" t="n">
        <x:v>-0.0296028676</x:v>
      </x:c>
      <x:c r="AK285" s="39" t="n">
        <x:v>0.0310077123</x:v>
      </x:c>
      <x:c r="AL285" s="39" t="n">
        <x:v>-0.0601830345</x:v>
      </x:c>
      <x:c r="AM285" s="39" t="n">
        <x:v>-0.0240875514</x:v>
      </x:c>
      <x:c r="AN285" s="39" t="n">
        <x:v>-0.0773532095</x:v>
      </x:c>
      <x:c r="AO285" s="39" t="n">
        <x:v>0.0268087704</x:v>
      </x:c>
      <x:c r="AP285" s="39" t="n">
        <x:v>0.0301672328</x:v>
      </x:c>
      <x:c r="AQ285" s="39" t="n">
        <x:v>-0.0003878322</x:v>
      </x:c>
      <x:c r="AR285" s="39" t="n">
        <x:v>0.0129492513</x:v>
      </x:c>
      <x:c r="AS285" s="39" t="n">
        <x:v>0.0088053269</x:v>
      </x:c>
    </x:row>
    <x:row r="286" ht="19" customHeight="1">
      <x:c r="A286" s="30" t="str">
        <x:v>SPY</x:v>
      </x:c>
      <x:c r="B286" s="40" t="d">
        <x:v>2023-08-14T00:00:00.000Z</x:v>
      </x:c>
      <x:c r="C286" s="39" t="n">
        <x:v>0.0721653806</x:v>
      </x:c>
      <x:c r="D286" s="39" t="n">
        <x:v>-0.0818895618</x:v>
      </x:c>
      <x:c r="E286" s="39" t="n">
        <x:v>-0.0560506574</x:v>
      </x:c>
      <x:c r="F286" s="39" t="n">
        <x:v>-0.068401027</x:v>
      </x:c>
      <x:c r="G286" s="39" t="n">
        <x:v>0.0822800547</x:v>
      </x:c>
      <x:c r="H286" s="39" t="n">
        <x:v>-0.0414556193</x:v>
      </x:c>
      <x:c r="I286" s="39" t="n">
        <x:v>0.0889968642</x:v>
      </x:c>
      <x:c r="J286" s="39" t="n">
        <x:v>0.1456017512</x:v>
      </x:c>
      <x:c r="K286" s="39" t="n">
        <x:v>0.2019048562</x:v>
      </x:c>
      <x:c r="L286" s="39" t="n">
        <x:v>0.0545581756</x:v>
      </x:c>
      <x:c r="M286" s="39" t="n">
        <x:v>-0.0379833915</x:v>
      </x:c>
      <x:c r="N286" s="39" t="n">
        <x:v>0.0039072835</x:v>
      </x:c>
      <x:c r="O286" s="39" t="n">
        <x:v>0.0233597324</x:v>
      </x:c>
      <x:c r="P286" s="39" t="n">
        <x:v>0.152567712</x:v>
      </x:c>
      <x:c r="Q286" s="39" t="n">
        <x:v>0.0339729409</x:v>
      </x:c>
      <x:c r="R286" s="39" t="n">
        <x:v>-0.3351083201</x:v>
      </x:c>
      <x:c r="S286" s="39" t="n">
        <x:v>0.0920108902</x:v>
      </x:c>
      <x:c r="T286" s="39" t="n">
        <x:v>-0.0796091485</x:v>
      </x:c>
      <x:c r="U286" s="39" t="n">
        <x:v>-0.0775803086</x:v>
      </x:c>
      <x:c r="V286" s="39" t="n">
        <x:v>0.1239741176</x:v>
      </x:c>
      <x:c r="W286" s="39" t="n">
        <x:v>-0.0100634728</x:v>
      </x:c>
      <x:c r="X286" s="39" t="n">
        <x:v>0.1383479531</x:v>
      </x:c>
      <x:c r="Y286" s="39" t="n">
        <x:v>0.0922923589</x:v>
      </x:c>
      <x:c r="Z286" s="39" t="n">
        <x:v>0.0261752676</x:v>
      </x:c>
      <x:c r="AA286" s="39" t="n">
        <x:v>0.0701171522</x:v>
      </x:c>
      <x:c r="AB286" s="39" t="n">
        <x:v>-0.0044894574</x:v>
      </x:c>
      <x:c r="AC286" s="39" t="n">
        <x:v>-0.3702383929</x:v>
      </x:c>
      <x:c r="AD286" s="39" t="n">
        <x:v>0.0497248778</x:v>
      </x:c>
      <x:c r="AE286" s="39" t="n">
        <x:v>-0.0102454959</x:v>
      </x:c>
      <x:c r="AF286" s="39" t="n">
        <x:v>0.0151967903</x:v>
      </x:c>
      <x:c r="AG286" s="39" t="n">
        <x:v>0.1875891288</x:v>
      </x:c>
      <x:c r="AH286" s="39" t="n">
        <x:v>0.0044904091</x:v>
      </x:c>
      <x:c r="AI286" s="39" t="n">
        <x:v>0.1026185814</x:v>
      </x:c>
      <x:c r="AJ286" s="39" t="n">
        <x:v>0.1571066939</x:v>
      </x:c>
      <x:c r="AK286" s="39" t="n">
        <x:v>0.0480057474</x:v>
      </x:c>
      <x:c r="AL286" s="39" t="n">
        <x:v>0.0119197309</x:v>
      </x:c>
      <x:c r="AM286" s="39" t="n">
        <x:v>-0.0250688527</x:v>
      </x:c>
      <x:c r="AN286" s="39" t="n">
        <x:v>0.1406884915</x:v>
      </x:c>
      <x:c r="AO286" s="39" t="n">
        <x:v>0.0249095905</x:v>
      </x:c>
      <x:c r="AP286" s="39" t="n">
        <x:v>0.0925992419</x:v>
      </x:c>
      <x:c r="AQ286" s="39" t="n">
        <x:v>0.014901236</x:v>
      </x:c>
      <x:c r="AR286" s="39" t="n">
        <x:v>0.0251014073</x:v>
      </x:c>
      <x:c r="AS286" s="39" t="n">
        <x:v>0.0451577658</x:v>
      </x:c>
    </x:row>
    <x:row r="287" ht="19" customHeight="1">
      <x:c r="A287" s="30" t="str">
        <x:v>SPY</x:v>
      </x:c>
      <x:c r="B287" s="40" t="d">
        <x:v>2023-09-11T00:00:00.000Z</x:v>
      </x:c>
      <x:c r="C287" s="39" t="n">
        <x:v>0.0606778654</x:v>
      </x:c>
      <x:c r="D287" s="39" t="n">
        <x:v>0.0439144134</x:v>
      </x:c>
      <x:c r="E287" s="39" t="n">
        <x:v>-0.0002348081</x:v>
      </x:c>
      <x:c r="F287" s="39" t="n">
        <x:v>0.0111712998</x:v>
      </x:c>
      <x:c r="G287" s="39" t="n">
        <x:v>-0.0129101359</x:v>
      </x:c>
      <x:c r="H287" s="39" t="n">
        <x:v>0.0247634342</x:v>
      </x:c>
      <x:c r="I287" s="39" t="n">
        <x:v>0.0317620635</x:v>
      </x:c>
      <x:c r="J287" s="39" t="n">
        <x:v>-0.0047953334</x:v>
      </x:c>
      <x:c r="K287" s="39" t="n">
        <x:v>-0.0551195468</x:v>
      </x:c>
      <x:c r="L287" s="39" t="n">
        <x:v>0.0426487081</x:v>
      </x:c>
      <x:c r="M287" s="39" t="n">
        <x:v>0.0223884798</x:v>
      </x:c>
      <x:c r="N287" s="39" t="n">
        <x:v>0.0437250404</x:v>
      </x:c>
      <x:c r="O287" s="39" t="n">
        <x:v>-0.0706831943</x:v>
      </x:c>
      <x:c r="P287" s="39" t="n">
        <x:v>0.0273001171</x:v>
      </x:c>
      <x:c r="Q287" s="39" t="n">
        <x:v>0.1260977639</x:v>
      </x:c>
      <x:c r="R287" s="39" t="n">
        <x:v>-0.3222591609</x:v>
      </x:c>
      <x:c r="S287" s="39" t="n">
        <x:v>0.0089876327</x:v>
      </x:c>
      <x:c r="T287" s="39" t="n">
        <x:v>0.0225088022</x:v>
      </x:c>
      <x:c r="U287" s="39" t="n">
        <x:v>0.1106312822</x:v>
      </x:c>
      <x:c r="V287" s="39" t="n">
        <x:v>0.0012488638</x:v>
      </x:c>
      <x:c r="W287" s="39" t="n">
        <x:v>-0.0313852977</x:v>
      </x:c>
      <x:c r="X287" s="39" t="n">
        <x:v>-0.0099640062</x:v>
      </x:c>
      <x:c r="Y287" s="39" t="n">
        <x:v>0.0263862043</x:v>
      </x:c>
      <x:c r="Z287" s="39" t="n">
        <x:v>0.035988701</x:v>
      </x:c>
      <x:c r="AA287" s="39" t="n">
        <x:v>0.0210518054</x:v>
      </x:c>
      <x:c r="AB287" s="39" t="n">
        <x:v>-0.0408593423</x:v>
      </x:c>
      <x:c r="AC287" s="39" t="n">
        <x:v>-0.083102197</x:v>
      </x:c>
      <x:c r="AD287" s="39" t="n">
        <x:v>-0.001278145</x:v>
      </x:c>
      <x:c r="AE287" s="39" t="n">
        <x:v>0.0276635527</x:v>
      </x:c>
      <x:c r="AF287" s="39" t="n">
        <x:v>-0.026668414</x:v>
      </x:c>
      <x:c r="AG287" s="39" t="n">
        <x:v>-0.0970282113</x:v>
      </x:c>
      <x:c r="AH287" s="39" t="n">
        <x:v>-0.0433565609</x:v>
      </x:c>
      <x:c r="AI287" s="39" t="n">
        <x:v>-0.0883843585</x:v>
      </x:c>
      <x:c r="AJ287" s="39" t="n">
        <x:v>0.023458666</x:v>
      </x:c>
      <x:c r="AK287" s="39" t="n">
        <x:v>0.0084515346</x:v>
      </x:c>
      <x:c r="AL287" s="39" t="n">
        <x:v>0.0142469897</x:v>
      </x:c>
      <x:c r="AM287" s="39" t="n">
        <x:v>0.0223696232</x:v>
      </x:c>
      <x:c r="AN287" s="39" t="n">
        <x:v>0.041669135</x:v>
      </x:c>
      <x:c r="AO287" s="39" t="n">
        <x:v>0.0032373483</x:v>
      </x:c>
      <x:c r="AP287" s="39" t="n">
        <x:v>-0.0225138527</x:v>
      </x:c>
      <x:c r="AQ287" s="39" t="n">
        <x:v>-0.0561317563</x:v>
      </x:c>
      <x:c r="AR287" s="39" t="n">
        <x:v>-0.07058541</x:v>
      </x:c>
      <x:c r="AS287" s="39" t="n">
        <x:v>0.027253582</x:v>
      </x:c>
    </x:row>
    <x:row r="288" ht="19" customHeight="1">
      <x:c r="A288" s="30" t="str">
        <x:v>SPY</x:v>
      </x:c>
      <x:c r="B288" s="40" t="d">
        <x:v>2023-10-09T00:00:00.000Z</x:v>
      </x:c>
      <x:c r="C288" s="39" t="n">
        <x:v>-0.0173261322</x:v>
      </x:c>
      <x:c r="D288" s="39" t="n">
        <x:v>0.0969277671</x:v>
      </x:c>
      <x:c r="E288" s="39" t="n">
        <x:v>-0.0606711912</x:v>
      </x:c>
      <x:c r="F288" s="39" t="n">
        <x:v>-0.0506136281</x:v>
      </x:c>
      <x:c r="G288" s="39" t="n">
        <x:v>0.0462708879</x:v>
      </x:c>
      <x:c r="H288" s="39" t="n">
        <x:v>-0.0252593865</x:v>
      </x:c>
      <x:c r="I288" s="39" t="n">
        <x:v>-0.0229720084</x:v>
      </x:c>
      <x:c r="J288" s="39" t="n">
        <x:v>-0.1404252624</x:v>
      </x:c>
      <x:c r="K288" s="39" t="n">
        <x:v>0.1357241824</x:v>
      </x:c>
      <x:c r="L288" s="39" t="n">
        <x:v>-0.1601133304</x:v>
      </x:c>
      <x:c r="M288" s="39" t="n">
        <x:v>-0.0101397102</x:v>
      </x:c>
      <x:c r="N288" s="39" t="n">
        <x:v>-0.054120554</x:v>
      </x:c>
      <x:c r="O288" s="39" t="n">
        <x:v>-0.002121185</x:v>
      </x:c>
      <x:c r="P288" s="39" t="n">
        <x:v>0.0968584028</x:v>
      </x:c>
      <x:c r="Q288" s="39" t="n">
        <x:v>-0.0787671623</x:v>
      </x:c>
      <x:c r="R288" s="39" t="n">
        <x:v>-0.0222133514</x:v>
      </x:c>
      <x:c r="S288" s="39" t="n">
        <x:v>0.0598513565</x:v>
      </x:c>
      <x:c r="T288" s="39" t="n">
        <x:v>0.0007386861</x:v>
      </x:c>
      <x:c r="U288" s="39" t="n">
        <x:v>-0.0977400305</x:v>
      </x:c>
      <x:c r="V288" s="39" t="n">
        <x:v>0.0587826548</x:v>
      </x:c>
      <x:c r="W288" s="39" t="n">
        <x:v>-0.0726871746</x:v>
      </x:c>
      <x:c r="X288" s="39" t="n">
        <x:v>0.007485199</x:v>
      </x:c>
      <x:c r="Y288" s="39" t="n">
        <x:v>0.0426885437</x:v>
      </x:c>
      <x:c r="Z288" s="39" t="n">
        <x:v>0.0214727753</x:v>
      </x:c>
      <x:c r="AA288" s="39" t="n">
        <x:v>0.1071169842</x:v>
      </x:c>
      <x:c r="AB288" s="39" t="n">
        <x:v>-0.0250017291</x:v>
      </x:c>
      <x:c r="AC288" s="39" t="n">
        <x:v>0.0247533234</x:v>
      </x:c>
      <x:c r="AD288" s="39" t="n">
        <x:v>-0.0327678859</x:v>
      </x:c>
      <x:c r="AE288" s="39" t="n">
        <x:v>-0.0045833649</x:v>
      </x:c>
      <x:c r="AF288" s="39" t="n">
        <x:v>-0.0139362306</x:v>
      </x:c>
      <x:c r="AG288" s="39" t="n">
        <x:v>-0.0570234482</x:v>
      </x:c>
      <x:c r="AH288" s="39" t="n">
        <x:v>0.0669187295</x:v>
      </x:c>
      <x:c r="AI288" s="39" t="n">
        <x:v>0.1188475121</x:v>
      </x:c>
      <x:c r="AJ288" s="39" t="n">
        <x:v>0.0474749722</x:v>
      </x:c>
      <x:c r="AK288" s="39" t="n">
        <x:v>0.0240887929</x:v>
      </x:c>
      <x:c r="AL288" s="39" t="n">
        <x:v>-0.0847038326</x:v>
      </x:c>
      <x:c r="AM288" s="39" t="n">
        <x:v>0.0349657352</x:v>
      </x:c>
      <x:c r="AN288" s="39" t="n">
        <x:v>0.0433493718</x:v>
      </x:c>
      <x:c r="AO288" s="39" t="n">
        <x:v>0.0383833764</x:v>
      </x:c>
      <x:c r="AP288" s="39" t="n">
        <x:v>-0.0533823785</x:v>
      </x:c>
      <x:c r="AQ288" s="39" t="n">
        <x:v>-0.0802946379</x:v>
      </x:c>
      <x:c r="AR288" s="39" t="n">
        <x:v>-0.0329067686</x:v>
      </x:c>
      <x:c r="AS288" s="39" t="n">
        <x:v>-0.0547442352</x:v>
      </x:c>
    </x:row>
    <x:row r="289" ht="19" customHeight="1">
      <x:c r="A289" s="30" t="str">
        <x:v>SPY</x:v>
      </x:c>
      <x:c r="B289" s="40" t="d">
        <x:v>2023-11-06T00:00:00.000Z</x:v>
      </x:c>
      <x:c r="C289" s="39" t="n">
        <x:v>0.0496443051</x:v>
      </x:c>
      <x:c r="D289" s="39" t="n">
        <x:v>-0.1855976005</x:v>
      </x:c>
      <x:c r="E289" s="39" t="n">
        <x:v>0.0379613791</x:v>
      </x:c>
      <x:c r="F289" s="39" t="n">
        <x:v>0.0142656599</x:v>
      </x:c>
      <x:c r="G289" s="39" t="n">
        <x:v>0.0311765826</x:v>
      </x:c>
      <x:c r="H289" s="39" t="n">
        <x:v>0.1610013329</x:v>
      </x:c>
      <x:c r="I289" s="39" t="n">
        <x:v>0.0777847515</x:v>
      </x:c>
      <x:c r="J289" s="39" t="n">
        <x:v>0.0955177091</x:v>
      </x:c>
      <x:c r="K289" s="39" t="n">
        <x:v>-0.034160298</x:v>
      </x:c>
      <x:c r="L289" s="39" t="n">
        <x:v>-0.0549161716</x:v>
      </x:c>
      <x:c r="M289" s="39" t="n">
        <x:v>-0.0740738804</x:v>
      </x:c>
      <x:c r="N289" s="39" t="n">
        <x:v>-0.1170411087</x:v>
      </x:c>
      <x:c r="O289" s="39" t="n">
        <x:v>0.0919170661</x:v>
      </x:c>
      <x:c r="P289" s="39" t="n">
        <x:v>-0.0876572378</x:v>
      </x:c>
      <x:c r="Q289" s="39" t="n">
        <x:v>-0.061510943</x:v>
      </x:c>
      <x:c r="R289" s="39" t="n">
        <x:v>0.0554305742</x:v>
      </x:c>
      <x:c r="S289" s="39" t="n">
        <x:v>-0.0233153059</x:v>
      </x:c>
      <x:c r="T289" s="39" t="n">
        <x:v>-0.0101000648</x:v>
      </x:c>
      <x:c r="U289" s="39" t="n">
        <x:v>-0.3521758567</x:v>
      </x:c>
      <x:c r="V289" s="39" t="n">
        <x:v>-0.0185573581</x:v>
      </x:c>
      <x:c r="W289" s="39" t="n">
        <x:v>0.2128942829</x:v>
      </x:c>
      <x:c r="X289" s="39" t="n">
        <x:v>-0.0499916724</x:v>
      </x:c>
      <x:c r="Y289" s="39" t="n">
        <x:v>0.009564331</x:v>
      </x:c>
      <x:c r="Z289" s="39" t="n">
        <x:v>-0.1793613304</x:v>
      </x:c>
      <x:c r="AA289" s="39" t="n">
        <x:v>0.0207017809</x:v>
      </x:c>
      <x:c r="AB289" s="39" t="n">
        <x:v>-0.1623465092</x:v>
      </x:c>
      <x:c r="AC289" s="39" t="n">
        <x:v>-0.2735879773</x:v>
      </x:c>
      <x:c r="AD289" s="39" t="n">
        <x:v>0.0409283159</x:v>
      </x:c>
      <x:c r="AE289" s="39" t="n">
        <x:v>-0.1965997162</x:v>
      </x:c>
      <x:c r="AF289" s="39" t="n">
        <x:v>-0.0723778897</x:v>
      </x:c>
      <x:c r="AG289" s="39" t="n">
        <x:v>0.0390609519</x:v>
      </x:c>
      <x:c r="AH289" s="39" t="n">
        <x:v>0.0037937481</x:v>
      </x:c>
      <x:c r="AI289" s="39" t="n">
        <x:v>0.0586163578</x:v>
      </x:c>
      <x:c r="AJ289" s="39" t="n">
        <x:v>-0.0469792665</x:v>
      </x:c>
      <x:c r="AK289" s="39" t="n">
        <x:v>-0.0238369251</x:v>
      </x:c>
      <x:c r="AL289" s="39" t="n">
        <x:v>-0.0278706673</x:v>
      </x:c>
      <x:c r="AM289" s="39" t="n">
        <x:v>0.0981402687</x:v>
      </x:c>
      <x:c r="AN289" s="39" t="n">
        <x:v>-0.0724036807</x:v>
      </x:c>
      <x:c r="AO289" s="39" t="n">
        <x:v>-0.002640934</x:v>
      </x:c>
      <x:c r="AP289" s="39" t="n">
        <x:v>-0.0164782775</x:v>
      </x:c>
      <x:c r="AQ289" s="39" t="n">
        <x:v>0.0517372442</x:v>
      </x:c>
      <x:c r="AR289" s="39" t="n">
        <x:v>-0.078166849</x:v>
      </x:c>
      <x:c r="AS289" s="39" t="n">
        <x:v>-0.0005839636</x:v>
      </x:c>
    </x:row>
    <x:row r="290" ht="19" customHeight="1">
      <x:c r="A290" s="30" t="str">
        <x:v>SPY</x:v>
      </x:c>
      <x:c r="B290" s="40" t="d">
        <x:v>2023-12-04T00:00:00.000Z</x:v>
      </x:c>
      <x:c r="C290" s="39" t="n">
        <x:v>0.0091541288</x:v>
      </x:c>
      <x:c r="D290" s="39" t="n">
        <x:v>0.0947279868</x:v>
      </x:c>
      <x:c r="E290" s="39" t="n">
        <x:v>-0.0182045183</x:v>
      </x:c>
      <x:c r="F290" s="39" t="n">
        <x:v>0.0408321804</x:v>
      </x:c>
      <x:c r="G290" s="39" t="n">
        <x:v>-0.0126191781</x:v>
      </x:c>
      <x:c r="H290" s="39" t="n">
        <x:v>-0.0017346491</x:v>
      </x:c>
      <x:c r="I290" s="39" t="n">
        <x:v>-0.0334119701</x:v>
      </x:c>
      <x:c r="J290" s="39" t="n">
        <x:v>-0.1089284637</x:v>
      </x:c>
      <x:c r="K290" s="39" t="n">
        <x:v>-0.0616803893</x:v>
      </x:c>
      <x:c r="L290" s="39" t="n">
        <x:v>-0.017307519</x:v>
      </x:c>
      <x:c r="M290" s="39" t="n">
        <x:v>-0.0337899928</x:v>
      </x:c>
      <x:c r="N290" s="39" t="n">
        <x:v>-0.033593988</x:v>
      </x:c>
      <x:c r="O290" s="39" t="n">
        <x:v>-0.0622866564</x:v>
      </x:c>
      <x:c r="P290" s="39" t="n">
        <x:v>-0.102435968</x:v>
      </x:c>
      <x:c r="Q290" s="39" t="n">
        <x:v>0.1524584858</x:v>
      </x:c>
      <x:c r="R290" s="39" t="n">
        <x:v>0.1370223694</x:v>
      </x:c>
      <x:c r="S290" s="39" t="n">
        <x:v>-0.0526416086</x:v>
      </x:c>
      <x:c r="T290" s="39" t="n">
        <x:v>0.1348206948</x:v>
      </x:c>
      <x:c r="U290" s="39" t="n">
        <x:v>0.045216961</x:v>
      </x:c>
      <x:c r="V290" s="39" t="n">
        <x:v>0.0296441539</x:v>
      </x:c>
      <x:c r="W290" s="39" t="n">
        <x:v>-0.0255174291</x:v>
      </x:c>
      <x:c r="X290" s="39" t="n">
        <x:v>-0.044956355</x:v>
      </x:c>
      <x:c r="Y290" s="39" t="n">
        <x:v>-0.1780262512</x:v>
      </x:c>
      <x:c r="Z290" s="39" t="n">
        <x:v>0.0084914374</x:v>
      </x:c>
      <x:c r="AA290" s="39" t="n">
        <x:v>-0.014394072</x:v>
      </x:c>
      <x:c r="AB290" s="39" t="n">
        <x:v>-0.0265456916</x:v>
      </x:c>
      <x:c r="AC290" s="39" t="n">
        <x:v>0.5043301437</x:v>
      </x:c>
      <x:c r="AD290" s="39" t="n">
        <x:v>-0.0853169785</x:v>
      </x:c>
      <x:c r="AE290" s="39" t="n">
        <x:v>-0.000120667</x:v>
      </x:c>
      <x:c r="AF290" s="39" t="n">
        <x:v>-0.0538366124</x:v>
      </x:c>
      <x:c r="AG290" s="39" t="n">
        <x:v>0.124331875</x:v>
      </x:c>
      <x:c r="AH290" s="39" t="n">
        <x:v>0.0162573107</x:v>
      </x:c>
      <x:c r="AI290" s="39" t="n">
        <x:v>-0.0789801547</x:v>
      </x:c>
      <x:c r="AJ290" s="39" t="n">
        <x:v>-0.0352115516</x:v>
      </x:c>
      <x:c r="AK290" s="39" t="n">
        <x:v>-0.0510888395</x:v>
      </x:c>
      <x:c r="AL290" s="39" t="n">
        <x:v>-0.1438689732</x:v>
      </x:c>
      <x:c r="AM290" s="39" t="n">
        <x:v>-0.0388091092</x:v>
      </x:c>
      <x:c r="AN290" s="39" t="n">
        <x:v>-0.0769645554</x:v>
      </x:c>
      <x:c r="AO290" s="39" t="n">
        <x:v>0.0001526453</x:v>
      </x:c>
      <x:c r="AP290" s="39" t="n">
        <x:v>0.0628576244</x:v>
      </x:c>
      <x:c r="AQ290" s="39" t="n">
        <x:v>-0.0066369079</x:v>
      </x:c>
      <x:c r="AR290" s="39" t="n">
        <x:v>0.0255048079</x:v>
      </x:c>
      <x:c r="AS290" s="39" t="n">
        <x:v>-0.0308760202</x:v>
      </x:c>
    </x:row>
    <x:row r="291" ht="19" customHeight="1">
      <x:c r="A291" s="30" t="str">
        <x:v>SPY</x:v>
      </x:c>
      <x:c r="B291" s="40" t="d">
        <x:v>2024-01-01T00:00:00.000Z</x:v>
      </x:c>
      <x:c r="C291" s="39" t="n">
        <x:v>0.013596923</x:v>
      </x:c>
      <x:c r="D291" s="39" t="n">
        <x:v>-0.0577653897</x:v>
      </x:c>
      <x:c r="E291" s="39" t="n">
        <x:v>0.0309515178</x:v>
      </x:c>
      <x:c r="F291" s="39" t="n">
        <x:v>0.0012633069</x:v>
      </x:c>
      <x:c r="G291" s="39" t="n">
        <x:v>-0.0456437055</x:v>
      </x:c>
      <x:c r="H291" s="39" t="n">
        <x:v>-0.0374916034</x:v>
      </x:c>
      <x:c r="I291" s="39" t="n">
        <x:v>-0.0386302983</x:v>
      </x:c>
      <x:c r="J291" s="39" t="n">
        <x:v>-0.0774129523</x:v>
      </x:c>
      <x:c r="K291" s="39" t="n">
        <x:v>-0.090295585</x:v>
      </x:c>
      <x:c r="L291" s="39" t="n">
        <x:v>0.023217497</x:v>
      </x:c>
      <x:c r="M291" s="39" t="n">
        <x:v>0.0467311674</x:v>
      </x:c>
      <x:c r="N291" s="39" t="n">
        <x:v>-0.0211443659</x:v>
      </x:c>
      <x:c r="O291" s="39" t="n">
        <x:v>0.0799992596</x:v>
      </x:c>
      <x:c r="P291" s="39" t="n">
        <x:v>-0.046420059</x:v>
      </x:c>
      <x:c r="Q291" s="39" t="n">
        <x:v>0.1649829142</x:v>
      </x:c>
      <x:c r="R291" s="39" t="n">
        <x:v>0.0938777711</x:v>
      </x:c>
      <x:c r="S291" s="39" t="n">
        <x:v>-0.05664527</x:v>
      </x:c>
      <x:c r="T291" s="39" t="n">
        <x:v>-0.0579859147</x:v>
      </x:c>
      <x:c r="U291" s="39" t="n">
        <x:v>0.2910772608</x:v>
      </x:c>
      <x:c r="V291" s="39" t="n">
        <x:v>0.0029435995</x:v>
      </x:c>
      <x:c r="W291" s="39" t="n">
        <x:v>0.0290124443</x:v>
      </x:c>
      <x:c r="X291" s="39" t="n">
        <x:v>0.0093218849</x:v>
      </x:c>
      <x:c r="Y291" s="39" t="n">
        <x:v>0.014019166</x:v>
      </x:c>
      <x:c r="Z291" s="39" t="n">
        <x:v>-0.0403097836</x:v>
      </x:c>
      <x:c r="AA291" s="39" t="n">
        <x:v>-0.00403736</x:v>
      </x:c>
      <x:c r="AB291" s="39" t="n">
        <x:v>-0.1395206199</x:v>
      </x:c>
      <x:c r="AC291" s="39" t="n">
        <x:v>-0.1207312407</x:v>
      </x:c>
      <x:c r="AD291" s="39" t="n">
        <x:v>-0.0035165846</x:v>
      </x:c>
      <x:c r="AE291" s="39" t="n">
        <x:v>0.0222334803</x:v>
      </x:c>
      <x:c r="AF291" s="39" t="n">
        <x:v>0.0254942231</x:v>
      </x:c>
      <x:c r="AG291" s="39" t="n">
        <x:v>-0.0253775131</x:v>
      </x:c>
      <x:c r="AH291" s="39" t="n">
        <x:v>-0.0132326234</x:v>
      </x:c>
      <x:c r="AI291" s="39" t="n">
        <x:v>-0.0065927699</x:v>
      </x:c>
      <x:c r="AJ291" s="39" t="n">
        <x:v>0.0064044646</x:v>
      </x:c>
      <x:c r="AK291" s="39" t="n">
        <x:v>-0.037086367</x:v>
      </x:c>
      <x:c r="AL291" s="39" t="n">
        <x:v>0.0485500609</x:v>
      </x:c>
      <x:c r="AM291" s="39" t="n">
        <x:v>-0.0403325391</x:v>
      </x:c>
      <x:c r="AN291" s="39" t="n">
        <x:v>-0.0430571523</x:v>
      </x:c>
      <x:c r="AO291" s="39" t="n">
        <x:v>0.0653423038</x:v>
      </x:c>
      <x:c r="AP291" s="39" t="n">
        <x:v>0.0257518675</x:v>
      </x:c>
      <x:c r="AQ291" s="39" t="n">
        <x:v>-0.0094655392</x:v>
      </x:c>
      <x:c r="AR291" s="39" t="n">
        <x:v>0.0223578506</x:v>
      </x:c>
      <x:c r="AS291" s="39" t="n">
        <x:v>0.0133978534</x:v>
      </x:c>
    </x:row>
    <x:row r="292" ht="19" customHeight="1">
      <x:c r="A292" s="30" t="str">
        <x:v>SPY</x:v>
      </x:c>
      <x:c r="B292" s="40" t="d">
        <x:v>2024-01-29T00:00:00.000Z</x:v>
      </x:c>
      <x:c r="C292" s="39" t="n">
        <x:v>0.0740651301</x:v>
      </x:c>
      <x:c r="D292" s="39" t="n">
        <x:v>0.052175508</x:v>
      </x:c>
      <x:c r="E292" s="39" t="n">
        <x:v>-0.064505552</x:v>
      </x:c>
      <x:c r="F292" s="39" t="n">
        <x:v>-0.0648035919</x:v>
      </x:c>
      <x:c r="G292" s="39" t="n">
        <x:v>0.0420757239</x:v>
      </x:c>
      <x:c r="H292" s="39" t="n">
        <x:v>0.1117739782</x:v>
      </x:c>
      <x:c r="I292" s="39" t="n">
        <x:v>0.0931638621</x:v>
      </x:c>
      <x:c r="J292" s="39" t="n">
        <x:v>0.1031293321</x:v>
      </x:c>
      <x:c r="K292" s="39" t="n">
        <x:v>-0.0094931273</x:v>
      </x:c>
      <x:c r="L292" s="39" t="n">
        <x:v>0.051823406</x:v>
      </x:c>
      <x:c r="M292" s="39" t="n">
        <x:v>-0.0541541501</x:v>
      </x:c>
      <x:c r="N292" s="39" t="n">
        <x:v>-0.0586469129</x:v>
      </x:c>
      <x:c r="O292" s="39" t="n">
        <x:v>0.0048081642</x:v>
      </x:c>
      <x:c r="P292" s="39" t="n">
        <x:v>0.0786944297</x:v>
      </x:c>
      <x:c r="Q292" s="39" t="n">
        <x:v>0.0647652923</x:v>
      </x:c>
      <x:c r="R292" s="39" t="n">
        <x:v>-0.0826849653</x:v>
      </x:c>
      <x:c r="S292" s="39" t="n">
        <x:v>0.045500888</x:v>
      </x:c>
      <x:c r="T292" s="39" t="n">
        <x:v>-0.0087540004</x:v>
      </x:c>
      <x:c r="U292" s="39" t="n">
        <x:v>-0.0770018874</x:v>
      </x:c>
      <x:c r="V292" s="39" t="n">
        <x:v>-0.0121423601</x:v>
      </x:c>
      <x:c r="W292" s="39" t="n">
        <x:v>0.1276589846</x:v>
      </x:c>
      <x:c r="X292" s="39" t="n">
        <x:v>0.0768336235</x:v>
      </x:c>
      <x:c r="Y292" s="39" t="n">
        <x:v>-0.0362799437</x:v>
      </x:c>
      <x:c r="Z292" s="39" t="n">
        <x:v>-0.1032507794</x:v>
      </x:c>
      <x:c r="AA292" s="39" t="n">
        <x:v>0.0917359087</x:v>
      </x:c>
      <x:c r="AB292" s="39" t="n">
        <x:v>-0.0474549659</x:v>
      </x:c>
      <x:c r="AC292" s="39" t="n">
        <x:v>-0.1237520654</x:v>
      </x:c>
      <x:c r="AD292" s="39" t="n">
        <x:v>0.0810866706</x:v>
      </x:c>
      <x:c r="AE292" s="39" t="n">
        <x:v>0.0172889422</x:v>
      </x:c>
      <x:c r="AF292" s="39" t="n">
        <x:v>-0.1995602028</x:v>
      </x:c>
      <x:c r="AG292" s="39" t="n">
        <x:v>-0.1703174365</x:v>
      </x:c>
      <x:c r="AH292" s="39" t="n">
        <x:v>0.1068775238</x:v>
      </x:c>
      <x:c r="AI292" s="39" t="n">
        <x:v>0.1667497456</x:v>
      </x:c>
      <x:c r="AJ292" s="39" t="n">
        <x:v>0.0362989471</x:v>
      </x:c>
      <x:c r="AK292" s="39" t="n">
        <x:v>-0.0193471061</x:v>
      </x:c>
      <x:c r="AL292" s="39" t="n">
        <x:v>-0.0137625318</x:v>
      </x:c>
      <x:c r="AM292" s="39" t="n">
        <x:v>0.045118012</x:v>
      </x:c>
      <x:c r="AN292" s="39" t="n">
        <x:v>0.0013313167</x:v>
      </x:c>
      <x:c r="AO292" s="39" t="n">
        <x:v>0.0666004476</x:v>
      </x:c>
      <x:c r="AP292" s="39" t="n">
        <x:v>0.0254096015</x:v>
      </x:c>
      <x:c r="AQ292" s="39" t="n">
        <x:v>0.0212590778</x:v>
      </x:c>
      <x:c r="AR292" s="39" t="n">
        <x:v>-0.0251775048</x:v>
      </x:c>
      <x:c r="AS292" s="39" t="n">
        <x:v>0.0616028095</x:v>
      </x:c>
    </x:row>
    <x:row r="293" ht="19" customHeight="1">
      <x:c r="A293" s="30" t="str">
        <x:v>SPY</x:v>
      </x:c>
      <x:c r="B293" s="40" t="d">
        <x:v>2024-02-26T00:00:00.000Z</x:v>
      </x:c>
      <x:c r="C293" s="39" t="n">
        <x:v>0.1572064093</x:v>
      </x:c>
      <x:c r="D293" s="39" t="n">
        <x:v>0.1274368086</x:v>
      </x:c>
      <x:c r="E293" s="39" t="n">
        <x:v>0.0936584699</x:v>
      </x:c>
      <x:c r="F293" s="39" t="n">
        <x:v>-0.0133145897</x:v>
      </x:c>
      <x:c r="G293" s="39" t="n">
        <x:v>0.1348134542</x:v>
      </x:c>
      <x:c r="H293" s="39" t="n">
        <x:v>0.0800154958</x:v>
      </x:c>
      <x:c r="I293" s="39" t="n">
        <x:v>-0.0131307225</x:v>
      </x:c>
      <x:c r="J293" s="39" t="n">
        <x:v>0.2626845815</x:v>
      </x:c>
      <x:c r="K293" s="39" t="n">
        <x:v>0.0112482527</x:v>
      </x:c>
      <x:c r="L293" s="39" t="n">
        <x:v>0.0142941947</x:v>
      </x:c>
      <x:c r="M293" s="39" t="n">
        <x:v>0.0829853393</x:v>
      </x:c>
      <x:c r="N293" s="39" t="n">
        <x:v>0.0441675486</x:v>
      </x:c>
      <x:c r="O293" s="39" t="n">
        <x:v>-0.0818802808</x:v>
      </x:c>
      <x:c r="P293" s="39" t="n">
        <x:v>0.0419174773</x:v>
      </x:c>
      <x:c r="Q293" s="39" t="n">
        <x:v>0.0695477059</x:v>
      </x:c>
      <x:c r="R293" s="39" t="n">
        <x:v>0.0097645268</x:v>
      </x:c>
      <x:c r="S293" s="39" t="n">
        <x:v>0.0639608481</x:v>
      </x:c>
      <x:c r="T293" s="39" t="n">
        <x:v>0.1339340466</x:v>
      </x:c>
      <x:c r="U293" s="39" t="n">
        <x:v>0.0104318754</x:v>
      </x:c>
      <x:c r="V293" s="39" t="n">
        <x:v>0.1647418403</x:v>
      </x:c>
      <x:c r="W293" s="39" t="n">
        <x:v>0.0629554686</x:v>
      </x:c>
      <x:c r="X293" s="39" t="n">
        <x:v>-0.0358502064</x:v>
      </x:c>
      <x:c r="Y293" s="39" t="n">
        <x:v>0.0384802488</x:v>
      </x:c>
      <x:c r="Z293" s="39" t="n">
        <x:v>-0.0470436745</x:v>
      </x:c>
      <x:c r="AA293" s="39" t="n">
        <x:v>0.0228424711</x:v>
      </x:c>
      <x:c r="AB293" s="39" t="n">
        <x:v>-0.0044163439</x:v>
      </x:c>
      <x:c r="AC293" s="39" t="n">
        <x:v>-0.2877105826</x:v>
      </x:c>
      <x:c r="AD293" s="39" t="n">
        <x:v>0.0055012584</x:v>
      </x:c>
      <x:c r="AE293" s="39" t="n">
        <x:v>0.0461543563</x:v>
      </x:c>
      <x:c r="AF293" s="39" t="n">
        <x:v>-0.0532338552</x:v>
      </x:c>
      <x:c r="AG293" s="39" t="n">
        <x:v>-0.0431338537</x:v>
      </x:c>
      <x:c r="AH293" s="39" t="n">
        <x:v>0.116751569</x:v>
      </x:c>
      <x:c r="AI293" s="39" t="n">
        <x:v>0.0723233935</x:v>
      </x:c>
      <x:c r="AJ293" s="39" t="n">
        <x:v>0.1332819538</x:v>
      </x:c>
      <x:c r="AK293" s="39" t="n">
        <x:v>0.0468654844</x:v>
      </x:c>
      <x:c r="AL293" s="39" t="n">
        <x:v>-0.0412790899</x:v>
      </x:c>
      <x:c r="AM293" s="39" t="n">
        <x:v>-0.0333023743</x:v>
      </x:c>
      <x:c r="AN293" s="39" t="n">
        <x:v>-0.0760579384</x:v>
      </x:c>
      <x:c r="AO293" s="39" t="n">
        <x:v>0.0430736842</x:v>
      </x:c>
      <x:c r="AP293" s="39" t="n">
        <x:v>0.0663692382</x:v>
      </x:c>
      <x:c r="AQ293" s="39" t="n">
        <x:v>-0.0182427878</x:v>
      </x:c>
      <x:c r="AR293" s="39" t="n">
        <x:v>0.0423432505</x:v>
      </x:c>
      <x:c r="AS293" s="39" t="n">
        <x:v>0.0346155011</x:v>
      </x:c>
    </x:row>
    <x:row r="294" ht="19" customHeight="1">
      <x:c r="A294" s="30" t="str">
        <x:v>SPY</x:v>
      </x:c>
      <x:c r="B294" s="40" t="d">
        <x:v>2024-03-25T00:00:00.000Z</x:v>
      </x:c>
      <x:c r="C294" s="39" t="n">
        <x:v>0.2261337428</x:v>
      </x:c>
      <x:c r="D294" s="39" t="n">
        <x:v>0.0673975555</x:v>
      </x:c>
      <x:c r="E294" s="39" t="n">
        <x:v>0.0012295013</x:v>
      </x:c>
      <x:c r="F294" s="39" t="n">
        <x:v>0.0349809453</x:v>
      </x:c>
      <x:c r="G294" s="39" t="n">
        <x:v>0.0807811426</x:v>
      </x:c>
      <x:c r="H294" s="39" t="n">
        <x:v>0.0723204907</x:v>
      </x:c>
      <x:c r="I294" s="39" t="n">
        <x:v>-0.0156787483</x:v>
      </x:c>
      <x:c r="J294" s="39" t="n">
        <x:v>-0.0570144746</x:v>
      </x:c>
      <x:c r="K294" s="39" t="n">
        <x:v>-0.0953759402</x:v>
      </x:c>
      <x:c r="L294" s="39" t="n">
        <x:v>0.159706238</x:v>
      </x:c>
      <x:c r="M294" s="39" t="n">
        <x:v>-0.0019192674</x:v>
      </x:c>
      <x:c r="N294" s="39" t="n">
        <x:v>0.0558508125</x:v>
      </x:c>
      <x:c r="O294" s="39" t="n">
        <x:v>-0.0313815746</x:v>
      </x:c>
      <x:c r="P294" s="39" t="n">
        <x:v>-0.0070858526</x:v>
      </x:c>
      <x:c r="Q294" s="39" t="n">
        <x:v>-0.0189651961</x:v>
      </x:c>
      <x:c r="R294" s="39" t="n">
        <x:v>-0.0499497932</x:v>
      </x:c>
      <x:c r="S294" s="39" t="n">
        <x:v>-0.0238292254</x:v>
      </x:c>
      <x:c r="T294" s="39" t="n">
        <x:v>-0.0795954226</x:v>
      </x:c>
      <x:c r="U294" s="39" t="n">
        <x:v>0.1179545732</x:v>
      </x:c>
      <x:c r="V294" s="39" t="n">
        <x:v>-0.038255161</x:v>
      </x:c>
      <x:c r="W294" s="39" t="n">
        <x:v>-0.0402440701</x:v>
      </x:c>
      <x:c r="X294" s="39" t="n">
        <x:v>0.0127917711</x:v>
      </x:c>
      <x:c r="Y294" s="39" t="n">
        <x:v>0.15746055</x:v>
      </x:c>
      <x:c r="Z294" s="39" t="n">
        <x:v>0.107804361</x:v>
      </x:c>
      <x:c r="AA294" s="39" t="n">
        <x:v>0.0884581565</x:v>
      </x:c>
      <x:c r="AB294" s="39" t="n">
        <x:v>0.023236723</x:v>
      </x:c>
      <x:c r="AC294" s="39" t="n">
        <x:v>0.0014683179</x:v>
      </x:c>
      <x:c r="AD294" s="39" t="n">
        <x:v>0.0142224262</x:v>
      </x:c>
      <x:c r="AE294" s="39" t="n">
        <x:v>0.0415397201</x:v>
      </x:c>
      <x:c r="AF294" s="39" t="n">
        <x:v>0.1024134467</x:v>
      </x:c>
      <x:c r="AG294" s="39" t="n">
        <x:v>-0.0550609196</x:v>
      </x:c>
      <x:c r="AH294" s="39" t="n">
        <x:v>-0.0141829772</x:v>
      </x:c>
      <x:c r="AI294" s="39" t="n">
        <x:v>-0.1867065734</x:v>
      </x:c>
      <x:c r="AJ294" s="39" t="n">
        <x:v>-0.0352025267</x:v>
      </x:c>
      <x:c r="AK294" s="39" t="n">
        <x:v>-0.0217738965</x:v>
      </x:c>
      <x:c r="AL294" s="39" t="n">
        <x:v>-0.0329122356</x:v>
      </x:c>
      <x:c r="AM294" s="39" t="n">
        <x:v>-0.0134231768</x:v>
      </x:c>
      <x:c r="AN294" s="39" t="n">
        <x:v>0.0653961127</x:v>
      </x:c>
      <x:c r="AO294" s="39" t="n">
        <x:v>-0.0451599613</x:v>
      </x:c>
      <x:c r="AP294" s="39" t="n">
        <x:v>-0.0105329762</x:v>
      </x:c>
      <x:c r="AQ294" s="39" t="n">
        <x:v>0.0232605158</x:v>
      </x:c>
      <x:c r="AR294" s="39" t="n">
        <x:v>-0.038858724</x:v>
      </x:c>
      <x:c r="AS294" s="39" t="n">
        <x:v>0.0199025416</x:v>
      </x:c>
    </x:row>
    <x:row r="295" ht="19" customHeight="1">
      <x:c r="A295" s="30" t="str">
        <x:v>SPY</x:v>
      </x:c>
      <x:c r="B295" s="40" t="d">
        <x:v>2024-04-22T00:00:00.000Z</x:v>
      </x:c>
      <x:c r="C295" s="39" t="n">
        <x:v>0.0666386154</x:v>
      </x:c>
      <x:c r="D295" s="39" t="n">
        <x:v>0.0062345651</x:v>
      </x:c>
      <x:c r="E295" s="39" t="n">
        <x:v>-0.0174781708</x:v>
      </x:c>
      <x:c r="F295" s="39" t="n">
        <x:v>0.009049855</x:v>
      </x:c>
      <x:c r="G295" s="39" t="n">
        <x:v>-0.0427170977</x:v>
      </x:c>
      <x:c r="H295" s="39" t="n">
        <x:v>0.1262817692</x:v>
      </x:c>
      <x:c r="I295" s="39" t="n">
        <x:v>0.0568810935</x:v>
      </x:c>
      <x:c r="J295" s="39" t="n">
        <x:v>-0.0578595263</x:v>
      </x:c>
      <x:c r="K295" s="39" t="n">
        <x:v>0.0023734687</x:v>
      </x:c>
      <x:c r="L295" s="39" t="n">
        <x:v>-0.0633122028</x:v>
      </x:c>
      <x:c r="M295" s="39" t="n">
        <x:v>-0.0841790511</x:v>
      </x:c>
      <x:c r="N295" s="39" t="n">
        <x:v>-0.0413007867</x:v>
      </x:c>
      <x:c r="O295" s="39" t="n">
        <x:v>-0.0090996261</x:v>
      </x:c>
      <x:c r="P295" s="39" t="n">
        <x:v>0.0679805824</x:v>
      </x:c>
      <x:c r="Q295" s="39" t="n">
        <x:v>-0.1052844455</x:v>
      </x:c>
      <x:c r="R295" s="39" t="n">
        <x:v>-0.0994009445</x:v>
      </x:c>
      <x:c r="S295" s="39" t="n">
        <x:v>-0.03428974</x:v>
      </x:c>
      <x:c r="T295" s="39" t="n">
        <x:v>-0.0711609431</x:v>
      </x:c>
      <x:c r="U295" s="39" t="n">
        <x:v>0.0134287401</x:v>
      </x:c>
      <x:c r="V295" s="39" t="n">
        <x:v>0.003877448</x:v>
      </x:c>
      <x:c r="W295" s="39" t="n">
        <x:v>-0.0456649949</x:v>
      </x:c>
      <x:c r="X295" s="39" t="n">
        <x:v>-0.11157719</x:v>
      </x:c>
      <x:c r="Y295" s="39" t="n">
        <x:v>-0.0133056403</x:v>
      </x:c>
      <x:c r="Z295" s="39" t="n">
        <x:v>0.1642127332</x:v>
      </x:c>
      <x:c r="AA295" s="39" t="n">
        <x:v>0.0057265217</x:v>
      </x:c>
      <x:c r="AB295" s="39" t="n">
        <x:v>0.7512560698</x:v>
      </x:c>
      <x:c r="AC295" s="39" t="n">
        <x:v>-0.0246216326</x:v>
      </x:c>
      <x:c r="AD295" s="39" t="n">
        <x:v>0.0098889417</x:v>
      </x:c>
      <x:c r="AE295" s="39" t="n">
        <x:v>-0.0178207165</x:v>
      </x:c>
      <x:c r="AF295" s="39" t="n">
        <x:v>-0.0084140993</x:v>
      </x:c>
      <x:c r="AG295" s="39" t="n">
        <x:v>-0.1341684613</x:v>
      </x:c>
      <x:c r="AH295" s="39" t="n">
        <x:v>-0.0846227671</x:v>
      </x:c>
      <x:c r="AI295" s="39" t="n">
        <x:v>-0.0897001584</x:v>
      </x:c>
      <x:c r="AJ295" s="39" t="n">
        <x:v>-0.0701470684</x:v>
      </x:c>
      <x:c r="AK295" s="39" t="n">
        <x:v>0.0019747764</x:v>
      </x:c>
      <x:c r="AL295" s="39" t="n">
        <x:v>0.0754574525</x:v>
      </x:c>
      <x:c r="AM295" s="39" t="n">
        <x:v>0.0106961438</x:v>
      </x:c>
      <x:c r="AN295" s="39" t="n">
        <x:v>0.1683812628</x:v>
      </x:c>
      <x:c r="AO295" s="39" t="n">
        <x:v>0.0021639174</x:v>
      </x:c>
      <x:c r="AP295" s="39" t="n">
        <x:v>-0.1201620312</x:v>
      </x:c>
      <x:c r="AQ295" s="39" t="n">
        <x:v>0.0001106793</x:v>
      </x:c>
      <x:c r="AR295" s="39" t="n">
        <x:v>-0.1028370003</x:v>
      </x:c>
      <x:c r="AS295" s="39" t="n">
        <x:v>-0.0513590978</x:v>
      </x:c>
    </x:row>
    <x:row r="296" ht="19" customHeight="1">
      <x:c r="A296" s="30" t="str">
        <x:v>SPY</x:v>
      </x:c>
      <x:c r="B296" s="40" t="d">
        <x:v>2024-05-20T00:00:00.000Z</x:v>
      </x:c>
      <x:c r="C296" s="39" t="n">
        <x:v>0.3115900906</x:v>
      </x:c>
      <x:c r="D296" s="39" t="n">
        <x:v>-0.0027558724</x:v>
      </x:c>
      <x:c r="E296" s="39" t="n">
        <x:v>0.0311087476</x:v>
      </x:c>
      <x:c r="F296" s="39" t="n">
        <x:v>0.0122729949</x:v>
      </x:c>
      <x:c r="G296" s="39" t="n">
        <x:v>-0.1621021775</x:v>
      </x:c>
      <x:c r="H296" s="39" t="n">
        <x:v>-0.0512408917</x:v>
      </x:c>
      <x:c r="I296" s="39" t="n">
        <x:v>-0.0548602908</x:v>
      </x:c>
      <x:c r="J296" s="39" t="n">
        <x:v>0.0242991874</x:v>
      </x:c>
      <x:c r="K296" s="39" t="n">
        <x:v>-0.0537339819</x:v>
      </x:c>
      <x:c r="L296" s="39" t="n">
        <x:v>-0.0486480603</x:v>
      </x:c>
      <x:c r="M296" s="39" t="n">
        <x:v>-0.0272305274</x:v>
      </x:c>
      <x:c r="N296" s="39" t="n">
        <x:v>0.0997641618</x:v>
      </x:c>
      <x:c r="O296" s="39" t="n">
        <x:v>-0.0427752127</x:v>
      </x:c>
      <x:c r="P296" s="39" t="n">
        <x:v>-0.0776471015</x:v>
      </x:c>
      <x:c r="Q296" s="39" t="n">
        <x:v>-0.0764910581</x:v>
      </x:c>
      <x:c r="R296" s="39" t="n">
        <x:v>0.0091621196</x:v>
      </x:c>
      <x:c r="S296" s="39" t="n">
        <x:v>0.0018985279</x:v>
      </x:c>
      <x:c r="T296" s="39" t="n">
        <x:v>-0.2628733285</x:v>
      </x:c>
      <x:c r="U296" s="39" t="n">
        <x:v>0.4357670711</x:v>
      </x:c>
      <x:c r="V296" s="39" t="n">
        <x:v>-0.1371705453</x:v>
      </x:c>
      <x:c r="W296" s="39" t="n">
        <x:v>0.1149024339</x:v>
      </x:c>
      <x:c r="X296" s="39" t="n">
        <x:v>-0.0235551121</x:v>
      </x:c>
      <x:c r="Y296" s="39" t="n">
        <x:v>-0.0014827525</x:v>
      </x:c>
      <x:c r="Z296" s="39" t="n">
        <x:v>-0.0890344188</x:v>
      </x:c>
      <x:c r="AA296" s="39" t="n">
        <x:v>-0.0415368058</x:v>
      </x:c>
      <x:c r="AB296" s="39" t="n">
        <x:v>-0.0980166672</x:v>
      </x:c>
      <x:c r="AC296" s="39" t="n">
        <x:v>-0.0800395985</x:v>
      </x:c>
      <x:c r="AD296" s="39" t="n">
        <x:v>0.0007354775</x:v>
      </x:c>
      <x:c r="AE296" s="39" t="n">
        <x:v>-0.1157305544</x:v>
      </x:c>
      <x:c r="AF296" s="39" t="n">
        <x:v>0.0053418292</x:v>
      </x:c>
      <x:c r="AG296" s="39" t="n">
        <x:v>-0.0112803872</x:v>
      </x:c>
      <x:c r="AH296" s="39" t="n">
        <x:v>-0.1129818881</x:v>
      </x:c>
      <x:c r="AI296" s="39" t="n">
        <x:v>-0.0705927569</x:v>
      </x:c>
      <x:c r="AJ296" s="39" t="n">
        <x:v>0.0694754964</x:v>
      </x:c>
      <x:c r="AK296" s="39" t="n">
        <x:v>0.025580899</x:v>
      </x:c>
      <x:c r="AL296" s="39" t="n">
        <x:v>0.0042245677</x:v>
      </x:c>
      <x:c r="AM296" s="39" t="n">
        <x:v>0.0101906542</x:v>
      </x:c>
      <x:c r="AN296" s="39" t="n">
        <x:v>-0.0560229063</x:v>
      </x:c>
      <x:c r="AO296" s="39" t="n">
        <x:v>0.0735508559</x:v>
      </x:c>
      <x:c r="AP296" s="39" t="n">
        <x:v>-0.074986841</x:v>
      </x:c>
      <x:c r="AQ296" s="39" t="n">
        <x:v>-0.0246438628</x:v>
      </x:c>
      <x:c r="AR296" s="39" t="n">
        <x:v>-0.0039787903</x:v>
      </x:c>
      <x:c r="AS296" s="39" t="n">
        <x:v>-0.0126284406</x:v>
      </x:c>
    </x:row>
    <x:row r="297" ht="19" customHeight="1">
      <x:c r="A297" s="30" t="str">
        <x:v>SPY</x:v>
      </x:c>
      <x:c r="B297" s="40" t="d">
        <x:v>2024-06-17T00:00:00.000Z</x:v>
      </x:c>
      <x:c r="C297" s="39" t="n">
        <x:v>-0.2287680565</x:v>
      </x:c>
      <x:c r="D297" s="39" t="n">
        <x:v>-0.0671009243</x:v>
      </x:c>
      <x:c r="E297" s="39" t="n">
        <x:v>-0.0403908095</x:v>
      </x:c>
      <x:c r="F297" s="39" t="n">
        <x:v>-0.0574080958</x:v>
      </x:c>
      <x:c r="G297" s="39" t="n">
        <x:v>-0.0226896615</x:v>
      </x:c>
      <x:c r="H297" s="39" t="n">
        <x:v>-0.0002593805</x:v>
      </x:c>
      <x:c r="I297" s="39" t="n">
        <x:v>0.004726327</x:v>
      </x:c>
      <x:c r="J297" s="39" t="n">
        <x:v>-0.1737898138</x:v>
      </x:c>
      <x:c r="K297" s="39" t="n">
        <x:v>0.031294042</x:v>
      </x:c>
      <x:c r="L297" s="39" t="n">
        <x:v>-0.1062625493</x:v>
      </x:c>
      <x:c r="M297" s="39" t="n">
        <x:v>-0.0705651257</x:v>
      </x:c>
      <x:c r="N297" s="39" t="n">
        <x:v>-0.140501189</x:v>
      </x:c>
      <x:c r="O297" s="39" t="n">
        <x:v>-0.0092810378</x:v>
      </x:c>
      <x:c r="P297" s="39" t="n">
        <x:v>-0.0785226294</x:v>
      </x:c>
      <x:c r="Q297" s="39" t="n">
        <x:v>-0.0277345362</x:v>
      </x:c>
      <x:c r="R297" s="39" t="n">
        <x:v>-0.1342839187</x:v>
      </x:c>
      <x:c r="S297" s="39" t="n">
        <x:v>-0.1167169932</x:v>
      </x:c>
      <x:c r="T297" s="39" t="n">
        <x:v>-0.0057676681</x:v>
      </x:c>
      <x:c r="U297" s="39" t="n">
        <x:v>-0.2600039777</x:v>
      </x:c>
      <x:c r="V297" s="39" t="n">
        <x:v>-0.0223541129</x:v>
      </x:c>
      <x:c r="W297" s="39" t="n">
        <x:v>0.0354620766</x:v>
      </x:c>
      <x:c r="X297" s="39" t="n">
        <x:v>-0.0078282651</x:v>
      </x:c>
      <x:c r="Y297" s="39" t="n">
        <x:v>-0.0115539078</x:v>
      </x:c>
      <x:c r="Z297" s="39" t="n">
        <x:v>-0.0183962485</x:v>
      </x:c>
      <x:c r="AA297" s="39" t="n">
        <x:v>0.0114227844</x:v>
      </x:c>
      <x:c r="AB297" s="39" t="n">
        <x:v>0.0001119774</x:v>
      </x:c>
      <x:c r="AC297" s="39" t="n">
        <x:v>-0.1336562894</x:v>
      </x:c>
      <x:c r="AD297" s="39" t="n">
        <x:v>0.0055603699</x:v>
      </x:c>
      <x:c r="AE297" s="39" t="n">
        <x:v>-0.0721439786</x:v>
      </x:c>
      <x:c r="AF297" s="39" t="n">
        <x:v>0.0908261348</x:v>
      </x:c>
      <x:c r="AG297" s="39" t="n">
        <x:v>-0.0164976558</x:v>
      </x:c>
      <x:c r="AH297" s="39" t="n">
        <x:v>-0.0380727087</x:v>
      </x:c>
      <x:c r="AI297" s="39" t="n">
        <x:v>-0.1254584456</x:v>
      </x:c>
      <x:c r="AJ297" s="39" t="n">
        <x:v>0.0670811094</x:v>
      </x:c>
      <x:c r="AK297" s="39" t="n">
        <x:v>-0.0215040087</x:v>
      </x:c>
      <x:c r="AL297" s="39" t="n">
        <x:v>-0.0834857208</x:v>
      </x:c>
      <x:c r="AM297" s="39" t="n">
        <x:v>0.0087939176</x:v>
      </x:c>
      <x:c r="AN297" s="39" t="n">
        <x:v>-0.0215588799</x:v>
      </x:c>
      <x:c r="AO297" s="39" t="n">
        <x:v>0.0238815867</x:v>
      </x:c>
      <x:c r="AP297" s="39" t="n">
        <x:v>0.0837806223</x:v>
      </x:c>
      <x:c r="AQ297" s="39" t="n">
        <x:v>0.0044441779</x:v>
      </x:c>
      <x:c r="AR297" s="39" t="n">
        <x:v>0.0000548151</x:v>
      </x:c>
      <x:c r="AS297" s="39" t="n">
        <x:v>-0.0125380563</x:v>
      </x:c>
    </x:row>
    <x:row r="298" ht="19" customHeight="1">
      <x:c r="A298" s="30" t="str">
        <x:v>SPY</x:v>
      </x:c>
      <x:c r="B298" s="40" t="d">
        <x:v>2024-07-15T00:00:00.000Z</x:v>
      </x:c>
      <x:c r="C298" s="39" t="n">
        <x:v>-0.1677463478</x:v>
      </x:c>
      <x:c r="D298" s="39" t="n">
        <x:v>0.102018746</x:v>
      </x:c>
      <x:c r="E298" s="39" t="n">
        <x:v>0.0655483258</x:v>
      </x:c>
      <x:c r="F298" s="39" t="n">
        <x:v>0.0351683308</x:v>
      </x:c>
      <x:c r="G298" s="39" t="n">
        <x:v>-0.0672014244</x:v>
      </x:c>
      <x:c r="H298" s="39" t="n">
        <x:v>-0.2064171705</x:v>
      </x:c>
      <x:c r="I298" s="39" t="n">
        <x:v>-0.0402123196</x:v>
      </x:c>
      <x:c r="J298" s="39" t="n">
        <x:v>-0.0946745785</x:v>
      </x:c>
      <x:c r="K298" s="39" t="n">
        <x:v>-0.0773574185</x:v>
      </x:c>
      <x:c r="L298" s="39" t="n">
        <x:v>-0.0429536375</x:v>
      </x:c>
      <x:c r="M298" s="39" t="n">
        <x:v>-0.0407854939</x:v>
      </x:c>
      <x:c r="N298" s="39" t="n">
        <x:v>-0.0300765988</x:v>
      </x:c>
      <x:c r="O298" s="39" t="n">
        <x:v>0.0451990681</x:v>
      </x:c>
      <x:c r="P298" s="39" t="n">
        <x:v>-0.1384951453</x:v>
      </x:c>
      <x:c r="Q298" s="39" t="n">
        <x:v>0.0388688252</x:v>
      </x:c>
      <x:c r="R298" s="39" t="n">
        <x:v>-0.055682294</x:v>
      </x:c>
      <x:c r="S298" s="39" t="n">
        <x:v>0.0202062953</x:v>
      </x:c>
      <x:c r="T298" s="39" t="n">
        <x:v>-0.0142014716</x:v>
      </x:c>
      <x:c r="U298" s="39" t="n">
        <x:v>-0.1121364149</x:v>
      </x:c>
      <x:c r="V298" s="39" t="n">
        <x:v>0.0463850842</x:v>
      </x:c>
      <x:c r="W298" s="39" t="n">
        <x:v>-0.0937320271</x:v>
      </x:c>
      <x:c r="X298" s="39" t="n">
        <x:v>0.0568035754</x:v>
      </x:c>
      <x:c r="Y298" s="39" t="n">
        <x:v>-0.2738568776</x:v>
      </x:c>
      <x:c r="Z298" s="39" t="n">
        <x:v>0.0960728013</x:v>
      </x:c>
      <x:c r="AA298" s="39" t="n">
        <x:v>0.043309761</x:v>
      </x:c>
      <x:c r="AB298" s="39" t="n">
        <x:v>-0.0991707722</x:v>
      </x:c>
      <x:c r="AC298" s="39" t="n">
        <x:v>0.3011343553</x:v>
      </x:c>
      <x:c r="AD298" s="39" t="n">
        <x:v>0.0012633682</x:v>
      </x:c>
      <x:c r="AE298" s="39" t="n">
        <x:v>0.1744924823</x:v>
      </x:c>
      <x:c r="AF298" s="39" t="n">
        <x:v>-0.0496225457</x:v>
      </x:c>
      <x:c r="AG298" s="39" t="n">
        <x:v>0.0134831236</x:v>
      </x:c>
      <x:c r="AH298" s="39" t="n">
        <x:v>0.0486389119</x:v>
      </x:c>
      <x:c r="AI298" s="39" t="n">
        <x:v>-0.0993905582</x:v>
      </x:c>
      <x:c r="AJ298" s="39" t="n">
        <x:v>-0.0575117675</x:v>
      </x:c>
      <x:c r="AK298" s="39" t="n">
        <x:v>0.0309125211</x:v>
      </x:c>
      <x:c r="AL298" s="39" t="n">
        <x:v>-0.0306944974</x:v>
      </x:c>
      <x:c r="AM298" s="39" t="n">
        <x:v>-0.0386030197</x:v>
      </x:c>
      <x:c r="AN298" s="39" t="n">
        <x:v>-0.0320216032</x:v>
      </x:c>
      <x:c r="AO298" s="39" t="n">
        <x:v>-0.0272703631</x:v>
      </x:c>
      <x:c r="AP298" s="39" t="n">
        <x:v>0.0205312586</x:v>
      </x:c>
      <x:c r="AQ298" s="39" t="n">
        <x:v>0.0314245221</x:v>
      </x:c>
      <x:c r="AR298" s="39" t="n">
        <x:v>0.0306014822</x:v>
      </x:c>
      <x:c r="AS298" s="39" t="n">
        <x:v>0.055220594</x:v>
      </x:c>
    </x:row>
    <x:row r="299" ht="19" customHeight="1">
      <x:c r="A299" s="30" t="str">
        <x:v>SPY</x:v>
      </x:c>
      <x:c r="B299" s="40" t="d">
        <x:v>2024-08-12T00:00:00.000Z</x:v>
      </x:c>
      <x:c r="C299" s="39" t="n">
        <x:v>0.0169355142</x:v>
      </x:c>
      <x:c r="D299" s="39" t="n">
        <x:v>0.0045680071</x:v>
      </x:c>
      <x:c r="E299" s="39" t="n">
        <x:v>0.0498373557</x:v>
      </x:c>
      <x:c r="F299" s="39" t="n">
        <x:v>0.0684272553</x:v>
      </x:c>
      <x:c r="G299" s="39" t="n">
        <x:v>-0.074420417</x:v>
      </x:c>
      <x:c r="H299" s="39" t="n">
        <x:v>-0.0194070028</x:v>
      </x:c>
      <x:c r="I299" s="39" t="n">
        <x:v>-0.0456249908</x:v>
      </x:c>
      <x:c r="J299" s="39" t="n">
        <x:v>0.052115286</x:v>
      </x:c>
      <x:c r="K299" s="39" t="n">
        <x:v>-0.1433276279</x:v>
      </x:c>
      <x:c r="L299" s="39" t="n">
        <x:v>-0.0094700998</x:v>
      </x:c>
      <x:c r="M299" s="39" t="n">
        <x:v>0.1276778201</x:v>
      </x:c>
      <x:c r="N299" s="39" t="n">
        <x:v>-0.0873963624</x:v>
      </x:c>
      <x:c r="O299" s="39" t="n">
        <x:v>0.0264202689</x:v>
      </x:c>
      <x:c r="P299" s="39" t="n">
        <x:v>-0.1374357248</x:v>
      </x:c>
      <x:c r="Q299" s="39" t="n">
        <x:v>0.0086452315</x:v>
      </x:c>
      <x:c r="R299" s="39" t="n">
        <x:v>0.1313884939</x:v>
      </x:c>
      <x:c r="S299" s="39" t="n">
        <x:v>0.0384285074</x:v>
      </x:c>
      <x:c r="T299" s="39" t="n">
        <x:v>0.0258961716</x:v>
      </x:c>
      <x:c r="U299" s="39" t="n">
        <x:v>-0.3705571573</x:v>
      </x:c>
      <x:c r="V299" s="39" t="n">
        <x:v>0.1995558946</x:v>
      </x:c>
      <x:c r="W299" s="39" t="n">
        <x:v>0.0664871549</x:v>
      </x:c>
      <x:c r="X299" s="39" t="n">
        <x:v>-0.0043787739</x:v>
      </x:c>
      <x:c r="Y299" s="39" t="n">
        <x:v>-0.1047301832</x:v>
      </x:c>
      <x:c r="Z299" s="39" t="n">
        <x:v>0.070668156</x:v>
      </x:c>
      <x:c r="AA299" s="39" t="n">
        <x:v>0.0720599546</x:v>
      </x:c>
      <x:c r="AB299" s="39" t="n">
        <x:v>-0.1547983971</x:v>
      </x:c>
      <x:c r="AC299" s="39" t="n">
        <x:v>0.3360109762</x:v>
      </x:c>
      <x:c r="AD299" s="39" t="n">
        <x:v>0.0001179295</x:v>
      </x:c>
      <x:c r="AE299" s="39" t="n">
        <x:v>-0.3138063004</x:v>
      </x:c>
      <x:c r="AF299" s="39" t="n">
        <x:v>-0.1340840937</x:v>
      </x:c>
      <x:c r="AG299" s="39" t="n">
        <x:v>0.0056288371</x:v>
      </x:c>
      <x:c r="AH299" s="39" t="n">
        <x:v>0.0254339117</x:v>
      </x:c>
      <x:c r="AI299" s="39" t="n">
        <x:v>-0.0469127617</x:v>
      </x:c>
      <x:c r="AJ299" s="39" t="n">
        <x:v>0.061110601</x:v>
      </x:c>
      <x:c r="AK299" s="39" t="n">
        <x:v>0.0761979672</x:v>
      </x:c>
      <x:c r="AL299" s="39" t="n">
        <x:v>0.1050650769</x:v>
      </x:c>
      <x:c r="AM299" s="39" t="n">
        <x:v>-0.0566511312</x:v>
      </x:c>
      <x:c r="AN299" s="39" t="n">
        <x:v>-0.1148094021</x:v>
      </x:c>
      <x:c r="AO299" s="39" t="n">
        <x:v>0.0352993541</x:v>
      </x:c>
      <x:c r="AP299" s="39" t="n">
        <x:v>-0.0038273982</x:v>
      </x:c>
      <x:c r="AQ299" s="39" t="n">
        <x:v>0.0584430591</x:v>
      </x:c>
      <x:c r="AR299" s="39" t="n">
        <x:v>0.0240459674</x:v>
      </x:c>
      <x:c r="AS299" s="39" t="n">
        <x:v>0.0175984102</x:v>
      </x:c>
    </x:row>
    <x:row r="300" ht="19" customHeight="1">
      <x:c r="A300" s="30" t="str">
        <x:v>SPY</x:v>
      </x:c>
      <x:c r="B300" s="40" t="d">
        <x:v>2024-09-09T00:00:00.000Z</x:v>
      </x:c>
      <x:c r="C300" s="39" t="n">
        <x:v>0.056687882</x:v>
      </x:c>
      <x:c r="D300" s="39" t="n">
        <x:v>-0.0890670301</x:v>
      </x:c>
      <x:c r="E300" s="39" t="n">
        <x:v>0.0693572997</x:v>
      </x:c>
      <x:c r="F300" s="39" t="n">
        <x:v>0.0742195689</x:v>
      </x:c>
      <x:c r="G300" s="39" t="n">
        <x:v>0.0081146506</x:v>
      </x:c>
      <x:c r="H300" s="39" t="n">
        <x:v>0.0697341828</x:v>
      </x:c>
      <x:c r="I300" s="39" t="n">
        <x:v>0.0453899548</x:v>
      </x:c>
      <x:c r="J300" s="39" t="n">
        <x:v>-0.0050285162</x:v>
      </x:c>
      <x:c r="K300" s="39" t="n">
        <x:v>-0.1161640191</x:v>
      </x:c>
      <x:c r="L300" s="39" t="n">
        <x:v>-0.1558383388</x:v>
      </x:c>
      <x:c r="M300" s="39" t="n">
        <x:v>-0.0421287783</x:v>
      </x:c>
      <x:c r="N300" s="39" t="n">
        <x:v>-0.0439557497</x:v>
      </x:c>
      <x:c r="O300" s="39" t="n">
        <x:v>-0.0153767096</x:v>
      </x:c>
      <x:c r="P300" s="39" t="n">
        <x:v>-0.045338394</x:v>
      </x:c>
      <x:c r="Q300" s="39" t="n">
        <x:v>-0.1925298962</x:v>
      </x:c>
      <x:c r="R300" s="39" t="n">
        <x:v>0.052277565</x:v>
      </x:c>
      <x:c r="S300" s="39" t="n">
        <x:v>0.043513</x:v>
      </x:c>
      <x:c r="T300" s="39" t="n">
        <x:v>-0.089015207</x:v>
      </x:c>
      <x:c r="U300" s="39" t="n">
        <x:v>-0.2916504915</x:v>
      </x:c>
      <x:c r="V300" s="39" t="n">
        <x:v>-0.0072011919</x:v>
      </x:c>
      <x:c r="W300" s="39" t="n">
        <x:v>0.0286668132</x:v>
      </x:c>
      <x:c r="X300" s="39" t="n">
        <x:v>-0.0059100499</x:v>
      </x:c>
      <x:c r="Y300" s="39" t="n">
        <x:v>-0.2623492463</x:v>
      </x:c>
      <x:c r="Z300" s="39" t="n">
        <x:v>0.0494569581</x:v>
      </x:c>
      <x:c r="AA300" s="39" t="n">
        <x:v>0.0802882801</x:v>
      </x:c>
      <x:c r="AB300" s="39" t="n">
        <x:v>0.2811379179</x:v>
      </x:c>
      <x:c r="AC300" s="39" t="n">
        <x:v>0.0383106284</x:v>
      </x:c>
      <x:c r="AD300" s="39" t="n">
        <x:v>0.0338335634</x:v>
      </x:c>
      <x:c r="AE300" s="39" t="n">
        <x:v>-0.0062157734</x:v>
      </x:c>
      <x:c r="AF300" s="39" t="n">
        <x:v>-0.133146093</x:v>
      </x:c>
      <x:c r="AG300" s="39" t="n">
        <x:v>-0.1780117229</x:v>
      </x:c>
      <x:c r="AH300" s="39" t="n">
        <x:v>-0.0527204637</x:v>
      </x:c>
      <x:c r="AI300" s="39" t="n">
        <x:v>-0.0208329986</x:v>
      </x:c>
      <x:c r="AJ300" s="39" t="n">
        <x:v>-0.0240034826</x:v>
      </x:c>
      <x:c r="AK300" s="39" t="n">
        <x:v>0.1006709565</x:v>
      </x:c>
      <x:c r="AL300" s="39" t="n">
        <x:v>0.0226211713</x:v>
      </x:c>
      <x:c r="AM300" s="39" t="n">
        <x:v>0.0177858301</x:v>
      </x:c>
      <x:c r="AN300" s="39" t="n">
        <x:v>-0.0691367068</x:v>
      </x:c>
      <x:c r="AO300" s="39" t="n">
        <x:v>0.039807373</x:v>
      </x:c>
      <x:c r="AP300" s="39" t="n">
        <x:v>0.0522835661</x:v>
      </x:c>
      <x:c r="AQ300" s="39" t="n">
        <x:v>0.0281960249</x:v>
      </x:c>
      <x:c r="AR300" s="39" t="n">
        <x:v>0.0376965668</x:v>
      </x:c>
      <x:c r="AS300" s="39" t="n">
        <x:v>-0.0066209091</x:v>
      </x:c>
    </x:row>
    <x:row r="301" ht="19" customHeight="1">
      <x:c r="A301" s="30" t="str">
        <x:v>SPY</x:v>
      </x:c>
      <x:c r="B301" s="40" t="d">
        <x:v>2024-10-07T00:00:00.000Z</x:v>
      </x:c>
      <x:c r="C301" s="39" t="n">
        <x:v>0.3965404688</x:v>
      </x:c>
      <x:c r="D301" s="39" t="n">
        <x:v>0.0155613833</x:v>
      </x:c>
      <x:c r="E301" s="39" t="n">
        <x:v>-0.0873435754</x:v>
      </x:c>
      <x:c r="F301" s="39" t="n">
        <x:v>0.0079034847</x:v>
      </x:c>
      <x:c r="G301" s="39" t="n">
        <x:v>0.0101650714</x:v>
      </x:c>
      <x:c r="H301" s="39" t="n">
        <x:v>0.0257149865</x:v>
      </x:c>
      <x:c r="I301" s="39" t="n">
        <x:v>-0.0390670672</x:v>
      </x:c>
      <x:c r="J301" s="39" t="n">
        <x:v>0.1160384898</x:v>
      </x:c>
      <x:c r="K301" s="39" t="n">
        <x:v>0.0134305436</x:v>
      </x:c>
      <x:c r="L301" s="39" t="n">
        <x:v>0.0426360295</x:v>
      </x:c>
      <x:c r="M301" s="39" t="n">
        <x:v>0.1200034621</x:v>
      </x:c>
      <x:c r="N301" s="39" t="n">
        <x:v>0.0717788902</x:v>
      </x:c>
      <x:c r="O301" s="39" t="n">
        <x:v>0.0029558562</x:v>
      </x:c>
      <x:c r="P301" s="39" t="n">
        <x:v>-0.1071898759</x:v>
      </x:c>
      <x:c r="Q301" s="39" t="n">
        <x:v>0.084651796</x:v>
      </x:c>
      <x:c r="R301" s="39" t="n">
        <x:v>0.0339309523</x:v>
      </x:c>
      <x:c r="S301" s="39" t="n">
        <x:v>0.0127212924</x:v>
      </x:c>
      <x:c r="T301" s="39" t="n">
        <x:v>0.1368068777</x:v>
      </x:c>
      <x:c r="U301" s="39" t="n">
        <x:v>-0.2042162168</x:v>
      </x:c>
      <x:c r="V301" s="39" t="n">
        <x:v>0.1121645073</x:v>
      </x:c>
      <x:c r="W301" s="39" t="n">
        <x:v>0.0069325055</x:v>
      </x:c>
      <x:c r="X301" s="39" t="n">
        <x:v>0.0492391093</x:v>
      </x:c>
      <x:c r="Y301" s="39" t="n">
        <x:v>0.0817787225</x:v>
      </x:c>
      <x:c r="Z301" s="39" t="n">
        <x:v>-0.026097647</x:v>
      </x:c>
      <x:c r="AA301" s="39" t="n">
        <x:v>-0.0242112058</x:v>
      </x:c>
      <x:c r="AB301" s="39" t="n">
        <x:v>0.0165491313</x:v>
      </x:c>
      <x:c r="AC301" s="39" t="n">
        <x:v>0.1885957426</x:v>
      </x:c>
      <x:c r="AD301" s="39" t="n">
        <x:v>-0.0377739636</x:v>
      </x:c>
      <x:c r="AE301" s="39" t="n">
        <x:v>-0.0476058743</x:v>
      </x:c>
      <x:c r="AF301" s="39" t="n">
        <x:v>0.1638237739</x:v>
      </x:c>
      <x:c r="AG301" s="39" t="n">
        <x:v>-0.0810008683</x:v>
      </x:c>
      <x:c r="AH301" s="39" t="n">
        <x:v>-0.0231440399</x:v>
      </x:c>
      <x:c r="AI301" s="39" t="n">
        <x:v>0.0099999815</x:v>
      </x:c>
      <x:c r="AJ301" s="39" t="n">
        <x:v>-0.0253514345</x:v>
      </x:c>
      <x:c r="AK301" s="39" t="n">
        <x:v>-0.0841609266</x:v>
      </x:c>
      <x:c r="AL301" s="39" t="n">
        <x:v>0.0057486942</x:v>
      </x:c>
      <x:c r="AM301" s="39" t="n">
        <x:v>-0.0876030236</x:v>
      </x:c>
      <x:c r="AN301" s="39" t="n">
        <x:v>-0.017402642</x:v>
      </x:c>
      <x:c r="AO301" s="39" t="n">
        <x:v>-0.06734874</x:v>
      </x:c>
      <x:c r="AP301" s="39" t="n">
        <x:v>0.0650952133</x:v>
      </x:c>
      <x:c r="AQ301" s="39" t="n">
        <x:v>-0.0510861765</x:v>
      </x:c>
      <x:c r="AR301" s="39" t="n">
        <x:v>-0.0434742322</x:v>
      </x:c>
      <x:c r="AS301" s="39" t="n">
        <x:v>0.0119740215</x:v>
      </x:c>
    </x:row>
    <x:row r="302" ht="19" customHeight="1">
      <x:c r="A302" s="30" t="str">
        <x:v>SPY</x:v>
      </x:c>
      <x:c r="B302" s="40" t="d">
        <x:v>2024-11-04T00:00:00.000Z</x:v>
      </x:c>
      <x:c r="C302" s="39" t="n">
        <x:v>0.0946326838</x:v>
      </x:c>
      <x:c r="D302" s="39" t="n">
        <x:v>-0.0698847454</x:v>
      </x:c>
      <x:c r="E302" s="39" t="n">
        <x:v>0.0042819125</x:v>
      </x:c>
      <x:c r="F302" s="39" t="n">
        <x:v>0.1334318329</x:v>
      </x:c>
      <x:c r="G302" s="39" t="n">
        <x:v>0.0639228243</x:v>
      </x:c>
      <x:c r="H302" s="39" t="n">
        <x:v>0.0185782164</x:v>
      </x:c>
      <x:c r="I302" s="39" t="n">
        <x:v>0.0665819656</x:v>
      </x:c>
      <x:c r="J302" s="39" t="n">
        <x:v>0.0951270232</x:v>
      </x:c>
      <x:c r="K302" s="39" t="n">
        <x:v>-0.0833977653</x:v>
      </x:c>
      <x:c r="L302" s="39" t="n">
        <x:v>-0.0750236853</x:v>
      </x:c>
      <x:c r="M302" s="39" t="n">
        <x:v>-0.0610025303</x:v>
      </x:c>
      <x:c r="N302" s="39" t="n">
        <x:v>0.0463870276</x:v>
      </x:c>
      <x:c r="O302" s="39" t="n">
        <x:v>0.0699984392</x:v>
      </x:c>
      <x:c r="P302" s="39" t="n">
        <x:v>0.0563673266</x:v>
      </x:c>
      <x:c r="Q302" s="39" t="n">
        <x:v>-0.0426049369</x:v>
      </x:c>
      <x:c r="R302" s="39" t="n">
        <x:v>-0.2233579079</x:v>
      </x:c>
      <x:c r="S302" s="39" t="n">
        <x:v>0.0347694954</x:v>
      </x:c>
      <x:c r="T302" s="39" t="n">
        <x:v>-0.0937132128</x:v>
      </x:c>
      <x:c r="U302" s="39" t="n">
        <x:v>-0.1762367599</x:v>
      </x:c>
      <x:c r="V302" s="39" t="n">
        <x:v>0.3449151593</x:v>
      </x:c>
      <x:c r="W302" s="39" t="n">
        <x:v>0.0804780457</x:v>
      </x:c>
      <x:c r="X302" s="39" t="n">
        <x:v>0.1192254511</x:v>
      </x:c>
      <x:c r="Y302" s="39" t="n">
        <x:v>0.0318874189</x:v>
      </x:c>
      <x:c r="Z302" s="39" t="n">
        <x:v>-0.1294272436</x:v>
      </x:c>
      <x:c r="AA302" s="39" t="n">
        <x:v>0.0166987766</x:v>
      </x:c>
      <x:c r="AB302" s="39" t="n">
        <x:v>-0.0071781487</x:v>
      </x:c>
      <x:c r="AC302" s="39" t="n">
        <x:v>0.5948341488</x:v>
      </x:c>
      <x:c r="AD302" s="39" t="n">
        <x:v>-0.0006364701</x:v>
      </x:c>
      <x:c r="AE302" s="39" t="n">
        <x:v>0.0729128752</x:v>
      </x:c>
      <x:c r="AF302" s="39" t="n">
        <x:v>0.0145592769</x:v>
      </x:c>
      <x:c r="AG302" s="39" t="n">
        <x:v>0.0478716036</x:v>
      </x:c>
      <x:c r="AH302" s="39" t="n">
        <x:v>-0.2422515917</x:v>
      </x:c>
      <x:c r="AI302" s="39" t="n">
        <x:v>-0.1838163679</x:v>
      </x:c>
      <x:c r="AJ302" s="39" t="n">
        <x:v>-0.1717422125</x:v>
      </x:c>
      <x:c r="AK302" s="39" t="n">
        <x:v>0.1255972397</x:v>
      </x:c>
      <x:c r="AL302" s="39" t="n">
        <x:v>0.0269343817</x:v>
      </x:c>
      <x:c r="AM302" s="39" t="n">
        <x:v>-0.0271879375</x:v>
      </x:c>
      <x:c r="AN302" s="39" t="n">
        <x:v>0.0902286364</x:v>
      </x:c>
      <x:c r="AO302" s="39" t="n">
        <x:v>0.0738521572</x:v>
      </x:c>
      <x:c r="AP302" s="39" t="n">
        <x:v>-0.0118067309</x:v>
      </x:c>
      <x:c r="AQ302" s="39" t="n">
        <x:v>-0.0842967279</x:v>
      </x:c>
      <x:c r="AR302" s="39" t="n">
        <x:v>-0.0366100194</x:v>
      </x:c>
      <x:c r="AS302" s="39" t="n">
        <x:v>0.0104636671</x:v>
      </x:c>
    </x:row>
    <x:row r="303" ht="19" customHeight="1">
      <x:c r="A303" s="30" t="str">
        <x:v>SPY</x:v>
      </x:c>
      <x:c r="B303" s="40" t="d">
        <x:v>2024-12-02T00:00:00.000Z</x:v>
      </x:c>
      <x:c r="C303" s="39" t="n">
        <x:v>0.1111671166</x:v>
      </x:c>
      <x:c r="D303" s="39" t="n">
        <x:v>0.1481404332</x:v>
      </x:c>
      <x:c r="E303" s="39" t="n">
        <x:v>0.0144705527</x:v>
      </x:c>
      <x:c r="F303" s="39" t="n">
        <x:v>0.0133523786</x:v>
      </x:c>
      <x:c r="G303" s="39" t="n">
        <x:v>0.2276628083</x:v>
      </x:c>
      <x:c r="H303" s="39" t="n">
        <x:v>0.1616476941</x:v>
      </x:c>
      <x:c r="I303" s="39" t="n">
        <x:v>0.0848819925</x:v>
      </x:c>
      <x:c r="J303" s="39" t="n">
        <x:v>0.0872382632</x:v>
      </x:c>
      <x:c r="K303" s="39" t="n">
        <x:v>-0.0758005392</x:v>
      </x:c>
      <x:c r="L303" s="39" t="n">
        <x:v>-0.0655699254</x:v>
      </x:c>
      <x:c r="M303" s="39" t="n">
        <x:v>0.060005898</x:v>
      </x:c>
      <x:c r="N303" s="39" t="n">
        <x:v>0.0308081264</x:v>
      </x:c>
      <x:c r="O303" s="39" t="n">
        <x:v>0.0727707497</x:v>
      </x:c>
      <x:c r="P303" s="39" t="n">
        <x:v>0.0361751756</x:v>
      </x:c>
      <x:c r="Q303" s="39" t="n">
        <x:v>0.0831222511</x:v>
      </x:c>
      <x:c r="R303" s="39" t="n">
        <x:v>0.01557452</x:v>
      </x:c>
      <x:c r="S303" s="39" t="n">
        <x:v>0.0879065935</x:v>
      </x:c>
      <x:c r="T303" s="39" t="n">
        <x:v>0.2203349241</x:v>
      </x:c>
      <x:c r="U303" s="39" t="n">
        <x:v>0.0359180227</x:v>
      </x:c>
      <x:c r="V303" s="39" t="n">
        <x:v>0.1305390878</x:v>
      </x:c>
      <x:c r="W303" s="39" t="n">
        <x:v>0.1826782881</x:v>
      </x:c>
      <x:c r="X303" s="39" t="n">
        <x:v>0.0327041905</x:v>
      </x:c>
      <x:c r="Y303" s="39" t="n">
        <x:v>-0.105986716</x:v>
      </x:c>
      <x:c r="Z303" s="39" t="n">
        <x:v>0.0060958266</x:v>
      </x:c>
      <x:c r="AA303" s="39" t="n">
        <x:v>-0.0461042203</x:v>
      </x:c>
      <x:c r="AB303" s="39" t="n">
        <x:v>-0.3108709851</x:v>
      </x:c>
      <x:c r="AC303" s="39" t="n">
        <x:v>-0.067268435</x:v>
      </x:c>
      <x:c r="AD303" s="39" t="n">
        <x:v>0.0695903733</x:v>
      </x:c>
      <x:c r="AE303" s="39" t="n">
        <x:v>0.0033757338</x:v>
      </x:c>
      <x:c r="AF303" s="39" t="n">
        <x:v>0.0623840864</x:v>
      </x:c>
      <x:c r="AG303" s="39" t="n">
        <x:v>0.0827073242</x:v>
      </x:c>
      <x:c r="AH303" s="39" t="n">
        <x:v>-0.0280254271</x:v>
      </x:c>
      <x:c r="AI303" s="39" t="n">
        <x:v>-0.0631103974</x:v>
      </x:c>
      <x:c r="AJ303" s="39" t="n">
        <x:v>-0.0324562173</x:v>
      </x:c>
      <x:c r="AK303" s="39" t="n">
        <x:v>-0.0354184726</x:v>
      </x:c>
      <x:c r="AL303" s="39" t="n">
        <x:v>-0.1032966911</x:v>
      </x:c>
      <x:c r="AM303" s="39" t="n">
        <x:v>0.0414760947</x:v>
      </x:c>
      <x:c r="AN303" s="39" t="n">
        <x:v>-0.014479246</x:v>
      </x:c>
      <x:c r="AO303" s="39" t="n">
        <x:v>0.0745469362</x:v>
      </x:c>
      <x:c r="AP303" s="39" t="n">
        <x:v>0.1038600686</x:v>
      </x:c>
      <x:c r="AQ303" s="39" t="n">
        <x:v>0.0056914165</x:v>
      </x:c>
      <x:c r="AR303" s="39" t="n">
        <x:v>-0.0293641036</x:v>
      </x:c>
      <x:c r="AS303" s="39" t="n">
        <x:v>0.0273251189</x:v>
      </x:c>
    </x:row>
    <x:row r="304" ht="19" customHeight="1">
      <x:c r="A304" s="30" t="str">
        <x:v>SPY</x:v>
      </x:c>
      <x:c r="B304" s="40" t="d">
        <x:v>2024-12-30T00:00:00.000Z</x:v>
      </x:c>
      <x:c r="C304" s="39" t="n">
        <x:v>0.0373701411</x:v>
      </x:c>
      <x:c r="D304" s="39" t="n">
        <x:v>-0.0642916081</x:v>
      </x:c>
      <x:c r="E304" s="39" t="n">
        <x:v>-0.025421196</x:v>
      </x:c>
      <x:c r="F304" s="39" t="n">
        <x:v>0.0142342072</x:v>
      </x:c>
      <x:c r="G304" s="39" t="n">
        <x:v>0.0229300713</x:v>
      </x:c>
      <x:c r="H304" s="39" t="n">
        <x:v>-0.0498178858</x:v>
      </x:c>
      <x:c r="I304" s="39" t="n">
        <x:v>0.0415297902</x:v>
      </x:c>
      <x:c r="J304" s="39" t="n">
        <x:v>-0.0753501019</x:v>
      </x:c>
      <x:c r="K304" s="39" t="n">
        <x:v>0.0226658155</x:v>
      </x:c>
      <x:c r="L304" s="39" t="n">
        <x:v>-0.101507848</x:v>
      </x:c>
      <x:c r="M304" s="39" t="n">
        <x:v>-0.0390278208</x:v>
      </x:c>
      <x:c r="N304" s="39" t="n">
        <x:v>0.0404441417</x:v>
      </x:c>
      <x:c r="O304" s="39" t="n">
        <x:v>-0.0702327345</x:v>
      </x:c>
      <x:c r="P304" s="39" t="n">
        <x:v>-0.0436000667</x:v>
      </x:c>
      <x:c r="Q304" s="39" t="n">
        <x:v>0.0926330806</x:v>
      </x:c>
      <x:c r="R304" s="39" t="n">
        <x:v>-0.1066939002</x:v>
      </x:c>
      <x:c r="S304" s="39" t="n">
        <x:v>0.0131569558</x:v>
      </x:c>
      <x:c r="T304" s="39" t="n">
        <x:v>0.0477464261</x:v>
      </x:c>
      <x:c r="U304" s="39" t="n">
        <x:v>0.0319479643</x:v>
      </x:c>
      <x:c r="V304" s="39" t="n">
        <x:v>-0.1483567837</x:v>
      </x:c>
      <x:c r="W304" s="39" t="n">
        <x:v>-0.0357950802</x:v>
      </x:c>
      <x:c r="X304" s="39" t="n">
        <x:v>-0.1096885896</x:v>
      </x:c>
      <x:c r="Y304" s="39" t="n">
        <x:v>-0.0570939123</x:v>
      </x:c>
      <x:c r="Z304" s="39" t="n">
        <x:v>0.0060744941</x:v>
      </x:c>
      <x:c r="AA304" s="39" t="n">
        <x:v>-0.0629828931</x:v>
      </x:c>
      <x:c r="AB304" s="39" t="n">
        <x:v>-0.04262828</x:v>
      </x:c>
      <x:c r="AC304" s="39" t="n">
        <x:v>-0.1124864871</x:v>
      </x:c>
      <x:c r="AD304" s="39" t="n">
        <x:v>-0.0237259081</x:v>
      </x:c>
      <x:c r="AE304" s="39" t="n">
        <x:v>0.0179638934</x:v>
      </x:c>
      <x:c r="AF304" s="39" t="n">
        <x:v>-0.0841401255</x:v>
      </x:c>
      <x:c r="AG304" s="39" t="n">
        <x:v>0.2145845337</x:v>
      </x:c>
      <x:c r="AH304" s="39" t="n">
        <x:v>0.0359529873</x:v>
      </x:c>
      <x:c r="AI304" s="39" t="n">
        <x:v>-0.0066554868</x:v>
      </x:c>
      <x:c r="AJ304" s="39" t="n">
        <x:v>-0.0759701484</x:v>
      </x:c>
      <x:c r="AK304" s="39" t="n">
        <x:v>-0.0173272968</x:v>
      </x:c>
      <x:c r="AL304" s="39" t="n">
        <x:v>0.1020142248</x:v>
      </x:c>
      <x:c r="AM304" s="39" t="n">
        <x:v>-0.0126872911</x:v>
      </x:c>
      <x:c r="AN304" s="39" t="n">
        <x:v>0.1794022564</x:v>
      </x:c>
      <x:c r="AO304" s="39" t="n">
        <x:v>-0.0640119716</x:v>
      </x:c>
      <x:c r="AP304" s="39" t="n">
        <x:v>-0.0699488161</x:v>
      </x:c>
      <x:c r="AQ304" s="39" t="n">
        <x:v>0.0095887609</x:v>
      </x:c>
      <x:c r="AR304" s="39" t="n">
        <x:v>-0.0380018618</x:v>
      </x:c>
      <x:c r="AS304" s="39" t="n">
        <x:v>-0.0273115971</x:v>
      </x:c>
    </x:row>
    <x:row r="305" ht="19" customHeight="1">
      <x:c r="A305" s="30" t="str">
        <x:v>SPY</x:v>
      </x:c>
      <x:c r="B305" s="40" t="d">
        <x:v>2025-01-27T00:00:00.000Z</x:v>
      </x:c>
      <x:c r="C305" s="39" t="n">
        <x:v>0.0070181612</x:v>
      </x:c>
      <x:c r="D305" s="39" t="n">
        <x:v>-0.0394749353</x:v>
      </x:c>
      <x:c r="E305" s="39" t="n">
        <x:v>0.0698280161</x:v>
      </x:c>
      <x:c r="F305" s="39" t="n">
        <x:v>0.051938194</x:v>
      </x:c>
      <x:c r="G305" s="39" t="n">
        <x:v>0.0101380833</x:v>
      </x:c>
      <x:c r="H305" s="39" t="n">
        <x:v>-0.0379838913</x:v>
      </x:c>
      <x:c r="I305" s="39" t="n">
        <x:v>0.0505301306</x:v>
      </x:c>
      <x:c r="J305" s="39" t="n">
        <x:v>-0.0991216305</x:v>
      </x:c>
      <x:c r="K305" s="39" t="n">
        <x:v>-0.011425158</x:v>
      </x:c>
      <x:c r="L305" s="39" t="n">
        <x:v>0.0672386483</x:v>
      </x:c>
      <x:c r="M305" s="39" t="n">
        <x:v>0.0380089258</x:v>
      </x:c>
      <x:c r="N305" s="39" t="n">
        <x:v>0.1144232113</x:v>
      </x:c>
      <x:c r="O305" s="39" t="n">
        <x:v>0.1515205642</x:v>
      </x:c>
      <x:c r="P305" s="39" t="n">
        <x:v>-0.0457052689</x:v>
      </x:c>
      <x:c r="Q305" s="39" t="n">
        <x:v>-0.1070580285</x:v>
      </x:c>
      <x:c r="R305" s="39" t="n">
        <x:v>0.1487766737</x:v>
      </x:c>
      <x:c r="S305" s="39" t="n">
        <x:v>0.010553031</x:v>
      </x:c>
      <x:c r="T305" s="39" t="n">
        <x:v>0.1936298185</x:v>
      </x:c>
      <x:c r="U305" s="39" t="n">
        <x:v>-0.0907872869</x:v>
      </x:c>
      <x:c r="V305" s="39" t="n">
        <x:v>0.0720249941</x:v>
      </x:c>
      <x:c r="W305" s="39" t="n">
        <x:v>0.1135455745</x:v>
      </x:c>
      <x:c r="X305" s="39" t="n">
        <x:v>-0.1316490896</x:v>
      </x:c>
      <x:c r="Y305" s="39" t="n">
        <x:v>-0.0497326452</x:v>
      </x:c>
      <x:c r="Z305" s="39" t="n">
        <x:v>0.1156779925</x:v>
      </x:c>
      <x:c r="AA305" s="39" t="n">
        <x:v>0.0317353024</x:v>
      </x:c>
      <x:c r="AB305" s="39" t="n">
        <x:v>-0.5771810304</x:v>
      </x:c>
      <x:c r="AC305" s="39" t="n">
        <x:v>0.0012702798</x:v>
      </x:c>
      <x:c r="AD305" s="39" t="n">
        <x:v>0.0061318503</x:v>
      </x:c>
      <x:c r="AE305" s="39" t="n">
        <x:v>-0.0007635829</x:v>
      </x:c>
      <x:c r="AF305" s="39" t="n">
        <x:v>-0.0767928572</x:v>
      </x:c>
      <x:c r="AG305" s="39" t="n">
        <x:v>0.0317256455</x:v>
      </x:c>
      <x:c r="AH305" s="39" t="n">
        <x:v>0.0462213883</x:v>
      </x:c>
      <x:c r="AI305" s="39" t="n">
        <x:v>-0.1536991107</x:v>
      </x:c>
      <x:c r="AJ305" s="39" t="n">
        <x:v>0.0177158378</x:v>
      </x:c>
      <x:c r="AK305" s="39" t="n">
        <x:v>0.0719474805</x:v>
      </x:c>
      <x:c r="AL305" s="39" t="n">
        <x:v>0.0057125949</x:v>
      </x:c>
      <x:c r="AM305" s="39" t="n">
        <x:v>-0.0463787409</x:v>
      </x:c>
      <x:c r="AN305" s="39" t="n">
        <x:v>0.0435442426</x:v>
      </x:c>
      <x:c r="AO305" s="39" t="n">
        <x:v>0.0636211616</x:v>
      </x:c>
      <x:c r="AP305" s="39" t="n">
        <x:v>0.0586034134</x:v>
      </x:c>
      <x:c r="AQ305" s="39" t="n">
        <x:v>0.0195089472</x:v>
      </x:c>
      <x:c r="AR305" s="39" t="n">
        <x:v>0.0537202394</x:v>
      </x:c>
      <x:c r="AS305" s="39" t="n">
        <x:v>0.0264893522</x:v>
      </x:c>
    </x:row>
    <x:row r="306" ht="19" customHeight="1">
      <x:c r="A306" s="30" t="str">
        <x:v>SPY</x:v>
      </x:c>
      <x:c r="B306" s="40" t="d">
        <x:v>2025-02-24T00:00:00.000Z</x:v>
      </x:c>
      <x:c r="C306" s="39" t="n">
        <x:v>-0.2859660454</x:v>
      </x:c>
      <x:c r="D306" s="39" t="n">
        <x:v>-0.1160843109</x:v>
      </x:c>
      <x:c r="E306" s="39" t="n">
        <x:v>0.1064406187</x:v>
      </x:c>
      <x:c r="F306" s="39" t="n">
        <x:v>0.0983863547</x:v>
      </x:c>
      <x:c r="G306" s="39" t="n">
        <x:v>0.0465676064</x:v>
      </x:c>
      <x:c r="H306" s="39" t="n">
        <x:v>-0.0732865424</x:v>
      </x:c>
      <x:c r="I306" s="39" t="n">
        <x:v>-0.1059753239</x:v>
      </x:c>
      <x:c r="J306" s="39" t="n">
        <x:v>-0.2399214348</x:v>
      </x:c>
      <x:c r="K306" s="39" t="n">
        <x:v>0.063667692</x:v>
      </x:c>
      <x:c r="L306" s="39" t="n">
        <x:v>-0.0524473807</x:v>
      </x:c>
      <x:c r="M306" s="39" t="n">
        <x:v>-0.1894081192</x:v>
      </x:c>
      <x:c r="N306" s="39" t="n">
        <x:v>-0.0143147293</x:v>
      </x:c>
      <x:c r="O306" s="39" t="n">
        <x:v>-0.0050775978</x:v>
      </x:c>
      <x:c r="P306" s="39" t="n">
        <x:v>0.0042952992</x:v>
      </x:c>
      <x:c r="Q306" s="39" t="n">
        <x:v>0.2256416417</x:v>
      </x:c>
      <x:c r="R306" s="39" t="n">
        <x:v>0.0601579896</x:v>
      </x:c>
      <x:c r="S306" s="39" t="n">
        <x:v>0.0836612571</x:v>
      </x:c>
      <x:c r="T306" s="39" t="n">
        <x:v>0.072959903</x:v>
      </x:c>
      <x:c r="U306" s="39" t="n">
        <x:v>-0.2841053057</x:v>
      </x:c>
      <x:c r="V306" s="39" t="n">
        <x:v>-0.2608674235</x:v>
      </x:c>
      <x:c r="W306" s="39" t="n">
        <x:v>0.0289298373</x:v>
      </x:c>
      <x:c r="X306" s="39" t="n">
        <x:v>0.0983157678</x:v>
      </x:c>
      <x:c r="Y306" s="39" t="n">
        <x:v>0.042811313</x:v>
      </x:c>
      <x:c r="Z306" s="39" t="n">
        <x:v>0.0083911321</x:v>
      </x:c>
      <x:c r="AA306" s="39" t="n">
        <x:v>0.1660226982</x:v>
      </x:c>
      <x:c r="AB306" s="39" t="n">
        <x:v>-0.3794467848</x:v>
      </x:c>
      <x:c r="AC306" s="39" t="n">
        <x:v>0.1215131583</x:v>
      </x:c>
      <x:c r="AD306" s="39" t="n">
        <x:v>0.0706438635</x:v>
      </x:c>
      <x:c r="AE306" s="39" t="n">
        <x:v>-0.0003788359</x:v>
      </x:c>
      <x:c r="AF306" s="39" t="n">
        <x:v>-0.0781579388</x:v>
      </x:c>
      <x:c r="AG306" s="39" t="n">
        <x:v>0.0153163734</x:v>
      </x:c>
      <x:c r="AH306" s="39" t="n">
        <x:v>-0.1464154869</x:v>
      </x:c>
      <x:c r="AI306" s="39" t="n">
        <x:v>-0.1476433082</x:v>
      </x:c>
      <x:c r="AJ306" s="39" t="n">
        <x:v>0.1501256368</x:v>
      </x:c>
      <x:c r="AK306" s="39" t="n">
        <x:v>0.1514146985</x:v>
      </x:c>
      <x:c r="AL306" s="39" t="n">
        <x:v>0.0723731116</x:v>
      </x:c>
      <x:c r="AM306" s="39" t="n">
        <x:v>-0.0256490442</x:v>
      </x:c>
      <x:c r="AN306" s="39" t="n">
        <x:v>-0.2097629826</x:v>
      </x:c>
      <x:c r="AO306" s="39" t="n">
        <x:v>0.0929905132</x:v>
      </x:c>
      <x:c r="AP306" s="39" t="n">
        <x:v>-0.0248692521</x:v>
      </x:c>
      <x:c r="AQ306" s="39" t="n">
        <x:v>0.1430709998</x:v>
      </x:c>
      <x:c r="AR306" s="39" t="n">
        <x:v>0.102519214</x:v>
      </x:c>
      <x:c r="AS306" s="39" t="n">
        <x:v>0.1157171412</x:v>
      </x:c>
    </x:row>
    <x:row r="307" ht="19" customHeight="1">
      <x:c r="A307" s="30" t="str">
        <x:v>SPY</x:v>
      </x:c>
      <x:c r="B307" s="40" t="d">
        <x:v>2025-03-24T00:00:00.000Z</x:v>
      </x:c>
      <x:c r="C307" s="39" t="n">
        <x:v>-0.071146238</x:v>
      </x:c>
      <x:c r="D307" s="39" t="n">
        <x:v>-0.1322923527</x:v>
      </x:c>
      <x:c r="E307" s="39" t="n">
        <x:v>-0.0064753834</x:v>
      </x:c>
      <x:c r="F307" s="39" t="n">
        <x:v>-0.0245684374</x:v>
      </x:c>
      <x:c r="G307" s="39" t="n">
        <x:v>-0.1067062139</x:v>
      </x:c>
      <x:c r="H307" s="39" t="n">
        <x:v>-0.0587427476</x:v>
      </x:c>
      <x:c r="I307" s="39" t="n">
        <x:v>0.0200158643</x:v>
      </x:c>
      <x:c r="J307" s="39" t="n">
        <x:v>-0.1161149038</x:v>
      </x:c>
      <x:c r="K307" s="39" t="n">
        <x:v>-0.1126339556</x:v>
      </x:c>
      <x:c r="L307" s="39" t="n">
        <x:v>-0.0283177546</x:v>
      </x:c>
      <x:c r="M307" s="39" t="n">
        <x:v>-0.128353106</x:v>
      </x:c>
      <x:c r="N307" s="39" t="n">
        <x:v>-0.0949108665</x:v>
      </x:c>
      <x:c r="O307" s="39" t="n">
        <x:v>-0.0606933853</x:v>
      </x:c>
      <x:c r="P307" s="39" t="n">
        <x:v>-0.1717205945</x:v>
      </x:c>
      <x:c r="Q307" s="39" t="n">
        <x:v>-0.0394406219</x:v>
      </x:c>
      <x:c r="R307" s="39" t="n">
        <x:v>-0.1696902206</x:v>
      </x:c>
      <x:c r="S307" s="39" t="n">
        <x:v>0.0218121918</x:v>
      </x:c>
      <x:c r="T307" s="39" t="n">
        <x:v>-0.1968206261</x:v>
      </x:c>
      <x:c r="U307" s="39" t="n">
        <x:v>-0.0403011244</x:v>
      </x:c>
      <x:c r="V307" s="39" t="n">
        <x:v>0.085199858</x:v>
      </x:c>
      <x:c r="W307" s="39" t="n">
        <x:v>0.0317578428</x:v>
      </x:c>
      <x:c r="X307" s="39" t="n">
        <x:v>0.0151259421</x:v>
      </x:c>
      <x:c r="Y307" s="39" t="n">
        <x:v>-0.0159397385</x:v>
      </x:c>
      <x:c r="Z307" s="39" t="n">
        <x:v>0.0631669538</x:v>
      </x:c>
      <x:c r="AA307" s="39" t="n">
        <x:v>-0.0031428583</x:v>
      </x:c>
      <x:c r="AB307" s="39" t="n">
        <x:v>0.2612253</x:v>
      </x:c>
      <x:c r="AC307" s="39" t="n">
        <x:v>-0.1847029067</x:v>
      </x:c>
      <x:c r="AD307" s="39" t="n">
        <x:v>-0.0336617951</x:v>
      </x:c>
      <x:c r="AE307" s="39" t="n">
        <x:v>0.0547856477</x:v>
      </x:c>
      <x:c r="AF307" s="39" t="n">
        <x:v>-0.1890096527</x:v>
      </x:c>
      <x:c r="AG307" s="39" t="n">
        <x:v>0.0095043907</x:v>
      </x:c>
      <x:c r="AH307" s="39" t="n">
        <x:v>0.1224956062</x:v>
      </x:c>
      <x:c r="AI307" s="39" t="n">
        <x:v>0.1808168011</x:v>
      </x:c>
      <x:c r="AJ307" s="39" t="n">
        <x:v>-0.1298135555</x:v>
      </x:c>
      <x:c r="AK307" s="39" t="n">
        <x:v>-0.0122325381</x:v>
      </x:c>
      <x:c r="AL307" s="39" t="n">
        <x:v>0.1573421516</x:v>
      </x:c>
      <x:c r="AM307" s="39" t="n">
        <x:v>0.0573987638</x:v>
      </x:c>
      <x:c r="AN307" s="39" t="n">
        <x:v>-0.0590142957</x:v>
      </x:c>
      <x:c r="AO307" s="39" t="n">
        <x:v>-0.1399787943</x:v>
      </x:c>
      <x:c r="AP307" s="39" t="n">
        <x:v>-0.0749870649</x:v>
      </x:c>
      <x:c r="AQ307" s="39" t="n">
        <x:v>-0.028959924</x:v>
      </x:c>
      <x:c r="AR307" s="39" t="n">
        <x:v>-0.0419941616</x:v>
      </x:c>
      <x:c r="AS307" s="39" t="n">
        <x:v>0.0283721888</x:v>
      </x:c>
    </x:row>
    <x:row r="308" ht="19" customHeight="1">
      <x:c r="A308" s="30" t="str">
        <x:v>SPY</x:v>
      </x:c>
      <x:c r="B308" s="40" t="d">
        <x:v>2025-04-21T00:00:00.000Z</x:v>
      </x:c>
      <x:c r="C308" s="39" t="n">
        <x:v>0.0797854279</x:v>
      </x:c>
      <x:c r="D308" s="39" t="n">
        <x:v>-0.0291413492</x:v>
      </x:c>
      <x:c r="E308" s="39" t="n">
        <x:v>-0.0281125001</x:v>
      </x:c>
      <x:c r="F308" s="39" t="n">
        <x:v>-0.0031263718</x:v>
      </x:c>
      <x:c r="G308" s="39" t="n">
        <x:v>-0.1008106664</x:v>
      </x:c>
      <x:c r="H308" s="39" t="n">
        <x:v>0.0414109644</x:v>
      </x:c>
      <x:c r="I308" s="39" t="n">
        <x:v>0.0046793153</x:v>
      </x:c>
      <x:c r="J308" s="39" t="n">
        <x:v>0.2099252846</x:v>
      </x:c>
      <x:c r="K308" s="39" t="n">
        <x:v>-0.1284633501</x:v>
      </x:c>
      <x:c r="L308" s="39" t="n">
        <x:v>-0.2176934724</x:v>
      </x:c>
      <x:c r="M308" s="39" t="n">
        <x:v>-0.0128600685</x:v>
      </x:c>
      <x:c r="N308" s="39" t="n">
        <x:v>-0.0014261698</x:v>
      </x:c>
      <x:c r="O308" s="39" t="n">
        <x:v>-0.0003433423</x:v>
      </x:c>
      <x:c r="P308" s="39" t="n">
        <x:v>-0.0430558649</x:v>
      </x:c>
      <x:c r="Q308" s="39" t="n">
        <x:v>0.0259529435</x:v>
      </x:c>
      <x:c r="R308" s="39" t="n">
        <x:v>-0.1251770411</x:v>
      </x:c>
      <x:c r="S308" s="39" t="n">
        <x:v>-0.0044413748</x:v>
      </x:c>
      <x:c r="T308" s="39" t="n">
        <x:v>0.0723511877</x:v>
      </x:c>
      <x:c r="U308" s="39" t="n">
        <x:v>-0.2275828058</x:v>
      </x:c>
      <x:c r="V308" s="39" t="n">
        <x:v>0.159170534</x:v>
      </x:c>
      <x:c r="W308" s="39" t="n">
        <x:v>0.2345614319</x:v>
      </x:c>
      <x:c r="X308" s="39" t="n">
        <x:v>-0.1111162082</x:v>
      </x:c>
      <x:c r="Y308" s="39" t="n">
        <x:v>-0.1881810983</x:v>
      </x:c>
      <x:c r="Z308" s="39" t="n">
        <x:v>0.0581497289</x:v>
      </x:c>
      <x:c r="AA308" s="39" t="n">
        <x:v>-0.0717184506</x:v>
      </x:c>
      <x:c r="AB308" s="39" t="n">
        <x:v>-0.3030019705</x:v>
      </x:c>
      <x:c r="AC308" s="39" t="n">
        <x:v>0.1107829031</x:v>
      </x:c>
      <x:c r="AD308" s="39" t="n">
        <x:v>-0.0605468883</x:v>
      </x:c>
      <x:c r="AE308" s="39" t="n">
        <x:v>0.0089459454</x:v>
      </x:c>
      <x:c r="AF308" s="39" t="n">
        <x:v>0.0381739181</x:v>
      </x:c>
      <x:c r="AG308" s="39" t="n">
        <x:v>0.0038172661</x:v>
      </x:c>
      <x:c r="AH308" s="39" t="n">
        <x:v>0.0692538828</x:v>
      </x:c>
      <x:c r="AI308" s="39" t="n">
        <x:v>-0.1028479228</x:v>
      </x:c>
      <x:c r="AJ308" s="39" t="n">
        <x:v>0.0803668573</x:v>
      </x:c>
      <x:c r="AK308" s="39" t="n">
        <x:v>-0.0958210719</x:v>
      </x:c>
      <x:c r="AL308" s="39" t="n">
        <x:v>-0.0719452952</x:v>
      </x:c>
      <x:c r="AM308" s="39" t="n">
        <x:v>0.0664413161</x:v>
      </x:c>
      <x:c r="AN308" s="39" t="n">
        <x:v>0.0468735378</x:v>
      </x:c>
      <x:c r="AO308" s="39" t="n">
        <x:v>0.0455797291</x:v>
      </x:c>
      <x:c r="AP308" s="39" t="n">
        <x:v>-0.0068224595</x:v>
      </x:c>
      <x:c r="AQ308" s="39" t="n">
        <x:v>-0.0016293202</x:v>
      </x:c>
      <x:c r="AR308" s="39" t="n">
        <x:v>-0.1015451116</x:v>
      </x:c>
      <x:c r="AS308" s="39" t="n">
        <x:v>-0.0066188877</x:v>
      </x:c>
    </x:row>
    <x:row r="309" ht="19" customHeight="1">
      <x:c r="A309" s="30" t="str">
        <x:v>SPY</x:v>
      </x:c>
      <x:c r="B309" s="40" t="d">
        <x:v>2025-05-19T00:00:00.000Z</x:v>
      </x:c>
      <x:c r="C309" s="39" t="n">
        <x:v>0.2082038812</x:v>
      </x:c>
      <x:c r="D309" s="39" t="n">
        <x:v>0.0157460256</x:v>
      </x:c>
      <x:c r="E309" s="39" t="n">
        <x:v>-0.0660577729</x:v>
      </x:c>
      <x:c r="F309" s="39" t="n">
        <x:v>-0.0528191821</x:v>
      </x:c>
      <x:c r="G309" s="39" t="n">
        <x:v>0.1842675977</x:v>
      </x:c>
      <x:c r="H309" s="39" t="n">
        <x:v>-0.0837175586</x:v>
      </x:c>
      <x:c r="I309" s="39" t="n">
        <x:v>-0.0155492407</x:v>
      </x:c>
      <x:c r="J309" s="39" t="n">
        <x:v>0.086164804</x:v>
      </x:c>
      <x:c r="K309" s="39" t="n">
        <x:v>0.1444965466</x:v>
      </x:c>
      <x:c r="L309" s="39" t="n">
        <x:v>0.1470950699</x:v>
      </x:c>
      <x:c r="M309" s="39" t="n">
        <x:v>0.1844970955</x:v>
      </x:c>
      <x:c r="N309" s="39" t="n">
        <x:v>0.1419484754</x:v>
      </x:c>
      <x:c r="O309" s="39" t="n">
        <x:v>0.0670288997</x:v>
      </x:c>
      <x:c r="P309" s="39" t="n">
        <x:v>0.1085735204</x:v>
      </x:c>
      <x:c r="Q309" s="39" t="n">
        <x:v>-0.0448701684</x:v>
      </x:c>
      <x:c r="R309" s="39" t="n">
        <x:v>-0.2333427017</x:v>
      </x:c>
      <x:c r="S309" s="39" t="n">
        <x:v>0.0672132872</x:v>
      </x:c>
      <x:c r="T309" s="39" t="n">
        <x:v>0.2474086037</x:v>
      </x:c>
      <x:c r="U309" s="39" t="n">
        <x:v>-0.0913906782</x:v>
      </x:c>
      <x:c r="V309" s="39" t="n">
        <x:v>0.1790204373</x:v>
      </x:c>
      <x:c r="W309" s="39" t="n">
        <x:v>0.0326744923</x:v>
      </x:c>
      <x:c r="X309" s="39" t="n">
        <x:v>-0.0024511915</x:v>
      </x:c>
      <x:c r="Y309" s="39" t="n">
        <x:v>0.0391247095</x:v>
      </x:c>
      <x:c r="Z309" s="39" t="n">
        <x:v>-0.0770003033</x:v>
      </x:c>
      <x:c r="AA309" s="39" t="n">
        <x:v>0.0351359064</x:v>
      </x:c>
      <x:c r="AB309" s="39" t="n">
        <x:v>0.0646881177</x:v>
      </x:c>
      <x:c r="AC309" s="39" t="n">
        <x:v>-0.2277069292</x:v>
      </x:c>
      <x:c r="AD309" s="39" t="n">
        <x:v>0.0053737037</x:v>
      </x:c>
      <x:c r="AE309" s="39" t="n">
        <x:v>-0.0333375027</x:v>
      </x:c>
      <x:c r="AF309" s="39" t="n">
        <x:v>-0.0065758824</x:v>
      </x:c>
      <x:c r="AG309" s="39" t="n">
        <x:v>0.0958624091</x:v>
      </x:c>
      <x:c r="AH309" s="39" t="n">
        <x:v>-0.0282878614</x:v>
      </x:c>
      <x:c r="AI309" s="39" t="n">
        <x:v>-0.0050073301</x:v>
      </x:c>
      <x:c r="AJ309" s="39" t="n">
        <x:v>-0.32800137</x:v>
      </x:c>
      <x:c r="AK309" s="39" t="n">
        <x:v>-0.0379548483</x:v>
      </x:c>
      <x:c r="AL309" s="39" t="n">
        <x:v>0.032928002</x:v>
      </x:c>
      <x:c r="AM309" s="39" t="n">
        <x:v>0.1019152743</x:v>
      </x:c>
      <x:c r="AN309" s="39" t="n">
        <x:v>-0.0486514291</x:v>
      </x:c>
      <x:c r="AO309" s="39" t="n">
        <x:v>-0.0089474771</x:v>
      </x:c>
      <x:c r="AP309" s="39" t="n">
        <x:v>-0.0392465851</x:v>
      </x:c>
      <x:c r="AQ309" s="39" t="n">
        <x:v>-0.0340774474</x:v>
      </x:c>
      <x:c r="AR309" s="39" t="n">
        <x:v>-0.0317366614</x:v>
      </x:c>
      <x:c r="AS309" s="39" t="n">
        <x:v>-0.1022708476</x:v>
      </x:c>
    </x:row>
    <x:row r="310" ht="19" customHeight="1">
      <x:c r="A310" s="30" t="str">
        <x:v>SPY</x:v>
      </x:c>
      <x:c r="B310" s="40" t="d">
        <x:v>2025-06-16T00:00:00.000Z</x:v>
      </x:c>
      <x:c r="C310" s="39" t="n">
        <x:v>0.1572564477</x:v>
      </x:c>
      <x:c r="D310" s="39" t="n">
        <x:v>0.0015586964</x:v>
      </x:c>
      <x:c r="E310" s="39" t="n">
        <x:v>-0.024514994</x:v>
      </x:c>
      <x:c r="F310" s="39" t="n">
        <x:v>-0.0544269842</x:v>
      </x:c>
      <x:c r="G310" s="39" t="n">
        <x:v>0.0683542759</x:v>
      </x:c>
      <x:c r="H310" s="39" t="n">
        <x:v>0.0404173356</x:v>
      </x:c>
      <x:c r="I310" s="39" t="n">
        <x:v>0.0052501249</x:v>
      </x:c>
      <x:c r="J310" s="39" t="n">
        <x:v>0.0008770322</x:v>
      </x:c>
      <x:c r="K310" s="39" t="n">
        <x:v>0.094746131</x:v>
      </x:c>
      <x:c r="L310" s="39" t="n">
        <x:v>0.09839509</x:v>
      </x:c>
      <x:c r="M310" s="39" t="n">
        <x:v>0.1593557508</x:v>
      </x:c>
      <x:c r="N310" s="39" t="n">
        <x:v>-0.0436590028</x:v>
      </x:c>
      <x:c r="O310" s="39" t="n">
        <x:v>-0.0243531657</x:v>
      </x:c>
      <x:c r="P310" s="39" t="n">
        <x:v>0.1420708182</x:v>
      </x:c>
      <x:c r="Q310" s="39" t="n">
        <x:v>0.0849791861</x:v>
      </x:c>
      <x:c r="R310" s="39" t="n">
        <x:v>-0.0962608598</x:v>
      </x:c>
      <x:c r="S310" s="39" t="n">
        <x:v>-0.0484328436</x:v>
      </x:c>
      <x:c r="T310" s="39" t="n">
        <x:v>0.1031559506</x:v>
      </x:c>
      <x:c r="U310" s="39" t="n">
        <x:v>-0.0099302745</x:v>
      </x:c>
      <x:c r="V310" s="39" t="n">
        <x:v>0.0343825368</x:v>
      </x:c>
      <x:c r="W310" s="39" t="n">
        <x:v>0.016623394</x:v>
      </x:c>
      <x:c r="X310" s="39" t="n">
        <x:v>0.0045908185</x:v>
      </x:c>
      <x:c r="Y310" s="39" t="n">
        <x:v>0.2914135076</x:v>
      </x:c>
      <x:c r="Z310" s="39" t="n">
        <x:v>0.1105728641</x:v>
      </x:c>
      <x:c r="AA310" s="39" t="n">
        <x:v>-0.0940255575</x:v>
      </x:c>
      <x:c r="AB310" s="39" t="n">
        <x:v>0.0500634167</x:v>
      </x:c>
      <x:c r="AC310" s="39" t="n">
        <x:v>0.2742416004</x:v>
      </x:c>
      <x:c r="AD310" s="39" t="n">
        <x:v>-0.0645692441</x:v>
      </x:c>
      <x:c r="AE310" s="39" t="n">
        <x:v>-0.000621848</x:v>
      </x:c>
      <x:c r="AF310" s="39" t="n">
        <x:v>-0.0125896458</x:v>
      </x:c>
      <x:c r="AG310" s="39" t="n">
        <x:v>-0.0404622524</x:v>
      </x:c>
      <x:c r="AH310" s="39" t="n">
        <x:v>0.0684464229</x:v>
      </x:c>
      <x:c r="AI310" s="39" t="n">
        <x:v>0.1169078167</x:v>
      </x:c>
      <x:c r="AJ310" s="39" t="n">
        <x:v>0.0536242805</x:v>
      </x:c>
      <x:c r="AK310" s="39" t="n">
        <x:v>-0.0107373915</x:v>
      </x:c>
      <x:c r="AL310" s="39" t="n">
        <x:v>-0.1030847098</x:v>
      </x:c>
      <x:c r="AM310" s="39" t="n">
        <x:v>0.0326998027</x:v>
      </x:c>
      <x:c r="AN310" s="39" t="n">
        <x:v>-0.0609419716</x:v>
      </x:c>
      <x:c r="AO310" s="39" t="n">
        <x:v>-0.0614775788</x:v>
      </x:c>
      <x:c r="AP310" s="39" t="n">
        <x:v>-0.0614578643</x:v>
      </x:c>
      <x:c r="AQ310" s="39" t="n">
        <x:v>-0.0571715989</x:v>
      </x:c>
      <x:c r="AR310" s="39" t="n">
        <x:v>-0.0249353074</x:v>
      </x:c>
      <x:c r="AS310" s="39" t="n">
        <x:v>-0.0653400589</x:v>
      </x:c>
    </x:row>
    <x:row r="311" ht="19" customHeight="1">
      <x:c r="A311" s="30" t="str">
        <x:v>SPY</x:v>
      </x:c>
      <x:c r="B311" s="40" t="d">
        <x:v>2025-07-14T00:00:00.000Z</x:v>
      </x:c>
      <x:c r="C311" s="39" t="n">
        <x:v>-0.0367536958</x:v>
      </x:c>
      <x:c r="D311" s="39" t="n">
        <x:v>-0.2178698474</x:v>
      </x:c>
      <x:c r="E311" s="39" t="n">
        <x:v>0.0495194204</x:v>
      </x:c>
      <x:c r="F311" s="39" t="n">
        <x:v>0.051471371</x:v>
      </x:c>
      <x:c r="G311" s="39" t="n">
        <x:v>-0.0262339371</x:v>
      </x:c>
      <x:c r="H311" s="39" t="n">
        <x:v>-0.0226331997</x:v>
      </x:c>
      <x:c r="I311" s="39" t="n">
        <x:v>-0.0064347582</x:v>
      </x:c>
      <x:c r="J311" s="39" t="n">
        <x:v>0.0006785505</x:v>
      </x:c>
      <x:c r="K311" s="39" t="n">
        <x:v>0.0014736525</x:v>
      </x:c>
      <x:c r="L311" s="39" t="n">
        <x:v>0.024041568</x:v>
      </x:c>
      <x:c r="M311" s="39" t="n">
        <x:v>-0.092860164</x:v>
      </x:c>
      <x:c r="N311" s="39" t="n">
        <x:v>0.0151598116</x:v>
      </x:c>
      <x:c r="O311" s="39" t="n">
        <x:v>-0.008531123</x:v>
      </x:c>
      <x:c r="P311" s="39" t="n">
        <x:v>0.0216478452</x:v>
      </x:c>
      <x:c r="Q311" s="39" t="n">
        <x:v>-0.0925143759</x:v>
      </x:c>
      <x:c r="R311" s="39" t="n">
        <x:v>-0.0173376824</x:v>
      </x:c>
      <x:c r="S311" s="39" t="n">
        <x:v>-0.009662418</x:v>
      </x:c>
      <x:c r="T311" s="39" t="n">
        <x:v>0.0142759316</x:v>
      </x:c>
      <x:c r="U311" s="39" t="n">
        <x:v>0.2296661167</x:v>
      </x:c>
      <x:c r="V311" s="39" t="n">
        <x:v>-0.1192347269</x:v>
      </x:c>
      <x:c r="W311" s="39" t="n">
        <x:v>-0.0969841065</x:v>
      </x:c>
      <x:c r="X311" s="39" t="n">
        <x:v>-0.0051036435</x:v>
      </x:c>
      <x:c r="Y311" s="39" t="n">
        <x:v>-0.2701954957</x:v>
      </x:c>
      <x:c r="Z311" s="39" t="n">
        <x:v>-0.0466954483</x:v>
      </x:c>
      <x:c r="AA311" s="39" t="n">
        <x:v>-0.109512964</x:v>
      </x:c>
      <x:c r="AB311" s="39" t="n">
        <x:v>0.252472495</x:v>
      </x:c>
      <x:c r="AC311" s="39" t="n">
        <x:v>0.2578230497</x:v>
      </x:c>
      <x:c r="AD311" s="39" t="n">
        <x:v>-0.0554964357</x:v>
      </x:c>
      <x:c r="AE311" s="39" t="n">
        <x:v>-0.0155872206</x:v>
      </x:c>
      <x:c r="AF311" s="39" t="n">
        <x:v>0.1107779603</x:v>
      </x:c>
      <x:c r="AG311" s="39" t="n">
        <x:v>0.1293163363</x:v>
      </x:c>
      <x:c r="AH311" s="39" t="n">
        <x:v>0.104868113</x:v>
      </x:c>
      <x:c r="AI311" s="39" t="n">
        <x:v>0.0909372783</x:v>
      </x:c>
      <x:c r="AJ311" s="39" t="n">
        <x:v>-0.0343071298</x:v>
      </x:c>
      <x:c r="AK311" s="39" t="n">
        <x:v>0.0102981723</x:v>
      </x:c>
      <x:c r="AL311" s="39" t="n">
        <x:v>-0.1861838385</x:v>
      </x:c>
      <x:c r="AM311" s="39" t="n">
        <x:v>-0.0041221259</x:v>
      </x:c>
      <x:c r="AN311" s="39" t="n">
        <x:v>0.0405893857</x:v>
      </x:c>
      <x:c r="AO311" s="39" t="n">
        <x:v>-0.0916217191</x:v>
      </x:c>
      <x:c r="AP311" s="39" t="n">
        <x:v>-0.0200007733</x:v>
      </x:c>
      <x:c r="AQ311" s="39" t="n">
        <x:v>-0.0057226841</x:v>
      </x:c>
      <x:c r="AR311" s="39" t="n">
        <x:v>0.1077406764</x:v>
      </x:c>
      <x:c r="AS311" s="39" t="n">
        <x:v>-0.0609382896</x:v>
      </x:c>
    </x:row>
    <x:row r="312" ht="19" customHeight="1">
      <x:c r="A312" s="30" t="str">
        <x:v>SPY</x:v>
      </x:c>
      <x:c r="B312" s="40" t="d">
        <x:v>2025-08-11T00:00:00.000Z</x:v>
      </x:c>
      <x:c r="C312" s="39" t="n">
        <x:v>-0.0202064806</x:v>
      </x:c>
      <x:c r="D312" s="39" t="n">
        <x:v>-0.1313909351</x:v>
      </x:c>
      <x:c r="E312" s="39" t="n">
        <x:v>0.0648498528</x:v>
      </x:c>
      <x:c r="F312" s="39" t="n">
        <x:v>0.029217394</x:v>
      </x:c>
      <x:c r="G312" s="39" t="n">
        <x:v>-0.0850262289</x:v>
      </x:c>
      <x:c r="H312" s="39" t="n">
        <x:v>-0.2856744466</x:v>
      </x:c>
      <x:c r="I312" s="39" t="n">
        <x:v>-0.0151787088</x:v>
      </x:c>
      <x:c r="J312" s="39" t="n">
        <x:v>0.2212150571</x:v>
      </x:c>
      <x:c r="K312" s="39" t="n">
        <x:v>-0.0586939889</x:v>
      </x:c>
      <x:c r="L312" s="39" t="n">
        <x:v>-0.1067147209</x:v>
      </x:c>
      <x:c r="M312" s="39" t="n">
        <x:v>-0.1015129234</x:v>
      </x:c>
      <x:c r="N312" s="39" t="n">
        <x:v>-0.0524062688</x:v>
      </x:c>
      <x:c r="O312" s="39" t="n">
        <x:v>0.0209320218</x:v>
      </x:c>
      <x:c r="P312" s="39" t="n">
        <x:v>0.0701545443</x:v>
      </x:c>
      <x:c r="Q312" s="39" t="n">
        <x:v>0.1886420321</x:v>
      </x:c>
      <x:c r="R312" s="39" t="n">
        <x:v>0.0099842453</x:v>
      </x:c>
      <x:c r="S312" s="39" t="n">
        <x:v>-0.0061631997</x:v>
      </x:c>
      <x:c r="T312" s="39" t="n">
        <x:v>-0.0354328903</x:v>
      </x:c>
      <x:c r="U312" s="39" t="n">
        <x:v>-0.1263057688</x:v>
      </x:c>
      <x:c r="V312" s="39" t="n">
        <x:v>-0.0466049286</x:v>
      </x:c>
      <x:c r="W312" s="39" t="n">
        <x:v>0.0035216019</x:v>
      </x:c>
      <x:c r="X312" s="39" t="n">
        <x:v>-0.0311805388</x:v>
      </x:c>
      <x:c r="Y312" s="39" t="n">
        <x:v>0.0104383841</x:v>
      </x:c>
      <x:c r="Z312" s="39" t="n">
        <x:v>0.2561627427</x:v>
      </x:c>
      <x:c r="AA312" s="39" t="n">
        <x:v>-0.0128490775</x:v>
      </x:c>
      <x:c r="AB312" s="39" t="n">
        <x:v>0.041142156</x:v>
      </x:c>
      <x:c r="AC312" s="39" t="n">
        <x:v>-0.3246337256</x:v>
      </x:c>
      <x:c r="AD312" s="39" t="n">
        <x:v>-0.0088625246</x:v>
      </x:c>
      <x:c r="AE312" s="39" t="n">
        <x:v>0.0382309926</x:v>
      </x:c>
      <x:c r="AF312" s="39" t="n">
        <x:v>-0.0546104805</x:v>
      </x:c>
      <x:c r="AG312" s="39" t="n">
        <x:v>0.0335960352</x:v>
      </x:c>
      <x:c r="AH312" s="39" t="n">
        <x:v>0.0742517417</x:v>
      </x:c>
      <x:c r="AI312" s="39" t="n">
        <x:v>0.1039654762</x:v>
      </x:c>
      <x:c r="AJ312" s="39" t="n">
        <x:v>-0.1626825269</x:v>
      </x:c>
      <x:c r="AK312" s="39" t="n">
        <x:v>0.018821346</x:v>
      </x:c>
      <x:c r="AL312" s="39" t="n">
        <x:v>-0.1963099282</x:v>
      </x:c>
      <x:c r="AM312" s="39" t="n">
        <x:v>-0.0132074339</x:v>
      </x:c>
      <x:c r="AN312" s="39" t="n">
        <x:v>0.0969534647</x:v>
      </x:c>
      <x:c r="AO312" s="39" t="n">
        <x:v>0.0155403475</x:v>
      </x:c>
      <x:c r="AP312" s="39" t="n">
        <x:v>0.1332700658</x:v>
      </x:c>
      <x:c r="AQ312" s="39" t="n">
        <x:v>-0.0033873235</x:v>
      </x:c>
      <x:c r="AR312" s="39" t="n">
        <x:v>0.099589134</x:v>
      </x:c>
      <x:c r="AS312" s="39" t="n">
        <x:v>-0.0006562827</x:v>
      </x:c>
    </x:row>
    <x:row r="313" ht="19" customHeight="1">
      <x:c r="A313" s="30" t="str">
        <x:v>SPY</x:v>
      </x:c>
      <x:c r="B313" s="40" t="d">
        <x:v>2025-09-08T00:00:00.000Z</x:v>
      </x:c>
      <x:c r="C313" s="39" t="n">
        <x:v>0.0390213663</x:v>
      </x:c>
      <x:c r="D313" s="39" t="n">
        <x:v>-0.2460022645</x:v>
      </x:c>
      <x:c r="E313" s="39" t="n">
        <x:v>-0.0595207904</x:v>
      </x:c>
      <x:c r="F313" s="39" t="n">
        <x:v>-0.0028562724</x:v>
      </x:c>
      <x:c r="G313" s="39" t="n">
        <x:v>-0.0292178131</x:v>
      </x:c>
      <x:c r="H313" s="39" t="n">
        <x:v>-0.215358212</x:v>
      </x:c>
      <x:c r="I313" s="39" t="n">
        <x:v>-0.0551902463</x:v>
      </x:c>
      <x:c r="J313" s="39" t="n">
        <x:v>0.0405201555</x:v>
      </x:c>
      <x:c r="K313" s="39" t="n">
        <x:v>0.2660637462</x:v>
      </x:c>
      <x:c r="L313" s="39" t="n">
        <x:v>0.162969909</x:v>
      </x:c>
      <x:c r="M313" s="39" t="n">
        <x:v>-0.0124197656</x:v>
      </x:c>
      <x:c r="N313" s="39" t="n">
        <x:v>-0.0191104692</x:v>
      </x:c>
      <x:c r="O313" s="39" t="n">
        <x:v>-0.0144412522</x:v>
      </x:c>
      <x:c r="P313" s="39" t="n">
        <x:v>0.258475766</x:v>
      </x:c>
      <x:c r="Q313" s="39" t="n">
        <x:v>-0.0379521269</x:v>
      </x:c>
      <x:c r="R313" s="39" t="n">
        <x:v>0.1427211762</x:v>
      </x:c>
      <x:c r="S313" s="39" t="n">
        <x:v>-0.0752239568</x:v>
      </x:c>
      <x:c r="T313" s="39" t="n">
        <x:v>0.0813833725</x:v>
      </x:c>
      <x:c r="U313" s="39" t="n">
        <x:v>-0.2941357963</x:v>
      </x:c>
      <x:c r="V313" s="39" t="n">
        <x:v>-0.0355005217</x:v>
      </x:c>
      <x:c r="W313" s="39" t="n">
        <x:v>-0.0834795926</x:v>
      </x:c>
      <x:c r="X313" s="39" t="n">
        <x:v>-0.0411698187</x:v>
      </x:c>
      <x:c r="Y313" s="39" t="n">
        <x:v>0.251353468</x:v>
      </x:c>
      <x:c r="Z313" s="39" t="n">
        <x:v>0.1108863447</x:v>
      </x:c>
      <x:c r="AA313" s="39" t="n">
        <x:v>-0.0095457755</x:v>
      </x:c>
      <x:c r="AB313" s="39" t="n">
        <x:v>-0.0315819905</x:v>
      </x:c>
      <x:c r="AC313" s="39" t="n">
        <x:v>-0.0582798229</x:v>
      </x:c>
      <x:c r="AD313" s="39" t="n">
        <x:v>0.0074025574</x:v>
      </x:c>
      <x:c r="AE313" s="39" t="n">
        <x:v>-0.0370170738</x:v>
      </x:c>
      <x:c r="AF313" s="39" t="n">
        <x:v>0.1657558099</x:v>
      </x:c>
      <x:c r="AG313" s="39" t="n">
        <x:v>-0.1740054178</x:v>
      </x:c>
      <x:c r="AH313" s="39" t="n">
        <x:v>0.0131104368</x:v>
      </x:c>
      <x:c r="AI313" s="39" t="n">
        <x:v>-0.2620211193</x:v>
      </x:c>
      <x:c r="AJ313" s="39" t="n">
        <x:v>0.0721960843</x:v>
      </x:c>
      <x:c r="AK313" s="39" t="n">
        <x:v>-0.0003513668</x:v>
      </x:c>
      <x:c r="AL313" s="39" t="n">
        <x:v>0.0640936816</x:v>
      </x:c>
      <x:c r="AM313" s="39" t="n">
        <x:v>-0.0599588918</x:v>
      </x:c>
      <x:c r="AN313" s="39" t="n">
        <x:v>0.1724080019</x:v>
      </x:c>
      <x:c r="AO313" s="39" t="n">
        <x:v>-0.0431161235</x:v>
      </x:c>
      <x:c r="AP313" s="39" t="n">
        <x:v>0.0538531231</x:v>
      </x:c>
      <x:c r="AQ313" s="39" t="n">
        <x:v>-0.0903610531</x:v>
      </x:c>
      <x:c r="AR313" s="39" t="n">
        <x:v>-0.000592179</x:v>
      </x:c>
      <x:c r="AS313" s="39" t="n">
        <x:v>0.0220300849</x:v>
      </x:c>
    </x:row>
    <x:row r="314" ht="19" customHeight="1">
      <x:c r="A314" s="30" t="str">
        <x:v>SPY</x:v>
      </x:c>
      <x:c r="B314" s="40" t="d">
        <x:v>2025-10-06T00:00:00.000Z</x:v>
      </x:c>
      <x:c r="C314" s="39" t="n">
        <x:v>-0.0955921235</x:v>
      </x:c>
      <x:c r="D314" s="39" t="n">
        <x:v>0.0201443397</x:v>
      </x:c>
      <x:c r="E314" s="39" t="n">
        <x:v>0.1013054378</x:v>
      </x:c>
      <x:c r="F314" s="39" t="n">
        <x:v>0.0675577887</x:v>
      </x:c>
      <x:c r="G314" s="39" t="n">
        <x:v>-0.0496220021</x:v>
      </x:c>
      <x:c r="H314" s="39" t="n">
        <x:v>0.0712751113</x:v>
      </x:c>
      <x:c r="I314" s="39" t="n">
        <x:v>-0.0551576448</x:v>
      </x:c>
      <x:c r="J314" s="39" t="n">
        <x:v>0.10821252</x:v>
      </x:c>
      <x:c r="K314" s="39" t="n">
        <x:v>0.180950967</x:v>
      </x:c>
      <x:c r="L314" s="39" t="n">
        <x:v>-0.0181142874</x:v>
      </x:c>
      <x:c r="M314" s="39" t="n">
        <x:v>0.0005411015</x:v>
      </x:c>
      <x:c r="N314" s="39" t="n">
        <x:v>0.093698489</x:v>
      </x:c>
      <x:c r="O314" s="39" t="n">
        <x:v>-0.0503276681</x:v>
      </x:c>
      <x:c r="P314" s="39" t="n">
        <x:v>0.2496794501</x:v>
      </x:c>
      <x:c r="Q314" s="39" t="n">
        <x:v>0.1042874748</x:v>
      </x:c>
      <x:c r="R314" s="39" t="n">
        <x:v>0.0647783985</x:v>
      </x:c>
      <x:c r="S314" s="39" t="n">
        <x:v>0.0499635533</x:v>
      </x:c>
      <x:c r="T314" s="39" t="n">
        <x:v>-0.052544356</x:v>
      </x:c>
      <x:c r="U314" s="39" t="n">
        <x:v>0.23387167</x:v>
      </x:c>
      <x:c r="V314" s="39" t="n">
        <x:v>-0.1078587384</x:v>
      </x:c>
      <x:c r="W314" s="39" t="n">
        <x:v>0.0499582764</x:v>
      </x:c>
      <x:c r="X314" s="39" t="n">
        <x:v>-0.1194851031</x:v>
      </x:c>
      <x:c r="Y314" s="39" t="n">
        <x:v>0.2183279322</x:v>
      </x:c>
      <x:c r="Z314" s="39" t="n">
        <x:v>0.139674826</x:v>
      </x:c>
      <x:c r="AA314" s="39" t="n">
        <x:v>-0.0548355385</x:v>
      </x:c>
      <x:c r="AB314" s="39" t="n">
        <x:v>0.6324414404</x:v>
      </x:c>
      <x:c r="AC314" s="39" t="n">
        <x:v>-0.3136748174</x:v>
      </x:c>
      <x:c r="AD314" s="39" t="n">
        <x:v>-0.0589770086</x:v>
      </x:c>
      <x:c r="AE314" s="39" t="n">
        <x:v>0.0036110889</x:v>
      </x:c>
      <x:c r="AF314" s="39" t="n">
        <x:v>-0.0180561084</x:v>
      </x:c>
      <x:c r="AG314" s="39" t="n">
        <x:v>0.0061089726</x:v>
      </x:c>
      <x:c r="AH314" s="39" t="n">
        <x:v>0.0533835833</x:v>
      </x:c>
      <x:c r="AI314" s="39" t="n">
        <x:v>0.4660908738</x:v>
      </x:c>
      <x:c r="AJ314" s="39" t="n">
        <x:v>0.1225435776</x:v>
      </x:c>
      <x:c r="AK314" s="39" t="n">
        <x:v>-0.0225749796</x:v>
      </x:c>
      <x:c r="AL314" s="39" t="n">
        <x:v>0.2399762731</x:v>
      </x:c>
      <x:c r="AM314" s="39" t="n">
        <x:v>0.0167853491</x:v>
      </x:c>
      <x:c r="AN314" s="39" t="n">
        <x:v>-0.0078865082</x:v>
      </x:c>
      <x:c r="AO314" s="39" t="n">
        <x:v>-0.0482147402</x:v>
      </x:c>
      <x:c r="AP314" s="39" t="n">
        <x:v>-0.1430588332</x:v>
      </x:c>
      <x:c r="AQ314" s="39" t="n">
        <x:v>0.0171554511</x:v>
      </x:c>
      <x:c r="AR314" s="39" t="n">
        <x:v>0.0933858264</x:v>
      </x:c>
      <x:c r="AS314" s="39" t="n">
        <x:v>-0.0109212323</x:v>
      </x:c>
    </x:row>
    <x:row r="315" ht="19" customHeight="1">
      <x:c r="A315" s="30" t="str">
        <x:v>SPY</x:v>
      </x:c>
      <x:c r="B315" s="40" t="d">
        <x:v>2025-11-03T00:00:00.000Z</x:v>
      </x:c>
      <x:c r="C315" s="39" t="n">
        <x:v>-0.0991534722</x:v>
      </x:c>
      <x:c r="D315" s="39" t="n">
        <x:v>0.3373287044</x:v>
      </x:c>
      <x:c r="E315" s="39" t="n">
        <x:v>0.0502388763</x:v>
      </x:c>
      <x:c r="F315" s="39" t="n">
        <x:v>0.0045664619</x:v>
      </x:c>
      <x:c r="G315" s="39" t="n">
        <x:v>0.0025828782</x:v>
      </x:c>
      <x:c r="H315" s="39" t="n">
        <x:v>-0.3864155377</x:v>
      </x:c>
      <x:c r="I315" s="39" t="n">
        <x:v>0.1230959338</x:v>
      </x:c>
      <x:c r="J315" s="39" t="n">
        <x:v>0.1609309655</x:v>
      </x:c>
      <x:c r="K315" s="39" t="n">
        <x:v>0.2928453427</x:v>
      </x:c>
      <x:c r="L315" s="39" t="n">
        <x:v>0.1254511623</x:v>
      </x:c>
      <x:c r="M315" s="39" t="n">
        <x:v>-0.0933274477</x:v>
      </x:c>
      <x:c r="N315" s="39" t="n">
        <x:v>-0.0471275697</x:v>
      </x:c>
      <x:c r="O315" s="39" t="n">
        <x:v>-0.2535589406</x:v>
      </x:c>
      <x:c r="P315" s="39" t="n">
        <x:v>0.426846722</x:v>
      </x:c>
      <x:c r="Q315" s="39" t="n">
        <x:v>-0.096174246</x:v>
      </x:c>
      <x:c r="R315" s="39" t="n">
        <x:v>0.3404757773</x:v>
      </x:c>
      <x:c r="S315" s="39" t="n">
        <x:v>0.0259603643</x:v>
      </x:c>
      <x:c r="T315" s="39" t="n">
        <x:v>0.0558202124</x:v>
      </x:c>
      <x:c r="U315" s="39" t="n">
        <x:v>-0.0980986315</x:v>
      </x:c>
      <x:c r="V315" s="39" t="n">
        <x:v>-0.2695883764</x:v>
      </x:c>
      <x:c r="W315" s="39" t="n">
        <x:v>-0.1790806195</x:v>
      </x:c>
      <x:c r="X315" s="39" t="n">
        <x:v>-0.0914205573</x:v>
      </x:c>
      <x:c r="Y315" s="39" t="n">
        <x:v>0.320398746</x:v>
      </x:c>
      <x:c r="Z315" s="39" t="n">
        <x:v>-0.0073005171</x:v>
      </x:c>
      <x:c r="AA315" s="39" t="n">
        <x:v>-0.1612033611</x:v>
      </x:c>
      <x:c r="AB315" s="39" t="n">
        <x:v>0.1432067495</x:v>
      </x:c>
      <x:c r="AC315" s="39" t="n">
        <x:v>-0.3901929238</x:v>
      </x:c>
      <x:c r="AD315" s="39" t="n">
        <x:v>-0.0180989628</x:v>
      </x:c>
      <x:c r="AE315" s="39" t="n">
        <x:v>0.2132332182</x:v>
      </x:c>
      <x:c r="AF315" s="39" t="n">
        <x:v>-0.1208932065</x:v>
      </x:c>
      <x:c r="AG315" s="39" t="n">
        <x:v>-0.114664828</x:v>
      </x:c>
      <x:c r="AH315" s="39" t="n">
        <x:v>0.1464665829</x:v>
      </x:c>
      <x:c r="AI315" s="39" t="n">
        <x:v>0.0480927218</x:v>
      </x:c>
      <x:c r="AJ315" s="39" t="n">
        <x:v>0.1132758611</x:v>
      </x:c>
      <x:c r="AK315" s="39" t="n">
        <x:v>0.177379082</x:v>
      </x:c>
      <x:c r="AL315" s="39" t="n">
        <x:v>0.3208036115</x:v>
      </x:c>
      <x:c r="AM315" s="39" t="n">
        <x:v>-0.086876522</x:v>
      </x:c>
      <x:c r="AN315" s="39" t="n">
        <x:v>0.1967982211</x:v>
      </x:c>
      <x:c r="AO315" s="39" t="n">
        <x:v>-0.0262229814</x:v>
      </x:c>
      <x:c r="AP315" s="39" t="n">
        <x:v>-0.0314444063</x:v>
      </x:c>
      <x:c r="AQ315" s="39" t="n">
        <x:v>0.0703835778</x:v>
      </x:c>
      <x:c r="AR315" s="39" t="n">
        <x:v>-0.0352705534</x:v>
      </x:c>
      <x:c r="AS315" s="39" t="n">
        <x:v>0.0186971968</x:v>
      </x:c>
    </x:row>
    <x:row r="316" ht="19" customHeight="1">
      <x:c r="A316" s="30" t="str">
        <x:v>SPY</x:v>
      </x:c>
      <x:c r="B316" s="40" t="d">
        <x:v>2025-12-01T00:00:00.000Z</x:v>
      </x:c>
      <x:c r="C316" s="39" t="n">
        <x:v>-0.2421436017</x:v>
      </x:c>
      <x:c r="D316" s="39" t="n">
        <x:v>0.0463182125</x:v>
      </x:c>
      <x:c r="E316" s="39" t="n">
        <x:v>-0.0779785586</x:v>
      </x:c>
      <x:c r="F316" s="39" t="n">
        <x:v>-0.0572405674</x:v>
      </x:c>
      <x:c r="G316" s="39" t="n">
        <x:v>-0.1268783441</x:v>
      </x:c>
      <x:c r="H316" s="39" t="n">
        <x:v>0.101344594</x:v>
      </x:c>
      <x:c r="I316" s="39" t="n">
        <x:v>-0.1319037248</x:v>
      </x:c>
      <x:c r="J316" s="39" t="n">
        <x:v>-0.0593954206</x:v>
      </x:c>
      <x:c r="K316" s="39" t="n">
        <x:v>-0.1135171135</x:v>
      </x:c>
      <x:c r="L316" s="39" t="n">
        <x:v>-0.0301709744</x:v>
      </x:c>
      <x:c r="M316" s="39" t="n">
        <x:v>-0.0741871735</x:v>
      </x:c>
      <x:c r="N316" s="39" t="n">
        <x:v>0.0448701628</x:v>
      </x:c>
      <x:c r="O316" s="39" t="n">
        <x:v>0.063191947</x:v>
      </x:c>
      <x:c r="P316" s="39" t="n">
        <x:v>-0.091624201</x:v>
      </x:c>
      <x:c r="Q316" s="39" t="n">
        <x:v>0.0320879376</x:v>
      </x:c>
      <x:c r="R316" s="39" t="n">
        <x:v>-0.0901924156</x:v>
      </x:c>
      <x:c r="S316" s="39" t="n">
        <x:v>-0.0624750315</x:v>
      </x:c>
      <x:c r="T316" s="39" t="n">
        <x:v>-0.2708730092</x:v>
      </x:c>
      <x:c r="U316" s="39" t="n">
        <x:v>0.0840588485</x:v>
      </x:c>
      <x:c r="V316" s="39" t="n">
        <x:v>-0.1710653893</x:v>
      </x:c>
      <x:c r="W316" s="39" t="n">
        <x:v>-0.1673879192</x:v>
      </x:c>
      <x:c r="X316" s="39" t="n">
        <x:v>-0.0500228785</x:v>
      </x:c>
      <x:c r="Y316" s="39" t="n">
        <x:v>-0.1576619801</x:v>
      </x:c>
      <x:c r="Z316" s="39" t="n">
        <x:v>-0.0257351945</x:v>
      </x:c>
      <x:c r="AA316" s="39" t="n">
        <x:v>0.0209354673</x:v>
      </x:c>
      <x:c r="AB316" s="39" t="n">
        <x:v>0.1192960567</x:v>
      </x:c>
      <x:c r="AC316" s="39" t="n">
        <x:v>0.2391433135</x:v>
      </x:c>
      <x:c r="AD316" s="39" t="n">
        <x:v>-0.0742349118</x:v>
      </x:c>
      <x:c r="AE316" s="39" t="n">
        <x:v>-0.120692231</x:v>
      </x:c>
      <x:c r="AF316" s="39" t="n">
        <x:v>-0.0618167421</x:v>
      </x:c>
      <x:c r="AG316" s="39" t="n">
        <x:v>-0.0348547546</x:v>
      </x:c>
      <x:c r="AH316" s="39" t="n">
        <x:v>-0.0827743046</x:v>
      </x:c>
      <x:c r="AI316" s="39" t="n">
        <x:v>-0.2372703981</x:v>
      </x:c>
      <x:c r="AJ316" s="39" t="n">
        <x:v>0.0993094492</x:v>
      </x:c>
      <x:c r="AK316" s="39" t="n">
        <x:v>0.0358129277</x:v>
      </x:c>
      <x:c r="AL316" s="39" t="n">
        <x:v>-0.213534331</x:v>
      </x:c>
      <x:c r="AM316" s="39" t="n">
        <x:v>-0.0745091417</x:v>
      </x:c>
      <x:c r="AN316" s="39" t="n">
        <x:v>0.1256543621</x:v>
      </x:c>
      <x:c r="AO316" s="39" t="n">
        <x:v>-0.0964316842</x:v>
      </x:c>
      <x:c r="AP316" s="39" t="n">
        <x:v>-0.1060732961</x:v>
      </x:c>
      <x:c r="AQ316" s="39" t="n">
        <x:v>-0.0480539685</x:v>
      </x:c>
      <x:c r="AR316" s="39" t="n">
        <x:v>0.0930013811</x:v>
      </x:c>
      <x:c r="AS316" s="39" t="n">
        <x:v>-0.0201654396</x:v>
      </x:c>
    </x:row>
    <x:row r="317" ht="19" customHeight="1">
      <x:c r="A317" s="30" t="str">
        <x:v>SPY</x:v>
      </x:c>
      <x:c r="B317" s="40" t="d">
        <x:v>2025-12-29T00:00:00.000Z</x:v>
      </x:c>
      <x:c r="C317" s="39" t="n">
        <x:v>-0.0275749816</x:v>
      </x:c>
      <x:c r="D317" s="39" t="n">
        <x:v>-0.1005378774</x:v>
      </x:c>
      <x:c r="E317" s="39" t="n">
        <x:v>-0.0386745082</x:v>
      </x:c>
      <x:c r="F317" s="39" t="n">
        <x:v>-0.0156940534</x:v>
      </x:c>
      <x:c r="G317" s="39" t="n">
        <x:v>0.105323843</x:v>
      </x:c>
      <x:c r="H317" s="39" t="n">
        <x:v>0.1452016654</x:v>
      </x:c>
      <x:c r="I317" s="39" t="n">
        <x:v>-0.0069131639</x:v>
      </x:c>
      <x:c r="J317" s="39" t="n">
        <x:v>-0.0476596073</x:v>
      </x:c>
      <x:c r="K317" s="39" t="n">
        <x:v>-0.0114904185</x:v>
      </x:c>
      <x:c r="L317" s="39" t="n">
        <x:v>-0.1064736928</x:v>
      </x:c>
      <x:c r="M317" s="39" t="n">
        <x:v>0.017094604</x:v>
      </x:c>
      <x:c r="N317" s="39" t="n">
        <x:v>-0.0155777222</x:v>
      </x:c>
      <x:c r="O317" s="39" t="n">
        <x:v>0.0181337758</x:v>
      </x:c>
      <x:c r="P317" s="39" t="n">
        <x:v>0.112114488</x:v>
      </x:c>
      <x:c r="Q317" s="39" t="n">
        <x:v>0.0418355749</x:v>
      </x:c>
      <x:c r="R317" s="39" t="n">
        <x:v>0.0160181616</x:v>
      </x:c>
      <x:c r="S317" s="39" t="n">
        <x:v>-0.0161148301</x:v>
      </x:c>
      <x:c r="T317" s="39" t="n">
        <x:v>-0.0467427637</x:v>
      </x:c>
      <x:c r="U317" s="39" t="n">
        <x:v>0.1363414962</x:v>
      </x:c>
      <x:c r="V317" s="39" t="n">
        <x:v>0.0242531543</x:v>
      </x:c>
      <x:c r="W317" s="39" t="n">
        <x:v>-0.1353324645</x:v>
      </x:c>
      <x:c r="X317" s="39" t="n">
        <x:v>0.1080762528</x:v>
      </x:c>
      <x:c r="Y317" s="39" t="n">
        <x:v>0.3733068974</x:v>
      </x:c>
      <x:c r="Z317" s="39" t="n">
        <x:v>0.125736283</x:v>
      </x:c>
      <x:c r="AA317" s="39" t="n">
        <x:v>0.0094368336</x:v>
      </x:c>
      <x:c r="AB317" s="39" t="n">
        <x:v>-0.1552929885</x:v>
      </x:c>
      <x:c r="AC317" s="39" t="n">
        <x:v>0.0159477404</x:v>
      </x:c>
      <x:c r="AD317" s="39" t="n">
        <x:v>-0.0241273572</x:v>
      </x:c>
      <x:c r="AE317" s="39" t="n">
        <x:v>0.0146807404</x:v>
      </x:c>
      <x:c r="AF317" s="39" t="n">
        <x:v>0.0489474776</x:v>
      </x:c>
      <x:c r="AG317" s="39" t="n">
        <x:v>0.1633350736</x:v>
      </x:c>
      <x:c r="AH317" s="39" t="n">
        <x:v>0.1718583073</x:v>
      </x:c>
      <x:c r="AI317" s="39" t="n">
        <x:v>0.016122185</x:v>
      </x:c>
      <x:c r="AJ317" s="39" t="n">
        <x:v>0.0803169471</x:v>
      </x:c>
      <x:c r="AK317" s="39" t="n">
        <x:v>-0.1612822654</x:v>
      </x:c>
      <x:c r="AL317" s="39" t="n">
        <x:v>0.0955589802</x:v>
      </x:c>
      <x:c r="AM317" s="39" t="n">
        <x:v>-0.0238730474</x:v>
      </x:c>
      <x:c r="AN317" s="39" t="n">
        <x:v>-0.0436293173</x:v>
      </x:c>
      <x:c r="AO317" s="39" t="n">
        <x:v>-0.0831427444</x:v>
      </x:c>
      <x:c r="AP317" s="39" t="n">
        <x:v>-0.0397572187</x:v>
      </x:c>
      <x:c r="AQ317" s="39" t="n">
        <x:v>-0.0385594236</x:v>
      </x:c>
      <x:c r="AR317" s="39" t="n">
        <x:v>0.0199837615</x:v>
      </x:c>
      <x:c r="AS317" s="39" t="n">
        <x:v>-0.0359362617</x:v>
      </x:c>
    </x:row>
    <x:row r="318" ht="19" customHeight="1">
      <x:c r="A318" s="30" t="str">
        <x:v>SPY</x:v>
      </x:c>
      <x:c r="B318" s="40" t="d">
        <x:v>2026-01-26T00:00:00.000Z</x:v>
      </x:c>
      <x:c r="C318" s="39" t="n">
        <x:v>-0.0981069289</x:v>
      </x:c>
      <x:c r="D318" s="39" t="n">
        <x:v>0.2835001373</x:v>
      </x:c>
      <x:c r="E318" s="39" t="n">
        <x:v>-0.0098900948</x:v>
      </x:c>
      <x:c r="F318" s="39" t="n">
        <x:v>0.0148622816</x:v>
      </x:c>
      <x:c r="G318" s="39" t="n">
        <x:v>-0.0488179278</x:v>
      </x:c>
      <x:c r="H318" s="39" t="n">
        <x:v>-0.0114391554</x:v>
      </x:c>
      <x:c r="I318" s="39" t="n">
        <x:v>0.0623759606</x:v>
      </x:c>
      <x:c r="J318" s="39" t="n">
        <x:v>0.0436161969</x:v>
      </x:c>
      <x:c r="K318" s="39" t="n">
        <x:v>0.3928123456</x:v>
      </x:c>
      <x:c r="L318" s="39" t="n">
        <x:v>0.1116699363</x:v>
      </x:c>
      <x:c r="M318" s="39" t="n">
        <x:v>0.2132544149</x:v>
      </x:c>
      <x:c r="N318" s="39" t="n">
        <x:v>0.0852770466</x:v>
      </x:c>
      <x:c r="O318" s="39" t="n">
        <x:v>-0.0159440579</x:v>
      </x:c>
      <x:c r="P318" s="39" t="n">
        <x:v>0.2632721874</x:v>
      </x:c>
      <x:c r="Q318" s="39" t="n">
        <x:v>0.0618814308</x:v>
      </x:c>
      <x:c r="R318" s="39" t="n">
        <x:v>0.1453155337</x:v>
      </x:c>
      <x:c r="S318" s="39" t="n">
        <x:v>0.0555211657</x:v>
      </x:c>
      <x:c r="T318" s="39" t="n">
        <x:v>-0.188805724</x:v>
      </x:c>
      <x:c r="U318" s="39" t="n">
        <x:v>0.3816250134</x:v>
      </x:c>
      <x:c r="V318" s="39" t="n">
        <x:v>-0.2578984677</x:v>
      </x:c>
      <x:c r="W318" s="39" t="n">
        <x:v>-0.1428015232</x:v>
      </x:c>
      <x:c r="X318" s="39" t="n">
        <x:v>0.0473974073</x:v>
      </x:c>
      <x:c r="Y318" s="39" t="n">
        <x:v>0.2295636497</x:v>
      </x:c>
      <x:c r="Z318" s="39" t="n">
        <x:v>-0.0605367276</x:v>
      </x:c>
      <x:c r="AA318" s="39" t="n">
        <x:v>-0.0427342182</x:v>
      </x:c>
      <x:c r="AB318" s="39" t="n">
        <x:v>0.2554251346</x:v>
      </x:c>
      <x:c r="AC318" s="39" t="n">
        <x:v>-0.2407200177</x:v>
      </x:c>
      <x:c r="AD318" s="39" t="n">
        <x:v>0.0584093246</x:v>
      </x:c>
      <x:c r="AE318" s="39" t="n">
        <x:v>-0.0761182523</x:v>
      </x:c>
      <x:c r="AF318" s="39" t="n">
        <x:v>-0.2125749667</x:v>
      </x:c>
      <x:c r="AG318" s="39" t="n">
        <x:v>-0.0874188259</x:v>
      </x:c>
      <x:c r="AH318" s="39" t="n">
        <x:v>0.1668420765</x:v>
      </x:c>
      <x:c r="AI318" s="39" t="n">
        <x:v>-0.0631127385</x:v>
      </x:c>
      <x:c r="AJ318" s="39" t="n">
        <x:v>-0.088565438</x:v>
      </x:c>
      <x:c r="AK318" s="39" t="n">
        <x:v>-0.0861796963</x:v>
      </x:c>
      <x:c r="AL318" s="39" t="n">
        <x:v>-0.0481166657</x:v>
      </x:c>
      <x:c r="AM318" s="39" t="n">
        <x:v>-0.1615149969</x:v>
      </x:c>
      <x:c r="AN318" s="39" t="n">
        <x:v>0.0136195694</x:v>
      </x:c>
      <x:c r="AO318" s="39" t="n">
        <x:v>0.0812781614</x:v>
      </x:c>
      <x:c r="AP318" s="39" t="n">
        <x:v>0.0596478584</x:v>
      </x:c>
      <x:c r="AQ318" s="39" t="n">
        <x:v>0.050867893</x:v>
      </x:c>
      <x:c r="AR318" s="39" t="n">
        <x:v>0.0913023459</x:v>
      </x:c>
      <x:c r="AS318" s="39" t="n">
        <x:v>-0.0962763531</x:v>
      </x:c>
    </x:row>
    <x:row r="319" ht="19" customHeight="1">
      <x:c r="A319" s="30" t="str">
        <x:v>SPY</x:v>
      </x:c>
      <x:c r="B319" s="40" t="d">
        <x:v>2026-02-23T00:00:00.000Z</x:v>
      </x:c>
      <x:c r="C319" s="39" t="n">
        <x:v>0.1431981165</x:v>
      </x:c>
      <x:c r="D319" s="39" t="n">
        <x:v>-0.1109947884</x:v>
      </x:c>
      <x:c r="E319" s="39" t="n">
        <x:v>0.1471572143</x:v>
      </x:c>
      <x:c r="F319" s="39" t="n">
        <x:v>0.1726452944</x:v>
      </x:c>
      <x:c r="G319" s="39" t="n">
        <x:v>-0.0944724414</x:v>
      </x:c>
      <x:c r="H319" s="39" t="n">
        <x:v>-0.0814701887</x:v>
      </x:c>
      <x:c r="I319" s="39" t="n">
        <x:v>-0.1663709886</x:v>
      </x:c>
      <x:c r="J319" s="39" t="n">
        <x:v>0.2723749044</x:v>
      </x:c>
      <x:c r="K319" s="39" t="n">
        <x:v>-0.0171650726</x:v>
      </x:c>
      <x:c r="L319" s="39" t="n">
        <x:v>0.1620604647</x:v>
      </x:c>
      <x:c r="M319" s="39" t="n">
        <x:v>0.076085931</x:v>
      </x:c>
      <x:c r="N319" s="39" t="n">
        <x:v>0.0903153658</x:v>
      </x:c>
      <x:c r="O319" s="39" t="n">
        <x:v>0.0841430811</x:v>
      </x:c>
      <x:c r="P319" s="39" t="n">
        <x:v>0.1055017585</x:v>
      </x:c>
      <x:c r="Q319" s="39" t="n">
        <x:v>0.0507556137</x:v>
      </x:c>
      <x:c r="R319" s="39" t="n">
        <x:v>0.0365342849</x:v>
      </x:c>
      <x:c r="S319" s="39" t="n">
        <x:v>0.1212513396</x:v>
      </x:c>
      <x:c r="T319" s="39" t="n">
        <x:v>-0.0378135124</x:v>
      </x:c>
      <x:c r="U319" s="39" t="n">
        <x:v>0.2187268532</x:v>
      </x:c>
      <x:c r="V319" s="39" t="n">
        <x:v>0.1774558485</x:v>
      </x:c>
      <x:c r="W319" s="39" t="n">
        <x:v>0.2371043529</x:v>
      </x:c>
      <x:c r="X319" s="39" t="n">
        <x:v>0.0253315898</x:v>
      </x:c>
      <x:c r="Y319" s="39" t="n">
        <x:v>-0.0825273642</x:v>
      </x:c>
      <x:c r="Z319" s="39" t="n">
        <x:v>0.0974890935</x:v>
      </x:c>
      <x:c r="AA319" s="39" t="n">
        <x:v>0.0353935728</x:v>
      </x:c>
      <x:c r="AB319" s="39" t="n">
        <x:v>-0.0155652108</x:v>
      </x:c>
      <x:c r="AC319" s="39" t="n">
        <x:v>-0.4797697368</x:v>
      </x:c>
      <x:c r="AD319" s="39" t="n">
        <x:v>0.1266049971</x:v>
      </x:c>
      <x:c r="AE319" s="39" t="n">
        <x:v>-0.0119400597</x:v>
      </x:c>
      <x:c r="AF319" s="39" t="n">
        <x:v>-0.0002086602</x:v>
      </x:c>
      <x:c r="AG319" s="39" t="n">
        <x:v>-0.0896666194</x:v>
      </x:c>
      <x:c r="AH319" s="39" t="n">
        <x:v>0.0161660424</x:v>
      </x:c>
      <x:c r="AI319" s="39" t="n">
        <x:v>-0.285764243</x:v>
      </x:c>
      <x:c r="AJ319" s="39" t="n">
        <x:v>0.0103531545</x:v>
      </x:c>
      <x:c r="AK319" s="39" t="n">
        <x:v>0.0988405816</x:v>
      </x:c>
      <x:c r="AL319" s="39" t="n">
        <x:v>0.2878063113</x:v>
      </x:c>
      <x:c r="AM319" s="39" t="n">
        <x:v>-0.1113107009</x:v>
      </x:c>
      <x:c r="AN319" s="39" t="n">
        <x:v>-0.1476405367</x:v>
      </x:c>
      <x:c r="AO319" s="39" t="n">
        <x:v>0.0835999192</x:v>
      </x:c>
      <x:c r="AP319" s="39" t="n">
        <x:v>0.0125567055</x:v>
      </x:c>
      <x:c r="AQ319" s="39" t="n">
        <x:v>0.0926071996</x:v>
      </x:c>
      <x:c r="AR319" s="39" t="n">
        <x:v>0.111164951</x:v>
      </x:c>
      <x:c r="AS319" s="39" t="n">
        <x:v>0.0521260707</x:v>
      </x:c>
    </x:row>
    <x:row r="320" ht="19" customHeight="1">
      <x:c r="A320" s="30" t="str">
        <x:v>SPY</x:v>
      </x:c>
      <x:c r="B320" s="40" t="d">
        <x:v>2026-03-23T00:00:00.000Z</x:v>
      </x:c>
      <x:c r="C320" s="39" t="n">
        <x:v>-0.0574662979</x:v>
      </x:c>
      <x:c r="D320" s="39" t="n">
        <x:v>0.3455524627</x:v>
      </x:c>
      <x:c r="E320" s="39" t="n">
        <x:v>0.001545641</x:v>
      </x:c>
      <x:c r="F320" s="39" t="n">
        <x:v>0.0706663473</x:v>
      </x:c>
      <x:c r="G320" s="39" t="n">
        <x:v>-0.0253263674</x:v>
      </x:c>
      <x:c r="H320" s="39" t="n">
        <x:v>-0.1531217812</x:v>
      </x:c>
      <x:c r="I320" s="39" t="n">
        <x:v>0.120424071</x:v>
      </x:c>
      <x:c r="J320" s="39" t="n">
        <x:v>0.108874842</x:v>
      </x:c>
      <x:c r="K320" s="39" t="n">
        <x:v>0.2511848142</x:v>
      </x:c>
      <x:c r="L320" s="39" t="n">
        <x:v>0.297107556</x:v>
      </x:c>
      <x:c r="M320" s="39" t="n">
        <x:v>0.3981988224</x:v>
      </x:c>
      <x:c r="N320" s="39" t="n">
        <x:v>0.0071496068</x:v>
      </x:c>
      <x:c r="O320" s="39" t="n">
        <x:v>-0.134204127</x:v>
      </x:c>
      <x:c r="P320" s="39" t="n">
        <x:v>0.2295555369</x:v>
      </x:c>
      <x:c r="Q320" s="39" t="n">
        <x:v>-0.0526036281</x:v>
      </x:c>
      <x:c r="R320" s="39" t="n">
        <x:v>0.7511741794</x:v>
      </x:c>
      <x:c r="S320" s="39" t="n">
        <x:v>-0.0743515582</x:v>
      </x:c>
      <x:c r="T320" s="39" t="n">
        <x:v>0.4080930625</x:v>
      </x:c>
      <x:c r="U320" s="39" t="n">
        <x:v>0.0166155752</x:v>
      </x:c>
      <x:c r="V320" s="39" t="n">
        <x:v>-0.2553562605</x:v>
      </x:c>
      <x:c r="W320" s="39" t="n">
        <x:v>0.0860054836</x:v>
      </x:c>
      <x:c r="X320" s="39" t="n">
        <x:v>-0.0482196091</x:v>
      </x:c>
      <x:c r="Y320" s="39" t="n">
        <x:v>0.0336155256</x:v>
      </x:c>
      <x:c r="Z320" s="39" t="n">
        <x:v>-0.2292721846</x:v>
      </x:c>
      <x:c r="AA320" s="39" t="n">
        <x:v>-0.0912455773</x:v>
      </x:c>
      <x:c r="AB320" s="39" t="n">
        <x:v>0.398506878</x:v>
      </x:c>
      <x:c r="AC320" s="39" t="n">
        <x:v>0.2015528207</x:v>
      </x:c>
      <x:c r="AD320" s="39" t="n">
        <x:v>-0.1654228977</x:v>
      </x:c>
      <x:c r="AE320" s="39" t="n">
        <x:v>-0.1297746822</x:v>
      </x:c>
      <x:c r="AF320" s="39" t="n">
        <x:v>0.314986931</x:v>
      </x:c>
      <x:c r="AG320" s="39" t="n">
        <x:v>-0.0934003467</x:v>
      </x:c>
      <x:c r="AH320" s="39" t="n">
        <x:v>-0.2066750288</x:v>
      </x:c>
      <x:c r="AI320" s="39" t="n">
        <x:v>0.3479282576</x:v>
      </x:c>
      <x:c r="AJ320" s="39" t="n">
        <x:v>-0.2490415782</x:v>
      </x:c>
      <x:c r="AK320" s="39" t="n">
        <x:v>-0.0002544548</x:v>
      </x:c>
      <x:c r="AL320" s="39" t="n">
        <x:v>0.1734045943</x:v>
      </x:c>
      <x:c r="AM320" s="39" t="n">
        <x:v>0.0167304898</x:v>
      </x:c>
      <x:c r="AN320" s="39" t="n">
        <x:v>-0.0167061059</x:v>
      </x:c>
      <x:c r="AO320" s="39" t="n">
        <x:v>0.0454725973</x:v>
      </x:c>
      <x:c r="AP320" s="39" t="n">
        <x:v>-0.115862012</x:v>
      </x:c>
      <x:c r="AQ320" s="39" t="n">
        <x:v>-0.0590401899</x:v>
      </x:c>
      <x:c r="AR320" s="39" t="n">
        <x:v>-0.0444272429</x:v>
      </x:c>
      <x:c r="AS320" s="39" t="n">
        <x:v>-0.0709975881</x:v>
      </x:c>
    </x:row>
    <x:row r="321" ht="19" customHeight="1">
      <x:c r="A321" s="30" t="str">
        <x:v>SPY</x:v>
      </x:c>
      <x:c r="B321" s="40" t="d">
        <x:v>2026-04-20T00:00:00.000Z</x:v>
      </x:c>
      <x:c r="C321" s="39" t="n">
        <x:v>-0.1273425968</x:v>
      </x:c>
      <x:c r="D321" s="39" t="n">
        <x:v>-0.0952547315</x:v>
      </x:c>
      <x:c r="E321" s="39" t="n">
        <x:v>-0.0181247816</x:v>
      </x:c>
      <x:c r="F321" s="39" t="n">
        <x:v>-0.0237605501</x:v>
      </x:c>
      <x:c r="G321" s="39" t="n">
        <x:v>-0.0737839547</x:v>
      </x:c>
      <x:c r="H321" s="39" t="n">
        <x:v>-0.0106740222</x:v>
      </x:c>
      <x:c r="I321" s="39" t="n">
        <x:v>0.1499967821</x:v>
      </x:c>
      <x:c r="J321" s="39" t="n">
        <x:v>0.0261181411</x:v>
      </x:c>
      <x:c r="K321" s="39" t="n">
        <x:v>0.190881475</x:v>
      </x:c>
      <x:c r="L321" s="39" t="n">
        <x:v>-0.1332888236</x:v>
      </x:c>
      <x:c r="M321" s="39" t="n">
        <x:v>-0.1118790604</x:v>
      </x:c>
      <x:c r="N321" s="39" t="n">
        <x:v>-0.0957687618</x:v>
      </x:c>
      <x:c r="O321" s="39" t="n">
        <x:v>-0.2116117931</x:v>
      </x:c>
      <x:c r="P321" s="39" t="n">
        <x:v>0.1728881421</x:v>
      </x:c>
      <x:c r="Q321" s="39" t="n">
        <x:v>0.0010626698</x:v>
      </x:c>
      <x:c r="R321" s="39" t="n">
        <x:v>-0.0481837444</x:v>
      </x:c>
      <x:c r="S321" s="39" t="n">
        <x:v>-0.0858165518</x:v>
      </x:c>
      <x:c r="T321" s="39" t="n">
        <x:v>-0.2426078974</x:v>
      </x:c>
      <x:c r="U321" s="39" t="n">
        <x:v>-0.1111788415</x:v>
      </x:c>
      <x:c r="V321" s="39" t="n">
        <x:v>-0.3136421551</x:v>
      </x:c>
      <x:c r="W321" s="39" t="n">
        <x:v>-0.2078995512</x:v>
      </x:c>
      <x:c r="X321" s="39" t="n">
        <x:v>-0.1191359663</x:v>
      </x:c>
      <x:c r="Y321" s="39" t="n">
        <x:v>0.0837808481</x:v>
      </x:c>
      <x:c r="Z321" s="39" t="n">
        <x:v>0.0729676355</x:v>
      </x:c>
      <x:c r="AA321" s="39" t="n">
        <x:v>-0.0367105567</x:v>
      </x:c>
      <x:c r="AB321" s="39" t="n">
        <x:v>0.6149031984</x:v>
      </x:c>
      <x:c r="AC321" s="39" t="n">
        <x:v>0.0304587358</x:v>
      </x:c>
      <x:c r="AD321" s="39" t="n">
        <x:v>-0.0319672938</x:v>
      </x:c>
      <x:c r="AE321" s="39" t="n">
        <x:v>-0.1418898124</x:v>
      </x:c>
      <x:c r="AF321" s="39" t="n">
        <x:v>0.001860715</x:v>
      </x:c>
      <x:c r="AG321" s="39" t="n">
        <x:v>0.0823875483</x:v>
      </x:c>
      <x:c r="AH321" s="39" t="n">
        <x:v>-0.1386171738</x:v>
      </x:c>
      <x:c r="AI321" s="39" t="n">
        <x:v>0.3467893809</x:v>
      </x:c>
      <x:c r="AJ321" s="39" t="n">
        <x:v>-0.0865684624</x:v>
      </x:c>
      <x:c r="AK321" s="39" t="n">
        <x:v>-0.0546120738</x:v>
      </x:c>
      <x:c r="AL321" s="39" t="n">
        <x:v>0.2292771148</x:v>
      </x:c>
      <x:c r="AM321" s="39" t="n">
        <x:v>0.0274576596</x:v>
      </x:c>
      <x:c r="AN321" s="39" t="n">
        <x:v>0.0791224452</x:v>
      </x:c>
      <x:c r="AO321" s="39" t="n">
        <x:v>-0.0958590072</x:v>
      </x:c>
      <x:c r="AP321" s="39" t="n">
        <x:v>-0.1102850077</x:v>
      </x:c>
      <x:c r="AQ321" s="39" t="n">
        <x:v>-0.0575372263</x:v>
      </x:c>
      <x:c r="AR321" s="39" t="n">
        <x:v>-0.1166420233</x:v>
      </x:c>
      <x:c r="AS321" s="39" t="n">
        <x:v>-0.0759649389</x:v>
      </x:c>
    </x:row>
    <x:row r="322" ht="19" customHeight="1">
      <x:c r="A322" s="30" t="str">
        <x:v>SPY</x:v>
      </x:c>
      <x:c r="B322" s="40" t="d">
        <x:v>2026-05-18T00:00:00.000Z</x:v>
      </x:c>
      <x:c r="C322" s="39" t="n">
        <x:v>-0.1681051237</x:v>
      </x:c>
      <x:c r="D322" s="39" t="n">
        <x:v>0.0680733993</x:v>
      </x:c>
      <x:c r="E322" s="39" t="n">
        <x:v>-0.0400328899</x:v>
      </x:c>
      <x:c r="F322" s="39" t="n">
        <x:v>-0.0437145047</x:v>
      </x:c>
      <x:c r="G322" s="39" t="n">
        <x:v>-0.0531494047</x:v>
      </x:c>
      <x:c r="H322" s="39" t="n">
        <x:v>-0.0997187949</x:v>
      </x:c>
      <x:c r="I322" s="39" t="n">
        <x:v>-0.0867539925</x:v>
      </x:c>
      <x:c r="J322" s="39" t="n">
        <x:v>-0.0242469975</x:v>
      </x:c>
      <x:c r="K322" s="39" t="n">
        <x:v>0.3747985492</x:v>
      </x:c>
      <x:c r="L322" s="39" t="n">
        <x:v>0.0564433593</x:v>
      </x:c>
      <x:c r="M322" s="39" t="n">
        <x:v>0.0298266113</x:v>
      </x:c>
      <x:c r="N322" s="39" t="n">
        <x:v>-0.0071747026</x:v>
      </x:c>
      <x:c r="O322" s="39" t="n">
        <x:v>0.000136885</x:v>
      </x:c>
      <x:c r="P322" s="39" t="n">
        <x:v>0.1518248462</x:v>
      </x:c>
      <x:c r="Q322" s="39" t="n">
        <x:v>0.1035161065</x:v>
      </x:c>
      <x:c r="R322" s="39" t="n">
        <x:v>0.6960281942</x:v>
      </x:c>
      <x:c r="S322" s="39" t="n">
        <x:v>0.028008249</x:v>
      </x:c>
      <x:c r="T322" s="39" t="n">
        <x:v>-0.040575825</x:v>
      </x:c>
      <x:c r="U322" s="39" t="n">
        <x:v>-0.1222703933</x:v>
      </x:c>
      <x:c r="V322" s="39" t="n">
        <x:v>-0.1217007227</x:v>
      </x:c>
      <x:c r="W322" s="39" t="n">
        <x:v>-0.1341487019</x:v>
      </x:c>
      <x:c r="X322" s="39" t="n">
        <x:v>-0.1436186833</x:v>
      </x:c>
      <x:c r="Y322" s="39" t="n">
        <x:v>0.5207701514</x:v>
      </x:c>
      <x:c r="Z322" s="39" t="n">
        <x:v>-0.1905995729</x:v>
      </x:c>
      <x:c r="AA322" s="39" t="n">
        <x:v>-0.0362869382</x:v>
      </x:c>
      <x:c r="AB322" s="39" t="n">
        <x:v>-0.2505023639</x:v>
      </x:c>
      <x:c r="AC322" s="39" t="n">
        <x:v>-0.3903296643</x:v>
      </x:c>
      <x:c r="AD322" s="39" t="n">
        <x:v>-0.060093037</x:v>
      </x:c>
      <x:c r="AE322" s="39" t="n">
        <x:v>0.2567962614</x:v>
      </x:c>
      <x:c r="AF322" s="39" t="n">
        <x:v>0.3558165014</x:v>
      </x:c>
      <x:c r="AG322" s="39" t="n">
        <x:v>-0.1344138258</x:v>
      </x:c>
      <x:c r="AH322" s="39" t="n">
        <x:v>-0.169807245</x:v>
      </x:c>
      <x:c r="AI322" s="39" t="n">
        <x:v>0.3156775316</x:v>
      </x:c>
      <x:c r="AJ322" s="39" t="n">
        <x:v>0.2504395059</x:v>
      </x:c>
      <x:c r="AK322" s="39" t="n">
        <x:v>0.0181146995</x:v>
      </x:c>
      <x:c r="AL322" s="39" t="n">
        <x:v>0.5551228214</x:v>
      </x:c>
      <x:c r="AM322" s="39" t="n">
        <x:v>-0.1064288013</x:v>
      </x:c>
      <x:c r="AN322" s="39" t="n">
        <x:v>0.084140535</x:v>
      </x:c>
      <x:c r="AO322" s="39" t="n">
        <x:v>-0.010114193</x:v>
      </x:c>
      <x:c r="AP322" s="39" t="n">
        <x:v>-0.1558362046</x:v>
      </x:c>
      <x:c r="AQ322" s="39" t="n">
        <x:v>0.0827055506</x:v>
      </x:c>
      <x:c r="AR322" s="39" t="n">
        <x:v>0.0400513997</x:v>
      </x:c>
      <x:c r="AS322" s="39" t="n">
        <x:v>0.0344681011</x:v>
      </x:c>
    </x:row>
    <x:row r="323" ht="19" customHeight="1">
      <x:c r="A323" s="30" t="str">
        <x:v>SPY</x:v>
      </x:c>
      <x:c r="B323" s="40" t="d">
        <x:v>2026-06-15T00:00:00.000Z</x:v>
      </x:c>
      <x:c r="C323" s="39" t="n">
        <x:v>0.0546999015</x:v>
      </x:c>
      <x:c r="D323" s="39" t="n">
        <x:v>-0.189585157</x:v>
      </x:c>
      <x:c r="E323" s="39" t="n">
        <x:v>-0.0318082673</x:v>
      </x:c>
      <x:c r="F323" s="39" t="n">
        <x:v>-0.0313171269</x:v>
      </x:c>
      <x:c r="G323" s="39" t="n">
        <x:v>0.0489916375</x:v>
      </x:c>
      <x:c r="H323" s="39" t="n">
        <x:v>0.0142659735</x:v>
      </x:c>
      <x:c r="I323" s="39" t="n">
        <x:v>-0.1379148938</x:v>
      </x:c>
      <x:c r="J323" s="39" t="n">
        <x:v>0.1200658828</x:v>
      </x:c>
      <x:c r="K323" s="39" t="n">
        <x:v>0.4673323125</x:v>
      </x:c>
      <x:c r="L323" s="39" t="n">
        <x:v>-0.0999511195</x:v>
      </x:c>
      <x:c r="M323" s="39" t="n">
        <x:v>-0.2905829373</x:v>
      </x:c>
      <x:c r="N323" s="39" t="n">
        <x:v>-0.1123190349</x:v>
      </x:c>
      <x:c r="O323" s="39" t="n">
        <x:v>0.1718878624</x:v>
      </x:c>
      <x:c r="P323" s="39" t="n">
        <x:v>0.7149505734</x:v>
      </x:c>
      <x:c r="Q323" s="39" t="n">
        <x:v>-0.1028875077</x:v>
      </x:c>
      <x:c r="R323" s="39" t="n">
        <x:v>0.1277445162</x:v>
      </x:c>
      <x:c r="S323" s="39" t="n">
        <x:v>-0.2500250244</x:v>
      </x:c>
      <x:c r="T323" s="39" t="n">
        <x:v>0.037001239</x:v>
      </x:c>
      <x:c r="U323" s="39" t="n">
        <x:v>0.5815923647</x:v>
      </x:c>
      <x:c r="V323" s="39" t="n">
        <x:v>0.1326187161</x:v>
      </x:c>
      <x:c r="W323" s="39" t="n">
        <x:v>-0.2182035871</x:v>
      </x:c>
      <x:c r="X323" s="39" t="n">
        <x:v>-0.1422279239</x:v>
      </x:c>
      <x:c r="Y323" s="39" t="n">
        <x:v>0.6854075338</x:v>
      </x:c>
      <x:c r="Z323" s="39" t="n">
        <x:v>0.0297801846</x:v>
      </x:c>
      <x:c r="AA323" s="39" t="n">
        <x:v>0.0324497185</x:v>
      </x:c>
      <x:c r="AB323" s="39" t="n">
        <x:v>0.2563890739</x:v>
      </x:c>
      <x:c r="AC323" s="39" t="n">
        <x:v>0.229826666</x:v>
      </x:c>
      <x:c r="AD323" s="39" t="n">
        <x:v>0.0891078926</x:v>
      </x:c>
      <x:c r="AE323" s="39" t="n">
        <x:v>-0.0439092314</x:v>
      </x:c>
      <x:c r="AF323" s="39" t="n">
        <x:v>0.3567949354</x:v>
      </x:c>
      <x:c r="AG323" s="39" t="n">
        <x:v>0.0863337998</x:v>
      </x:c>
      <x:c r="AH323" s="39" t="n">
        <x:v>-0.1417255004</x:v>
      </x:c>
      <x:c r="AI323" s="39" t="n">
        <x:v>0.2561861759</x:v>
      </x:c>
      <x:c r="AJ323" s="39" t="n">
        <x:v>0.027937572</x:v>
      </x:c>
      <x:c r="AK323" s="39" t="n">
        <x:v>-0.0561923108</x:v>
      </x:c>
      <x:c r="AL323" s="39" t="n">
        <x:v>-0.225106507</x:v>
      </x:c>
      <x:c r="AM323" s="39" t="n">
        <x:v>-0.1607219483</x:v>
      </x:c>
      <x:c r="AN323" s="39" t="n">
        <x:v>-0.0453828859</x:v>
      </x:c>
      <x:c r="AO323" s="39" t="n">
        <x:v>-0.1113537422</x:v>
      </x:c>
      <x:c r="AP323" s="39" t="n">
        <x:v>0.1443573473</x:v>
      </x:c>
      <x:c r="AQ323" s="39" t="n">
        <x:v>-0.0139833421</x:v>
      </x:c>
      <x:c r="AR323" s="39" t="n">
        <x:v>-0.0273441616</x:v>
      </x:c>
      <x:c r="AS323" s="39" t="n">
        <x:v>0.0177002976</x:v>
      </x:c>
    </x:row>
    <x:row r="324" ht="19" customHeight="1">
      <x:c r="A324" s="30" t="str">
        <x:v>SPY</x:v>
      </x:c>
      <x:c r="B324" s="40" t="d">
        <x:v>2026-07-13T00:00:00.000Z</x:v>
      </x:c>
      <x:c r="C324" s="39" t="n">
        <x:v>-0.088122289</x:v>
      </x:c>
      <x:c r="D324" s="39" t="n">
        <x:v>-0.1474970144</x:v>
      </x:c>
      <x:c r="E324" s="39" t="n">
        <x:v>0.0560625642</x:v>
      </x:c>
      <x:c r="F324" s="39" t="n">
        <x:v>0.023280213</x:v>
      </x:c>
      <x:c r="G324" s="39" t="n">
        <x:v>-0.0575266856</x:v>
      </x:c>
      <x:c r="H324" s="39" t="n">
        <x:v>0.1170315206</x:v>
      </x:c>
      <x:c r="I324" s="39" t="n">
        <x:v>0.0421073073</x:v>
      </x:c>
      <x:c r="J324" s="39" t="n">
        <x:v>-0.2774983798</x:v>
      </x:c>
      <x:c r="K324" s="39" t="n">
        <x:v>-0.5068312433</x:v>
      </x:c>
      <x:c r="L324" s="39" t="n">
        <x:v>0.4114589238</x:v>
      </x:c>
      <x:c r="M324" s="39" t="n">
        <x:v>0.2411794575</x:v>
      </x:c>
      <x:c r="N324" s="39" t="n">
        <x:v>0.1529469866</x:v>
      </x:c>
      <x:c r="O324" s="39" t="n">
        <x:v>-0.0377645354</x:v>
      </x:c>
      <x:c r="P324" s="39" t="n">
        <x:v>-0.7281439068</x:v>
      </x:c>
      <x:c r="Q324" s="39" t="n">
        <x:v>0.2001870627</x:v>
      </x:c>
      <x:c r="R324" s="39" t="n">
        <x:v>-0.6091068671</x:v>
      </x:c>
      <x:c r="S324" s="39" t="n">
        <x:v>-0.0126658753</x:v>
      </x:c>
      <x:c r="T324" s="39" t="n">
        <x:v>0.3493809884</x:v>
      </x:c>
      <x:c r="U324" s="39" t="n">
        <x:v>-0.0287448717</x:v>
      </x:c>
      <x:c r="V324" s="39" t="n">
        <x:v>0.3020913913</x:v>
      </x:c>
      <x:c r="W324" s="39" t="n">
        <x:v>-0.1735364668</x:v>
      </x:c>
      <x:c r="X324" s="39" t="n">
        <x:v>0.1371891436</x:v>
      </x:c>
      <x:c r="Y324" s="39" t="n">
        <x:v>-0.4718226906</x:v>
      </x:c>
      <x:c r="Z324" s="39" t="n">
        <x:v>-0.2259960953</x:v>
      </x:c>
      <x:c r="AA324" s="39" t="n">
        <x:v>0.0182627335</x:v>
      </x:c>
      <x:c r="AB324" s="39" t="n">
        <x:v>0.379994058</x:v>
      </x:c>
      <x:c r="AC324" s="39" t="n">
        <x:v>-0.0921553287</x:v>
      </x:c>
      <x:c r="AD324" s="39" t="n">
        <x:v>0.0067146683</x:v>
      </x:c>
      <x:c r="AE324" s="39" t="n">
        <x:v>0.04319078</x:v>
      </x:c>
      <x:c r="AF324" s="39" t="n">
        <x:v>-0.0596287976</x:v>
      </x:c>
      <x:c r="AG324" s="39" t="n">
        <x:v>-0.0378817596</x:v>
      </x:c>
      <x:c r="AH324" s="39" t="n">
        <x:v>-0.0983583382</x:v>
      </x:c>
      <x:c r="AI324" s="39" t="n">
        <x:v>-0.1053120587</x:v>
      </x:c>
      <x:c r="AJ324" s="39" t="n">
        <x:v>0.0993701035</x:v>
      </x:c>
      <x:c r="AK324" s="39" t="n">
        <x:v>0.2622221951</x:v>
      </x:c>
      <x:c r="AL324" s="39" t="n">
        <x:v>-0.4649931697</x:v>
      </x:c>
      <x:c r="AM324" s="39" t="n">
        <x:v>0.0774412144</x:v>
      </x:c>
      <x:c r="AN324" s="39" t="n">
        <x:v>-0.0856510271</x:v>
      </x:c>
      <x:c r="AO324" s="39" t="n">
        <x:v>-0.0149950306</x:v>
      </x:c>
      <x:c r="AP324" s="39" t="n">
        <x:v>0.0410242837</x:v>
      </x:c>
      <x:c r="AQ324" s="39" t="n">
        <x:v>0.0427376315</x:v>
      </x:c>
      <x:c r="AR324" s="39" t="n">
        <x:v>0.158770747</x:v>
      </x:c>
      <x:c r="AS324" s="39" t="n">
        <x:v>0.0033152535</x:v>
      </x:c>
    </x:row>
    <x:row r="325" ht="19" customHeight="1">
      <x:c r="A325" s="30" t="str">
        <x:v>SPY</x:v>
      </x:c>
      <x:c r="B325" s="40" t="d">
        <x:v>2026-08-10T00:00:00.000Z</x:v>
      </x:c>
      <x:c r="C325" s="39" t="n">
        <x:v>-0.1711756314</x:v>
      </x:c>
      <x:c r="D325" s="39" t="n">
        <x:v>0.0733421172</x:v>
      </x:c>
      <x:c r="E325" s="39" t="n">
        <x:v>-0.1036737539</x:v>
      </x:c>
      <x:c r="F325" s="39" t="n">
        <x:v>-0.1070934553</x:v>
      </x:c>
      <x:c r="G325" s="39" t="n">
        <x:v>0.066667365</x:v>
      </x:c>
      <x:c r="H325" s="39" t="n">
        <x:v>-0.1065155608</x:v>
      </x:c>
      <x:c r="I325" s="39" t="n">
        <x:v>-0.0054930971</x:v>
      </x:c>
      <x:c r="J325" s="39" t="n">
        <x:v>-0.0550047398</x:v>
      </x:c>
      <x:c r="K325" s="39" t="n">
        <x:v>0.1199173125</x:v>
      </x:c>
      <x:c r="L325" s="39" t="n">
        <x:v>0.1454314396</x:v>
      </x:c>
      <x:c r="M325" s="39" t="n">
        <x:v>-0.0196325464</x:v>
      </x:c>
      <x:c r="N325" s="39" t="n">
        <x:v>-0.0335249053</x:v>
      </x:c>
      <x:c r="O325" s="39" t="n">
        <x:v>-0.0395374583</x:v>
      </x:c>
      <x:c r="P325" s="39" t="n">
        <x:v>-0.073701559</x:v>
      </x:c>
      <x:c r="Q325" s="39" t="n">
        <x:v>-0.1247336358</x:v>
      </x:c>
      <x:c r="R325" s="39" t="n">
        <x:v>0.0292151103</x:v>
      </x:c>
      <x:c r="S325" s="39" t="n">
        <x:v>0.1394092533</x:v>
      </x:c>
      <x:c r="T325" s="39" t="n">
        <x:v>0.0998555623</x:v>
      </x:c>
      <x:c r="U325" s="39" t="n">
        <x:v>-0.0122424734</x:v>
      </x:c>
      <x:c r="V325" s="39" t="n">
        <x:v>0.2236870365</x:v>
      </x:c>
      <x:c r="W325" s="39" t="n">
        <x:v>0.1375563598</x:v>
      </x:c>
      <x:c r="X325" s="39" t="n">
        <x:v>0.1273349815</x:v>
      </x:c>
      <x:c r="Y325" s="39" t="n">
        <x:v>0.0402048961</x:v>
      </x:c>
      <x:c r="Z325" s="39" t="n">
        <x:v>0.3712018522</x:v>
      </x:c>
      <x:c r="AA325" s="39" t="n">
        <x:v>-0.0130005277</x:v>
      </x:c>
      <x:c r="AB325" s="39" t="n">
        <x:v>0.2541961056</x:v>
      </x:c>
      <x:c r="AC325" s="39" t="n">
        <x:v>-0.0947209106</x:v>
      </x:c>
      <x:c r="AD325" s="39" t="n">
        <x:v>-0.0867011928</x:v>
      </x:c>
      <x:c r="AE325" s="39" t="n">
        <x:v>-0.0706330175</x:v>
      </x:c>
      <x:c r="AF325" s="39" t="n">
        <x:v>0.3042802481</x:v>
      </x:c>
      <x:c r="AG325" s="39" t="n">
        <x:v>0.0475915356</x:v>
      </x:c>
      <x:c r="AH325" s="39" t="n">
        <x:v>0.3023480859</x:v>
      </x:c>
      <x:c r="AI325" s="39" t="n">
        <x:v>-0.1355575103</x:v>
      </x:c>
      <x:c r="AJ325" s="39" t="n">
        <x:v>-0.0455101254</x:v>
      </x:c>
      <x:c r="AK325" s="39" t="n">
        <x:v>-0.1167218282</x:v>
      </x:c>
      <x:c r="AL325" s="39" t="n">
        <x:v>0.0196984799</x:v>
      </x:c>
      <x:c r="AM325" s="39" t="n">
        <x:v>0.2887737605</x:v>
      </x:c>
      <x:c r="AN325" s="39" t="n">
        <x:v>-0.1142464561</x:v>
      </x:c>
      <x:c r="AO325" s="39" t="n">
        <x:v>-0.0194695355</x:v>
      </x:c>
      <x:c r="AP325" s="39" t="n">
        <x:v>-0.0646798296</x:v>
      </x:c>
      <x:c r="AQ325" s="39" t="n">
        <x:v>0.0856604911</x:v>
      </x:c>
      <x:c r="AR325" s="39" t="n">
        <x:v>0.0282313945</x:v>
      </x:c>
      <x:c r="AS325" s="39" t="n">
        <x:v>0.0088511702</x:v>
      </x:c>
    </x:row>
    <x:row r="326" ht="19" customHeight="1">
      <x:c r="A326" s="30" t="str">
        <x:v>Primary sector</x:v>
      </x:c>
      <x:c r="B326" s="40" t="d">
        <x:v>2020-07-20T00:00:00.000Z</x:v>
      </x:c>
      <x:c r="C326" s="39" t="n">
        <x:v>-0.0546534988</x:v>
      </x:c>
      <x:c r="D326" s="39" t="n">
        <x:v>0.0545751394</x:v>
      </x:c>
      <x:c r="E326" s="39" t="n">
        <x:v>0.0106889503</x:v>
      </x:c>
      <x:c r="F326" s="39" t="n">
        <x:v>0.0093495032</x:v>
      </x:c>
      <x:c r="G326" s="39" t="n">
        <x:v>-0.0045496927</x:v>
      </x:c>
      <x:c r="H326" s="39" t="n">
        <x:v>0.0086353522</x:v>
      </x:c>
      <x:c r="I326" s="39" t="n">
        <x:v>-0.00232166</x:v>
      </x:c>
      <x:c r="J326" s="39" t="n">
        <x:v>-0.0710480906</x:v>
      </x:c>
      <x:c r="K326" s="39" t="n">
        <x:v>-0.0159906995</x:v>
      </x:c>
      <x:c r="L326" s="39" t="n">
        <x:v>-0.0134719732</x:v>
      </x:c>
      <x:c r="M326" s="39" t="n">
        <x:v>0.033030725</x:v>
      </x:c>
      <x:c r="N326" s="39" t="n">
        <x:v>-0.0299334257</x:v>
      </x:c>
      <x:c r="O326" s="39" t="n">
        <x:v>0.0625062848</x:v>
      </x:c>
      <x:c r="P326" s="39" t="n">
        <x:v>-0.0031680606</x:v>
      </x:c>
      <x:c r="Q326" s="39" t="n">
        <x:v>-0.0800359819</x:v>
      </x:c>
      <x:c r="R326" s="39"/>
      <x:c r="S326" s="39" t="n">
        <x:v>0.0037320831</x:v>
      </x:c>
      <x:c r="T326" s="39" t="n">
        <x:v>-0.0547423469</x:v>
      </x:c>
      <x:c r="U326" s="39" t="n">
        <x:v>0.0442086909</x:v>
      </x:c>
      <x:c r="V326" s="39" t="n">
        <x:v>-0.1232144176</x:v>
      </x:c>
      <x:c r="W326" s="39" t="n">
        <x:v>-0.0014973123</x:v>
      </x:c>
      <x:c r="X326" s="39" t="n">
        <x:v>0.0325821073</x:v>
      </x:c>
      <x:c r="Y326" s="39" t="n">
        <x:v>-0.0167965869</x:v>
      </x:c>
      <x:c r="Z326" s="39" t="n">
        <x:v>-0.0236104511</x:v>
      </x:c>
      <x:c r="AA326" s="39" t="n">
        <x:v>0.0441597902</x:v>
      </x:c>
      <x:c r="AB326" s="39" t="n">
        <x:v>-0.0144514388</x:v>
      </x:c>
      <x:c r="AC326" s="39"/>
      <x:c r="AD326" s="39" t="n">
        <x:v>-0.0001277605</x:v>
      </x:c>
      <x:c r="AE326" s="39" t="n">
        <x:v>0.0111874183</x:v>
      </x:c>
      <x:c r="AF326" s="39" t="n">
        <x:v>-0.0119982118</x:v>
      </x:c>
      <x:c r="AG326" s="39" t="n">
        <x:v>-0.04358684</x:v>
      </x:c>
      <x:c r="AH326" s="39" t="n">
        <x:v>-0.0188313016</x:v>
      </x:c>
      <x:c r="AI326" s="39" t="n">
        <x:v>0.1601588673</x:v>
      </x:c>
      <x:c r="AJ326" s="39" t="n">
        <x:v>-0.076636427</x:v>
      </x:c>
      <x:c r="AK326" s="39" t="n">
        <x:v>-0.025409027</x:v>
      </x:c>
      <x:c r="AL326" s="39" t="n">
        <x:v>-0.0024146898</x:v>
      </x:c>
      <x:c r="AM326" s="39" t="n">
        <x:v>-0.0165818568</x:v>
      </x:c>
      <x:c r="AN326" s="39" t="n">
        <x:v>-0.0180087512</x:v>
      </x:c>
      <x:c r="AO326" s="39" t="n">
        <x:v>-0.0040576509</x:v>
      </x:c>
      <x:c r="AP326" s="39" t="n">
        <x:v>0.0080806874</x:v>
      </x:c>
      <x:c r="AQ326" s="39" t="n">
        <x:v>0.003507064</x:v>
      </x:c>
      <x:c r="AR326" s="39" t="n">
        <x:v>-0.0028046791</x:v>
      </x:c>
      <x:c r="AS326" s="39" t="n">
        <x:v>0.0274133403</x:v>
      </x:c>
    </x:row>
    <x:row r="327" ht="19" customHeight="1">
      <x:c r="A327" s="30" t="str">
        <x:v>Primary sector</x:v>
      </x:c>
      <x:c r="B327" s="40" t="d">
        <x:v>2020-08-17T00:00:00.000Z</x:v>
      </x:c>
      <x:c r="C327" s="39" t="n">
        <x:v>-0.0228135184</x:v>
      </x:c>
      <x:c r="D327" s="39" t="n">
        <x:v>-0.1057321307</x:v>
      </x:c>
      <x:c r="E327" s="39" t="n">
        <x:v>-0.0496157469</x:v>
      </x:c>
      <x:c r="F327" s="39" t="n">
        <x:v>-0.0194859186</x:v>
      </x:c>
      <x:c r="G327" s="39" t="n">
        <x:v>0.0135085786</x:v>
      </x:c>
      <x:c r="H327" s="39" t="n">
        <x:v>0.0297242771</x:v>
      </x:c>
      <x:c r="I327" s="39" t="n">
        <x:v>-0.0040233518</x:v>
      </x:c>
      <x:c r="J327" s="39" t="n">
        <x:v>0.0469533705</x:v>
      </x:c>
      <x:c r="K327" s="39" t="n">
        <x:v>-0.1874049522</x:v>
      </x:c>
      <x:c r="L327" s="39" t="n">
        <x:v>-0.0282055293</x:v>
      </x:c>
      <x:c r="M327" s="39" t="n">
        <x:v>0.0387703505</x:v>
      </x:c>
      <x:c r="N327" s="39" t="n">
        <x:v>0.0470915531</x:v>
      </x:c>
      <x:c r="O327" s="39" t="n">
        <x:v>-0.0016343591</x:v>
      </x:c>
      <x:c r="P327" s="39" t="n">
        <x:v>-0.2706202778</x:v>
      </x:c>
      <x:c r="Q327" s="39" t="n">
        <x:v>-0.0083018917</x:v>
      </x:c>
      <x:c r="R327" s="39"/>
      <x:c r="S327" s="39" t="n">
        <x:v>-0.0021751196</x:v>
      </x:c>
      <x:c r="T327" s="39" t="n">
        <x:v>-0.0110330795</x:v>
      </x:c>
      <x:c r="U327" s="39" t="n">
        <x:v>-0.0671552654</x:v>
      </x:c>
      <x:c r="V327" s="39" t="n">
        <x:v>-0.0664824316</x:v>
      </x:c>
      <x:c r="W327" s="39" t="n">
        <x:v>-0.0236998076</x:v>
      </x:c>
      <x:c r="X327" s="39" t="n">
        <x:v>-0.0222747268</x:v>
      </x:c>
      <x:c r="Y327" s="39" t="n">
        <x:v>-0.2285992817</x:v>
      </x:c>
      <x:c r="Z327" s="39" t="n">
        <x:v>-0.0409881078</x:v>
      </x:c>
      <x:c r="AA327" s="39" t="n">
        <x:v>0.0223728082</x:v>
      </x:c>
      <x:c r="AB327" s="39" t="n">
        <x:v>-0.157519672</x:v>
      </x:c>
      <x:c r="AC327" s="39"/>
      <x:c r="AD327" s="39" t="n">
        <x:v>0.0283869007</x:v>
      </x:c>
      <x:c r="AE327" s="39" t="n">
        <x:v>-0.067135853</x:v>
      </x:c>
      <x:c r="AF327" s="39" t="n">
        <x:v>-0.0935217493</x:v>
      </x:c>
      <x:c r="AG327" s="39" t="n">
        <x:v>-0.0531760586</x:v>
      </x:c>
      <x:c r="AH327" s="39" t="n">
        <x:v>-0.081147674</x:v>
      </x:c>
      <x:c r="AI327" s="39" t="n">
        <x:v>-0.0345772023</x:v>
      </x:c>
      <x:c r="AJ327" s="39" t="n">
        <x:v>-0.0569137874</x:v>
      </x:c>
      <x:c r="AK327" s="39" t="n">
        <x:v>0.0189456305</x:v>
      </x:c>
      <x:c r="AL327" s="39" t="n">
        <x:v>0.0140149803</x:v>
      </x:c>
      <x:c r="AM327" s="39" t="n">
        <x:v>-0.0103914639</x:v>
      </x:c>
      <x:c r="AN327" s="39" t="n">
        <x:v>-0.0326324346</x:v>
      </x:c>
      <x:c r="AO327" s="39" t="n">
        <x:v>0.0010014753</x:v>
      </x:c>
      <x:c r="AP327" s="39" t="n">
        <x:v>0.0041321838</x:v>
      </x:c>
      <x:c r="AQ327" s="39" t="n">
        <x:v>-0.0383516378</x:v>
      </x:c>
      <x:c r="AR327" s="39" t="n">
        <x:v>0.008872087</x:v>
      </x:c>
      <x:c r="AS327" s="39" t="n">
        <x:v>0.0288213176</x:v>
      </x:c>
    </x:row>
    <x:row r="328" ht="19" customHeight="1">
      <x:c r="A328" s="30" t="str">
        <x:v>Primary sector</x:v>
      </x:c>
      <x:c r="B328" s="40" t="d">
        <x:v>2020-09-14T00:00:00.000Z</x:v>
      </x:c>
      <x:c r="C328" s="39" t="n">
        <x:v>-0.0210288853</x:v>
      </x:c>
      <x:c r="D328" s="39" t="n">
        <x:v>-0.1221023947</x:v>
      </x:c>
      <x:c r="E328" s="39" t="n">
        <x:v>-0.0097930962</x:v>
      </x:c>
      <x:c r="F328" s="39" t="n">
        <x:v>-0.0157965357</x:v>
      </x:c>
      <x:c r="G328" s="39" t="n">
        <x:v>0.0283079041</x:v>
      </x:c>
      <x:c r="H328" s="39" t="n">
        <x:v>-0.0161630168</x:v>
      </x:c>
      <x:c r="I328" s="39" t="n">
        <x:v>-0.0418274598</x:v>
      </x:c>
      <x:c r="J328" s="39" t="n">
        <x:v>-0.0478344859</x:v>
      </x:c>
      <x:c r="K328" s="39" t="n">
        <x:v>0.0634784979</x:v>
      </x:c>
      <x:c r="L328" s="39" t="n">
        <x:v>-0.0010783705</x:v>
      </x:c>
      <x:c r="M328" s="39" t="n">
        <x:v>-0.0277583387</x:v>
      </x:c>
      <x:c r="N328" s="39" t="n">
        <x:v>0.016717705</x:v>
      </x:c>
      <x:c r="O328" s="39" t="n">
        <x:v>-0.0476452041</x:v>
      </x:c>
      <x:c r="P328" s="39" t="n">
        <x:v>0.0626865602</x:v>
      </x:c>
      <x:c r="Q328" s="39" t="n">
        <x:v>0.0208996183</x:v>
      </x:c>
      <x:c r="R328" s="39"/>
      <x:c r="S328" s="39" t="n">
        <x:v>-0.0246810264</x:v>
      </x:c>
      <x:c r="T328" s="39" t="n">
        <x:v>-0.0188543921</x:v>
      </x:c>
      <x:c r="U328" s="39" t="n">
        <x:v>0.0126198426</x:v>
      </x:c>
      <x:c r="V328" s="39" t="n">
        <x:v>-0.0349860175</x:v>
      </x:c>
      <x:c r="W328" s="39" t="n">
        <x:v>0.0000516637</x:v>
      </x:c>
      <x:c r="X328" s="39" t="n">
        <x:v>0.0299643446</x:v>
      </x:c>
      <x:c r="Y328" s="39" t="n">
        <x:v>0.0995377358</x:v>
      </x:c>
      <x:c r="Z328" s="39" t="n">
        <x:v>-0.0721010303</x:v>
      </x:c>
      <x:c r="AA328" s="39" t="n">
        <x:v>0.0150686381</x:v>
      </x:c>
      <x:c r="AB328" s="39" t="n">
        <x:v>-0.0673454809</x:v>
      </x:c>
      <x:c r="AC328" s="39"/>
      <x:c r="AD328" s="39" t="n">
        <x:v>-0.0003669014</x:v>
      </x:c>
      <x:c r="AE328" s="39" t="n">
        <x:v>0.0343342833</x:v>
      </x:c>
      <x:c r="AF328" s="39" t="n">
        <x:v>0.0335543531</x:v>
      </x:c>
      <x:c r="AG328" s="39" t="n">
        <x:v>-0.0336358445</x:v>
      </x:c>
      <x:c r="AH328" s="39" t="n">
        <x:v>-0.0838524385</x:v>
      </x:c>
      <x:c r="AI328" s="39" t="n">
        <x:v>-0.022614631</x:v>
      </x:c>
      <x:c r="AJ328" s="39" t="n">
        <x:v>0.0077577834</x:v>
      </x:c>
      <x:c r="AK328" s="39" t="n">
        <x:v>-0.029073598</x:v>
      </x:c>
      <x:c r="AL328" s="39" t="n">
        <x:v>-0.0855211278</x:v>
      </x:c>
      <x:c r="AM328" s="39" t="n">
        <x:v>-0.0066226559</x:v>
      </x:c>
      <x:c r="AN328" s="39" t="n">
        <x:v>-0.0429407375</x:v>
      </x:c>
      <x:c r="AO328" s="39" t="n">
        <x:v>-0.0213368754</x:v>
      </x:c>
      <x:c r="AP328" s="39" t="n">
        <x:v>-0.0140915146</x:v>
      </x:c>
      <x:c r="AQ328" s="39" t="n">
        <x:v>0.0252548839</x:v>
      </x:c>
      <x:c r="AR328" s="39" t="n">
        <x:v>-0.0256057585</x:v>
      </x:c>
      <x:c r="AS328" s="39" t="n">
        <x:v>0.0102612258</x:v>
      </x:c>
    </x:row>
    <x:row r="329" ht="19" customHeight="1">
      <x:c r="A329" s="30" t="str">
        <x:v>Primary sector</x:v>
      </x:c>
      <x:c r="B329" s="40" t="d">
        <x:v>2020-10-12T00:00:00.000Z</x:v>
      </x:c>
      <x:c r="C329" s="39" t="n">
        <x:v>-0.0481063541</x:v>
      </x:c>
      <x:c r="D329" s="39" t="n">
        <x:v>0.0006572988</x:v>
      </x:c>
      <x:c r="E329" s="39" t="n">
        <x:v>0.0494162088</x:v>
      </x:c>
      <x:c r="F329" s="39" t="n">
        <x:v>0.0035295668</x:v>
      </x:c>
      <x:c r="G329" s="39" t="n">
        <x:v>-0.0046713177</x:v>
      </x:c>
      <x:c r="H329" s="39" t="n">
        <x:v>0.0583268788</x:v>
      </x:c>
      <x:c r="I329" s="39" t="n">
        <x:v>0.0132957409</x:v>
      </x:c>
      <x:c r="J329" s="39" t="n">
        <x:v>-0.0012406392</x:v>
      </x:c>
      <x:c r="K329" s="39" t="n">
        <x:v>-0.0602159815</x:v>
      </x:c>
      <x:c r="L329" s="39" t="n">
        <x:v>-0.0574426684</x:v>
      </x:c>
      <x:c r="M329" s="39" t="n">
        <x:v>-0.0873563307</x:v>
      </x:c>
      <x:c r="N329" s="39" t="n">
        <x:v>-0.0061198497</x:v>
      </x:c>
      <x:c r="O329" s="39" t="n">
        <x:v>0.0683778347</x:v>
      </x:c>
      <x:c r="P329" s="39" t="n">
        <x:v>-0.0433579405</x:v>
      </x:c>
      <x:c r="Q329" s="39" t="n">
        <x:v>0.0322318576</x:v>
      </x:c>
      <x:c r="R329" s="39"/>
      <x:c r="S329" s="39" t="n">
        <x:v>-0.002101657</x:v>
      </x:c>
      <x:c r="T329" s="39" t="n">
        <x:v>0.204320347</x:v>
      </x:c>
      <x:c r="U329" s="39" t="n">
        <x:v>0.0834660213</x:v>
      </x:c>
      <x:c r="V329" s="39" t="n">
        <x:v>0.1285110502</x:v>
      </x:c>
      <x:c r="W329" s="39" t="n">
        <x:v>0.0498096939</x:v>
      </x:c>
      <x:c r="X329" s="39" t="n">
        <x:v>0.0380382154</x:v>
      </x:c>
      <x:c r="Y329" s="39" t="n">
        <x:v>-0.042370361</x:v>
      </x:c>
      <x:c r="Z329" s="39" t="n">
        <x:v>0.0368896713</x:v>
      </x:c>
      <x:c r="AA329" s="39" t="n">
        <x:v>-0.0091088486</x:v>
      </x:c>
      <x:c r="AB329" s="39" t="n">
        <x:v>-0.1563468757</x:v>
      </x:c>
      <x:c r="AC329" s="39"/>
      <x:c r="AD329" s="39" t="n">
        <x:v>0.024472569</x:v>
      </x:c>
      <x:c r="AE329" s="39" t="n">
        <x:v>0.0406328113</x:v>
      </x:c>
      <x:c r="AF329" s="39" t="n">
        <x:v>-0.0593330238</x:v>
      </x:c>
      <x:c r="AG329" s="39" t="n">
        <x:v>0.0463576739</x:v>
      </x:c>
      <x:c r="AH329" s="39" t="n">
        <x:v>0.0265587974</x:v>
      </x:c>
      <x:c r="AI329" s="39" t="n">
        <x:v>0.0058646782</x:v>
      </x:c>
      <x:c r="AJ329" s="39" t="n">
        <x:v>-0.0621492882</x:v>
      </x:c>
      <x:c r="AK329" s="39" t="n">
        <x:v>-0.021409697</x:v>
      </x:c>
      <x:c r="AL329" s="39" t="n">
        <x:v>-0.048886071</x:v>
      </x:c>
      <x:c r="AM329" s="39" t="n">
        <x:v>0.0179668835</x:v>
      </x:c>
      <x:c r="AN329" s="39" t="n">
        <x:v>0.0278203936</x:v>
      </x:c>
      <x:c r="AO329" s="39" t="n">
        <x:v>0.0593226735</x:v>
      </x:c>
      <x:c r="AP329" s="39" t="n">
        <x:v>0.0201367189</x:v>
      </x:c>
      <x:c r="AQ329" s="39" t="n">
        <x:v>-0.0106022693</x:v>
      </x:c>
      <x:c r="AR329" s="39" t="n">
        <x:v>-0.0045670512</x:v>
      </x:c>
      <x:c r="AS329" s="39" t="n">
        <x:v>-0.0131815353</x:v>
      </x:c>
    </x:row>
    <x:row r="330" ht="19" customHeight="1">
      <x:c r="A330" s="30" t="str">
        <x:v>Primary sector</x:v>
      </x:c>
      <x:c r="B330" s="40" t="d">
        <x:v>2020-11-09T00:00:00.000Z</x:v>
      </x:c>
      <x:c r="C330" s="39" t="n">
        <x:v>-0.0182422</x:v>
      </x:c>
      <x:c r="D330" s="39" t="n">
        <x:v>-0.045131715</x:v>
      </x:c>
      <x:c r="E330" s="39" t="n">
        <x:v>-0.0340821618</x:v>
      </x:c>
      <x:c r="F330" s="39" t="n">
        <x:v>-0.0064745005</x:v>
      </x:c>
      <x:c r="G330" s="39" t="n">
        <x:v>0.0269165812</x:v>
      </x:c>
      <x:c r="H330" s="39" t="n">
        <x:v>-0.0492244552</x:v>
      </x:c>
      <x:c r="I330" s="39" t="n">
        <x:v>-0.0317606209</x:v>
      </x:c>
      <x:c r="J330" s="39" t="n">
        <x:v>-0.1431914772</x:v>
      </x:c>
      <x:c r="K330" s="39" t="n">
        <x:v>0.0244054927</x:v>
      </x:c>
      <x:c r="L330" s="39" t="n">
        <x:v>0.0476417909</x:v>
      </x:c>
      <x:c r="M330" s="39" t="n">
        <x:v>0.0156740883</x:v>
      </x:c>
      <x:c r="N330" s="39" t="n">
        <x:v>-0.0059242436</x:v>
      </x:c>
      <x:c r="O330" s="39" t="n">
        <x:v>0.0249582021</x:v>
      </x:c>
      <x:c r="P330" s="39" t="n">
        <x:v>0.0380739971</x:v>
      </x:c>
      <x:c r="Q330" s="39" t="n">
        <x:v>0.0058023363</x:v>
      </x:c>
      <x:c r="R330" s="39"/>
      <x:c r="S330" s="39" t="n">
        <x:v>-0.0174995776</x:v>
      </x:c>
      <x:c r="T330" s="39" t="n">
        <x:v>0.019263975</x:v>
      </x:c>
      <x:c r="U330" s="39" t="n">
        <x:v>0.0741901439</x:v>
      </x:c>
      <x:c r="V330" s="39" t="n">
        <x:v>0.0165757931</x:v>
      </x:c>
      <x:c r="W330" s="39" t="n">
        <x:v>-0.0845444068</x:v>
      </x:c>
      <x:c r="X330" s="39" t="n">
        <x:v>0.0123878633</x:v>
      </x:c>
      <x:c r="Y330" s="39" t="n">
        <x:v>0.0487370817</x:v>
      </x:c>
      <x:c r="Z330" s="39" t="n">
        <x:v>-0.0338122322</x:v>
      </x:c>
      <x:c r="AA330" s="39" t="n">
        <x:v>-0.0341905825</x:v>
      </x:c>
      <x:c r="AB330" s="39" t="n">
        <x:v>-0.0417387674</x:v>
      </x:c>
      <x:c r="AC330" s="39"/>
      <x:c r="AD330" s="39" t="n">
        <x:v>-0.0145571654</x:v>
      </x:c>
      <x:c r="AE330" s="39" t="n">
        <x:v>0.0273517763</x:v>
      </x:c>
      <x:c r="AF330" s="39" t="n">
        <x:v>0.0333014125</x:v>
      </x:c>
      <x:c r="AG330" s="39" t="n">
        <x:v>0.0297486726</x:v>
      </x:c>
      <x:c r="AH330" s="39" t="n">
        <x:v>0.0217268094</x:v>
      </x:c>
      <x:c r="AI330" s="39" t="n">
        <x:v>-0.005609944</x:v>
      </x:c>
      <x:c r="AJ330" s="39" t="n">
        <x:v>-0.0555575867</x:v>
      </x:c>
      <x:c r="AK330" s="39" t="n">
        <x:v>0.0653409702</x:v>
      </x:c>
      <x:c r="AL330" s="39" t="n">
        <x:v>-0.0189494391</x:v>
      </x:c>
      <x:c r="AM330" s="39" t="n">
        <x:v>-0.0163089295</x:v>
      </x:c>
      <x:c r="AN330" s="39" t="n">
        <x:v>0.0201809163</x:v>
      </x:c>
      <x:c r="AO330" s="39" t="n">
        <x:v>-0.0301691411</x:v>
      </x:c>
      <x:c r="AP330" s="39" t="n">
        <x:v>-0.031680131</x:v>
      </x:c>
      <x:c r="AQ330" s="39" t="n">
        <x:v>0.012276996</x:v>
      </x:c>
      <x:c r="AR330" s="39" t="n">
        <x:v>-0.0239058062</x:v>
      </x:c>
      <x:c r="AS330" s="39" t="n">
        <x:v>0.0079889783</x:v>
      </x:c>
    </x:row>
    <x:row r="331" ht="19" customHeight="1">
      <x:c r="A331" s="30" t="str">
        <x:v>Primary sector</x:v>
      </x:c>
      <x:c r="B331" s="40" t="d">
        <x:v>2020-12-07T00:00:00.000Z</x:v>
      </x:c>
      <x:c r="C331" s="39" t="n">
        <x:v>-0.0390559654</x:v>
      </x:c>
      <x:c r="D331" s="39" t="n">
        <x:v>-0.0266375948</x:v>
      </x:c>
      <x:c r="E331" s="39" t="n">
        <x:v>-0.0343428141</x:v>
      </x:c>
      <x:c r="F331" s="39" t="n">
        <x:v>-0.0098151084</x:v>
      </x:c>
      <x:c r="G331" s="39" t="n">
        <x:v>0.1118939612</x:v>
      </x:c>
      <x:c r="H331" s="39" t="n">
        <x:v>-0.0028916896</x:v>
      </x:c>
      <x:c r="I331" s="39" t="n">
        <x:v>-0.0153909017</x:v>
      </x:c>
      <x:c r="J331" s="39" t="n">
        <x:v>-0.0816509852</x:v>
      </x:c>
      <x:c r="K331" s="39" t="n">
        <x:v>0.0414958735</x:v>
      </x:c>
      <x:c r="L331" s="39" t="n">
        <x:v>-0.0464897766</x:v>
      </x:c>
      <x:c r="M331" s="39" t="n">
        <x:v>0.1204921033</x:v>
      </x:c>
      <x:c r="N331" s="39" t="n">
        <x:v>0.0449771357</x:v>
      </x:c>
      <x:c r="O331" s="39" t="n">
        <x:v>-0.0104129775</x:v>
      </x:c>
      <x:c r="P331" s="39" t="n">
        <x:v>0.0422508216</x:v>
      </x:c>
      <x:c r="Q331" s="39" t="n">
        <x:v>0.0269464069</x:v>
      </x:c>
      <x:c r="R331" s="39"/>
      <x:c r="S331" s="39" t="n">
        <x:v>0.0307852891</x:v>
      </x:c>
      <x:c r="T331" s="39" t="n">
        <x:v>0.1200590374</x:v>
      </x:c>
      <x:c r="U331" s="39" t="n">
        <x:v>0.2784634298</x:v>
      </x:c>
      <x:c r="V331" s="39" t="n">
        <x:v>-0.0212956241</x:v>
      </x:c>
      <x:c r="W331" s="39" t="n">
        <x:v>0.0002957547</x:v>
      </x:c>
      <x:c r="X331" s="39" t="n">
        <x:v>-0.0193173423</x:v>
      </x:c>
      <x:c r="Y331" s="39" t="n">
        <x:v>0.0288316269</x:v>
      </x:c>
      <x:c r="Z331" s="39" t="n">
        <x:v>-0.1552609355</x:v>
      </x:c>
      <x:c r="AA331" s="39" t="n">
        <x:v>-0.0294089213</x:v>
      </x:c>
      <x:c r="AB331" s="39" t="n">
        <x:v>0.0176933184</x:v>
      </x:c>
      <x:c r="AC331" s="39"/>
      <x:c r="AD331" s="39" t="n">
        <x:v>-0.0457387427</x:v>
      </x:c>
      <x:c r="AE331" s="39" t="n">
        <x:v>-0.0259406339</x:v>
      </x:c>
      <x:c r="AF331" s="39" t="n">
        <x:v>0.0777850741</x:v>
      </x:c>
      <x:c r="AG331" s="39" t="n">
        <x:v>0.0705839264</x:v>
      </x:c>
      <x:c r="AH331" s="39" t="n">
        <x:v>-0.0024472607</x:v>
      </x:c>
      <x:c r="AI331" s="39" t="n">
        <x:v>0.007453565</x:v>
      </x:c>
      <x:c r="AJ331" s="39" t="n">
        <x:v>0.0571091577</x:v>
      </x:c>
      <x:c r="AK331" s="39" t="n">
        <x:v>-0.0386073924</x:v>
      </x:c>
      <x:c r="AL331" s="39" t="n">
        <x:v>0.0200997721</x:v>
      </x:c>
      <x:c r="AM331" s="39" t="n">
        <x:v>-0.0173974839</x:v>
      </x:c>
      <x:c r="AN331" s="39" t="n">
        <x:v>-0.0546703603</x:v>
      </x:c>
      <x:c r="AO331" s="39" t="n">
        <x:v>-0.0172778804</x:v>
      </x:c>
      <x:c r="AP331" s="39" t="n">
        <x:v>-0.0492103836</x:v>
      </x:c>
      <x:c r="AQ331" s="39" t="n">
        <x:v>-0.0214251735</x:v>
      </x:c>
      <x:c r="AR331" s="39" t="n">
        <x:v>0.0007447832</x:v>
      </x:c>
      <x:c r="AS331" s="39" t="n">
        <x:v>-0.034827549</x:v>
      </x:c>
    </x:row>
    <x:row r="332" ht="19" customHeight="1">
      <x:c r="A332" s="30" t="str">
        <x:v>Primary sector</x:v>
      </x:c>
      <x:c r="B332" s="40" t="d">
        <x:v>2021-01-04T00:00:00.000Z</x:v>
      </x:c>
      <x:c r="C332" s="39" t="n">
        <x:v>0.0501039094</x:v>
      </x:c>
      <x:c r="D332" s="39" t="n">
        <x:v>-0.0562675017</x:v>
      </x:c>
      <x:c r="E332" s="39" t="n">
        <x:v>-0.0452104407</x:v>
      </x:c>
      <x:c r="F332" s="39" t="n">
        <x:v>-0.0562683501</x:v>
      </x:c>
      <x:c r="G332" s="39" t="n">
        <x:v>-0.0132049073</x:v>
      </x:c>
      <x:c r="H332" s="39" t="n">
        <x:v>0.0041397752</x:v>
      </x:c>
      <x:c r="I332" s="39" t="n">
        <x:v>-0.0432008101</x:v>
      </x:c>
      <x:c r="J332" s="39" t="n">
        <x:v>-0.0185928055</x:v>
      </x:c>
      <x:c r="K332" s="39" t="n">
        <x:v>-0.1275337104</x:v>
      </x:c>
      <x:c r="L332" s="39" t="n">
        <x:v>-0.0380699891</x:v>
      </x:c>
      <x:c r="M332" s="39" t="n">
        <x:v>0.0283338482</x:v>
      </x:c>
      <x:c r="N332" s="39" t="n">
        <x:v>-0.0000933619</x:v>
      </x:c>
      <x:c r="O332" s="39" t="n">
        <x:v>0.100266561</x:v>
      </x:c>
      <x:c r="P332" s="39" t="n">
        <x:v>-0.0786960751</x:v>
      </x:c>
      <x:c r="Q332" s="39" t="n">
        <x:v>-0.0589366768</x:v>
      </x:c>
      <x:c r="R332" s="39"/>
      <x:c r="S332" s="39" t="n">
        <x:v>0.0541875331</x:v>
      </x:c>
      <x:c r="T332" s="39" t="n">
        <x:v>-0.0713828737</x:v>
      </x:c>
      <x:c r="U332" s="39" t="n">
        <x:v>-0.2517826612</x:v>
      </x:c>
      <x:c r="V332" s="39" t="n">
        <x:v>0.0008719147</x:v>
      </x:c>
      <x:c r="W332" s="39" t="n">
        <x:v>0.0056266393</x:v>
      </x:c>
      <x:c r="X332" s="39" t="n">
        <x:v>0.0042290177</x:v>
      </x:c>
      <x:c r="Y332" s="39" t="n">
        <x:v>-0.0371981136</x:v>
      </x:c>
      <x:c r="Z332" s="39" t="n">
        <x:v>-0.0537349717</x:v>
      </x:c>
      <x:c r="AA332" s="39" t="n">
        <x:v>-0.0023331904</x:v>
      </x:c>
      <x:c r="AB332" s="39" t="n">
        <x:v>-0.0484435123</x:v>
      </x:c>
      <x:c r="AC332" s="39"/>
      <x:c r="AD332" s="39" t="n">
        <x:v>-0.0023503693</x:v>
      </x:c>
      <x:c r="AE332" s="39" t="n">
        <x:v>-0.0727558106</x:v>
      </x:c>
      <x:c r="AF332" s="39" t="n">
        <x:v>-0.0450361658</x:v>
      </x:c>
      <x:c r="AG332" s="39" t="n">
        <x:v>-0.0981350387</x:v>
      </x:c>
      <x:c r="AH332" s="39" t="n">
        <x:v>-0.052199936</x:v>
      </x:c>
      <x:c r="AI332" s="39" t="n">
        <x:v>-0.0578073747</x:v>
      </x:c>
      <x:c r="AJ332" s="39" t="n">
        <x:v>-0.0324490922</x:v>
      </x:c>
      <x:c r="AK332" s="39" t="n">
        <x:v>-0.0473701964</x:v>
      </x:c>
      <x:c r="AL332" s="39" t="n">
        <x:v>-0.0424325368</x:v>
      </x:c>
      <x:c r="AM332" s="39" t="n">
        <x:v>-0.009394345</x:v>
      </x:c>
      <x:c r="AN332" s="39" t="n">
        <x:v>-0.0367768945</x:v>
      </x:c>
      <x:c r="AO332" s="39" t="n">
        <x:v>-0.0364222982</x:v>
      </x:c>
      <x:c r="AP332" s="39" t="n">
        <x:v>-0.0347023126</x:v>
      </x:c>
      <x:c r="AQ332" s="39" t="n">
        <x:v>-0.0459887947</x:v>
      </x:c>
      <x:c r="AR332" s="39" t="n">
        <x:v>-0.0133259513</x:v>
      </x:c>
      <x:c r="AS332" s="39" t="n">
        <x:v>-0.01872334</x:v>
      </x:c>
    </x:row>
    <x:row r="333" ht="19" customHeight="1">
      <x:c r="A333" s="30" t="str">
        <x:v>Primary sector</x:v>
      </x:c>
      <x:c r="B333" s="40" t="d">
        <x:v>2021-02-01T00:00:00.000Z</x:v>
      </x:c>
      <x:c r="C333" s="39" t="n">
        <x:v>-0.0267934776</x:v>
      </x:c>
      <x:c r="D333" s="39" t="n">
        <x:v>-0.0428792308</x:v>
      </x:c>
      <x:c r="E333" s="39" t="n">
        <x:v>0.0197713508</x:v>
      </x:c>
      <x:c r="F333" s="39" t="n">
        <x:v>-0.0118526495</x:v>
      </x:c>
      <x:c r="G333" s="39" t="n">
        <x:v>0.0119974923</x:v>
      </x:c>
      <x:c r="H333" s="39" t="n">
        <x:v>0.0541374051</x:v>
      </x:c>
      <x:c r="I333" s="39" t="n">
        <x:v>0.017827853</x:v>
      </x:c>
      <x:c r="J333" s="39" t="n">
        <x:v>-0.0048250501</x:v>
      </x:c>
      <x:c r="K333" s="39" t="n">
        <x:v>0.0516557543</x:v>
      </x:c>
      <x:c r="L333" s="39" t="n">
        <x:v>0.0131359367</x:v>
      </x:c>
      <x:c r="M333" s="39" t="n">
        <x:v>-0.0028247389</x:v>
      </x:c>
      <x:c r="N333" s="39" t="n">
        <x:v>0.0425878259</x:v>
      </x:c>
      <x:c r="O333" s="39" t="n">
        <x:v>0.0559205232</x:v>
      </x:c>
      <x:c r="P333" s="39" t="n">
        <x:v>0.0509128325</x:v>
      </x:c>
      <x:c r="Q333" s="39" t="n">
        <x:v>-0.0591124519</x:v>
      </x:c>
      <x:c r="R333" s="39"/>
      <x:c r="S333" s="39" t="n">
        <x:v>-0.0274516305</x:v>
      </x:c>
      <x:c r="T333" s="39" t="n">
        <x:v>0.0199394403</x:v>
      </x:c>
      <x:c r="U333" s="39" t="n">
        <x:v>0.3154322583</x:v>
      </x:c>
      <x:c r="V333" s="39" t="n">
        <x:v>0.2106688911</x:v>
      </x:c>
      <x:c r="W333" s="39" t="n">
        <x:v>0.0123597708</x:v>
      </x:c>
      <x:c r="X333" s="39" t="n">
        <x:v>-0.0092970893</x:v>
      </x:c>
      <x:c r="Y333" s="39" t="n">
        <x:v>-0.0059687078</x:v>
      </x:c>
      <x:c r="Z333" s="39" t="n">
        <x:v>0.0106218671</x:v>
      </x:c>
      <x:c r="AA333" s="39" t="n">
        <x:v>-0.0517053033</x:v>
      </x:c>
      <x:c r="AB333" s="39" t="n">
        <x:v>0.018967455</x:v>
      </x:c>
      <x:c r="AC333" s="39" t="n">
        <x:v>0.2470917871</x:v>
      </x:c>
      <x:c r="AD333" s="39" t="n">
        <x:v>-0.0131402833</x:v>
      </x:c>
      <x:c r="AE333" s="39" t="n">
        <x:v>0.1615442044</x:v>
      </x:c>
      <x:c r="AF333" s="39" t="n">
        <x:v>0.0256608099</x:v>
      </x:c>
      <x:c r="AG333" s="39" t="n">
        <x:v>0.0249429365</x:v>
      </x:c>
      <x:c r="AH333" s="39" t="n">
        <x:v>0.0061762367</x:v>
      </x:c>
      <x:c r="AI333" s="39" t="n">
        <x:v>-0.066426249</x:v>
      </x:c>
      <x:c r="AJ333" s="39" t="n">
        <x:v>0.1129018252</x:v>
      </x:c>
      <x:c r="AK333" s="39" t="n">
        <x:v>-0.0225619508</x:v>
      </x:c>
      <x:c r="AL333" s="39" t="n">
        <x:v>0.0212126217</x:v>
      </x:c>
      <x:c r="AM333" s="39" t="n">
        <x:v>0.0488322764</x:v>
      </x:c>
      <x:c r="AN333" s="39" t="n">
        <x:v>0.0681896812</x:v>
      </x:c>
      <x:c r="AO333" s="39" t="n">
        <x:v>-0.0150687006</x:v>
      </x:c>
      <x:c r="AP333" s="39" t="n">
        <x:v>0.0265208924</x:v>
      </x:c>
      <x:c r="AQ333" s="39" t="n">
        <x:v>-0.0012537796</x:v>
      </x:c>
      <x:c r="AR333" s="39" t="n">
        <x:v>0.0271399489</x:v>
      </x:c>
      <x:c r="AS333" s="39" t="n">
        <x:v>0.0054765813</x:v>
      </x:c>
    </x:row>
    <x:row r="334" ht="19" customHeight="1">
      <x:c r="A334" s="30" t="str">
        <x:v>Primary sector</x:v>
      </x:c>
      <x:c r="B334" s="40" t="d">
        <x:v>2021-03-01T00:00:00.000Z</x:v>
      </x:c>
      <x:c r="C334" s="39" t="n">
        <x:v>-0.0780327535</x:v>
      </x:c>
      <x:c r="D334" s="39" t="n">
        <x:v>-0.1130275467</x:v>
      </x:c>
      <x:c r="E334" s="39" t="n">
        <x:v>0.0037178205</x:v>
      </x:c>
      <x:c r="F334" s="39" t="n">
        <x:v>-0.0148011483</x:v>
      </x:c>
      <x:c r="G334" s="39" t="n">
        <x:v>0.0308305804</x:v>
      </x:c>
      <x:c r="H334" s="39" t="n">
        <x:v>-0.0492961306</x:v>
      </x:c>
      <x:c r="I334" s="39" t="n">
        <x:v>-0.0019250048</x:v>
      </x:c>
      <x:c r="J334" s="39" t="n">
        <x:v>0.0476541443</x:v>
      </x:c>
      <x:c r="K334" s="39" t="n">
        <x:v>0.0932298306</x:v>
      </x:c>
      <x:c r="L334" s="39" t="n">
        <x:v>-0.0041495003</x:v>
      </x:c>
      <x:c r="M334" s="39" t="n">
        <x:v>0.018708246</x:v>
      </x:c>
      <x:c r="N334" s="39" t="n">
        <x:v>-0.0370157839</x:v>
      </x:c>
      <x:c r="O334" s="39" t="n">
        <x:v>-0.0018235733</x:v>
      </x:c>
      <x:c r="P334" s="39" t="n">
        <x:v>0.0968527762</x:v>
      </x:c>
      <x:c r="Q334" s="39" t="n">
        <x:v>-0.0187383014</x:v>
      </x:c>
      <x:c r="R334" s="39"/>
      <x:c r="S334" s="39" t="n">
        <x:v>0.0640318377</x:v>
      </x:c>
      <x:c r="T334" s="39" t="n">
        <x:v>-0.1478736416</x:v>
      </x:c>
      <x:c r="U334" s="39" t="n">
        <x:v>-0.1868041763</x:v>
      </x:c>
      <x:c r="V334" s="39" t="n">
        <x:v>-0.181864672</x:v>
      </x:c>
      <x:c r="W334" s="39" t="n">
        <x:v>-0.0526429907</x:v>
      </x:c>
      <x:c r="X334" s="39" t="n">
        <x:v>0.015200689</x:v>
      </x:c>
      <x:c r="Y334" s="39" t="n">
        <x:v>0.0685810532</x:v>
      </x:c>
      <x:c r="Z334" s="39" t="n">
        <x:v>-0.0779995444</x:v>
      </x:c>
      <x:c r="AA334" s="39" t="n">
        <x:v>-0.0239190169</x:v>
      </x:c>
      <x:c r="AB334" s="39" t="n">
        <x:v>-0.1097302507</x:v>
      </x:c>
      <x:c r="AC334" s="39" t="n">
        <x:v>-0.2817205766</x:v>
      </x:c>
      <x:c r="AD334" s="39" t="n">
        <x:v>-0.0129046157</x:v>
      </x:c>
      <x:c r="AE334" s="39" t="n">
        <x:v>0.0466905794</x:v>
      </x:c>
      <x:c r="AF334" s="39" t="n">
        <x:v>0.0744940423</x:v>
      </x:c>
      <x:c r="AG334" s="39" t="n">
        <x:v>0.0230185303</x:v>
      </x:c>
      <x:c r="AH334" s="39" t="n">
        <x:v>0.0208991139</x:v>
      </x:c>
      <x:c r="AI334" s="39" t="n">
        <x:v>-0.0198426657</x:v>
      </x:c>
      <x:c r="AJ334" s="39" t="n">
        <x:v>0.0189395046</x:v>
      </x:c>
      <x:c r="AK334" s="39" t="n">
        <x:v>0.0431784364</x:v>
      </x:c>
      <x:c r="AL334" s="39" t="n">
        <x:v>-0.0179640619</x:v>
      </x:c>
      <x:c r="AM334" s="39" t="n">
        <x:v>-0.0033431099</x:v>
      </x:c>
      <x:c r="AN334" s="39" t="n">
        <x:v>-0.0227835486</x:v>
      </x:c>
      <x:c r="AO334" s="39" t="n">
        <x:v>-0.0748908761</x:v>
      </x:c>
      <x:c r="AP334" s="39" t="n">
        <x:v>-0.0277259127</x:v>
      </x:c>
      <x:c r="AQ334" s="39" t="n">
        <x:v>0.0034300297</x:v>
      </x:c>
      <x:c r="AR334" s="39" t="n">
        <x:v>-0.0337350821</x:v>
      </x:c>
      <x:c r="AS334" s="39" t="n">
        <x:v>0.0059419978</x:v>
      </x:c>
    </x:row>
    <x:row r="335" ht="19" customHeight="1">
      <x:c r="A335" s="30" t="str">
        <x:v>Primary sector</x:v>
      </x:c>
      <x:c r="B335" s="40" t="d">
        <x:v>2021-03-29T00:00:00.000Z</x:v>
      </x:c>
      <x:c r="C335" s="39" t="n">
        <x:v>-0.0688168891</x:v>
      </x:c>
      <x:c r="D335" s="39" t="n">
        <x:v>-0.0264655335</x:v>
      </x:c>
      <x:c r="E335" s="39" t="n">
        <x:v>0.0138549351</x:v>
      </x:c>
      <x:c r="F335" s="39" t="n">
        <x:v>0.016829161</x:v>
      </x:c>
      <x:c r="G335" s="39" t="n">
        <x:v>-0.005450807</x:v>
      </x:c>
      <x:c r="H335" s="39" t="n">
        <x:v>0.0330766375</x:v>
      </x:c>
      <x:c r="I335" s="39" t="n">
        <x:v>-0.0266627804</x:v>
      </x:c>
      <x:c r="J335" s="39" t="n">
        <x:v>-0.0094862668</x:v>
      </x:c>
      <x:c r="K335" s="39" t="n">
        <x:v>-0.004609304</x:v>
      </x:c>
      <x:c r="L335" s="39" t="n">
        <x:v>-0.0104933534</x:v>
      </x:c>
      <x:c r="M335" s="39" t="n">
        <x:v>-0.0331093359</x:v>
      </x:c>
      <x:c r="N335" s="39" t="n">
        <x:v>-0.0077609772</x:v>
      </x:c>
      <x:c r="O335" s="39" t="n">
        <x:v>0.02838781</x:v>
      </x:c>
      <x:c r="P335" s="39" t="n">
        <x:v>-0.0029893695</x:v>
      </x:c>
      <x:c r="Q335" s="39" t="n">
        <x:v>-0.0841756045</x:v>
      </x:c>
      <x:c r="R335" s="39"/>
      <x:c r="S335" s="39" t="n">
        <x:v>-0.0245522762</x:v>
      </x:c>
      <x:c r="T335" s="39" t="n">
        <x:v>-0.0082223536</x:v>
      </x:c>
      <x:c r="U335" s="39" t="n">
        <x:v>0.0236906526</x:v>
      </x:c>
      <x:c r="V335" s="39" t="n">
        <x:v>-0.0501657923</x:v>
      </x:c>
      <x:c r="W335" s="39" t="n">
        <x:v>0.0180822151</x:v>
      </x:c>
      <x:c r="X335" s="39" t="n">
        <x:v>0.0242836198</x:v>
      </x:c>
      <x:c r="Y335" s="39" t="n">
        <x:v>-0.0083800872</x:v>
      </x:c>
      <x:c r="Z335" s="39" t="n">
        <x:v>0.0599759407</x:v>
      </x:c>
      <x:c r="AA335" s="39" t="n">
        <x:v>0.0289589761</x:v>
      </x:c>
      <x:c r="AB335" s="39" t="n">
        <x:v>-0.0863049725</x:v>
      </x:c>
      <x:c r="AC335" s="39" t="n">
        <x:v>0.6211286811</x:v>
      </x:c>
      <x:c r="AD335" s="39" t="n">
        <x:v>0.0187402893</x:v>
      </x:c>
      <x:c r="AE335" s="39" t="n">
        <x:v>-0.0245376532</x:v>
      </x:c>
      <x:c r="AF335" s="39" t="n">
        <x:v>0.0196260949</x:v>
      </x:c>
      <x:c r="AG335" s="39" t="n">
        <x:v>0.0766139908</x:v>
      </x:c>
      <x:c r="AH335" s="39" t="n">
        <x:v>0.0622475395</x:v>
      </x:c>
      <x:c r="AI335" s="39" t="n">
        <x:v>-0.0059276226</x:v>
      </x:c>
      <x:c r="AJ335" s="39" t="n">
        <x:v>-0.1072651231</x:v>
      </x:c>
      <x:c r="AK335" s="39" t="n">
        <x:v>-0.0281935395</x:v>
      </x:c>
      <x:c r="AL335" s="39" t="n">
        <x:v>0.00336306</x:v>
      </x:c>
      <x:c r="AM335" s="39" t="n">
        <x:v>-0.0009532418</x:v>
      </x:c>
      <x:c r="AN335" s="39" t="n">
        <x:v>-0.0111301192</x:v>
      </x:c>
      <x:c r="AO335" s="39" t="n">
        <x:v>0.0426853842</x:v>
      </x:c>
      <x:c r="AP335" s="39" t="n">
        <x:v>0.1010873503</x:v>
      </x:c>
      <x:c r="AQ335" s="39" t="n">
        <x:v>0.0026350366</x:v>
      </x:c>
      <x:c r="AR335" s="39" t="n">
        <x:v>0.0148007114</x:v>
      </x:c>
      <x:c r="AS335" s="39" t="n">
        <x:v>0.0069685843</x:v>
      </x:c>
    </x:row>
    <x:row r="336" ht="19" customHeight="1">
      <x:c r="A336" s="30" t="str">
        <x:v>Primary sector</x:v>
      </x:c>
      <x:c r="B336" s="40" t="d">
        <x:v>2021-04-26T00:00:00.000Z</x:v>
      </x:c>
      <x:c r="C336" s="39" t="n">
        <x:v>-0.082188395</x:v>
      </x:c>
      <x:c r="D336" s="39" t="n">
        <x:v>-0.013204282</x:v>
      </x:c>
      <x:c r="E336" s="39" t="n">
        <x:v>-0.0072256737</x:v>
      </x:c>
      <x:c r="F336" s="39" t="n">
        <x:v>0.0258727097</x:v>
      </x:c>
      <x:c r="G336" s="39" t="n">
        <x:v>-0.0332438083</x:v>
      </x:c>
      <x:c r="H336" s="39" t="n">
        <x:v>-0.0001549942</x:v>
      </x:c>
      <x:c r="I336" s="39" t="n">
        <x:v>0.0155430163</x:v>
      </x:c>
      <x:c r="J336" s="39" t="n">
        <x:v>-0.0245118688</x:v>
      </x:c>
      <x:c r="K336" s="39" t="n">
        <x:v>0.0486927603</x:v>
      </x:c>
      <x:c r="L336" s="39" t="n">
        <x:v>-0.0075223127</x:v>
      </x:c>
      <x:c r="M336" s="39" t="n">
        <x:v>0.0205721158</x:v>
      </x:c>
      <x:c r="N336" s="39" t="n">
        <x:v>-0.0263337635</x:v>
      </x:c>
      <x:c r="O336" s="39" t="n">
        <x:v>-0.0129233614</x:v>
      </x:c>
      <x:c r="P336" s="39" t="n">
        <x:v>-0.0434059442</x:v>
      </x:c>
      <x:c r="Q336" s="39" t="n">
        <x:v>0.0371130893</x:v>
      </x:c>
      <x:c r="R336" s="39" t="n">
        <x:v>-0.0040950315</x:v>
      </x:c>
      <x:c r="S336" s="39" t="n">
        <x:v>-0.0240911438</x:v>
      </x:c>
      <x:c r="T336" s="39" t="n">
        <x:v>0.0590470669</x:v>
      </x:c>
      <x:c r="U336" s="39" t="n">
        <x:v>0.1628429586</x:v>
      </x:c>
      <x:c r="V336" s="39" t="n">
        <x:v>0.0093155718</x:v>
      </x:c>
      <x:c r="W336" s="39" t="n">
        <x:v>-0.0587869237</x:v>
      </x:c>
      <x:c r="X336" s="39" t="n">
        <x:v>0.0037911134</x:v>
      </x:c>
      <x:c r="Y336" s="39" t="n">
        <x:v>-0.0847136682</x:v>
      </x:c>
      <x:c r="Z336" s="39" t="n">
        <x:v>-0.039282149</x:v>
      </x:c>
      <x:c r="AA336" s="39" t="n">
        <x:v>0.0137251419</x:v>
      </x:c>
      <x:c r="AB336" s="39" t="n">
        <x:v>-0.0794052862</x:v>
      </x:c>
      <x:c r="AC336" s="39" t="n">
        <x:v>-0.2187549265</x:v>
      </x:c>
      <x:c r="AD336" s="39" t="n">
        <x:v>-0.015995312</x:v>
      </x:c>
      <x:c r="AE336" s="39" t="n">
        <x:v>-0.0771602149</x:v>
      </x:c>
      <x:c r="AF336" s="39" t="n">
        <x:v>-0.0120719738</x:v>
      </x:c>
      <x:c r="AG336" s="39" t="n">
        <x:v>-0.0736704617</x:v>
      </x:c>
      <x:c r="AH336" s="39" t="n">
        <x:v>0.0098214606</x:v>
      </x:c>
      <x:c r="AI336" s="39" t="n">
        <x:v>-0.0201965364</x:v>
      </x:c>
      <x:c r="AJ336" s="39" t="n">
        <x:v>-0.0559335726</x:v>
      </x:c>
      <x:c r="AK336" s="39" t="n">
        <x:v>-0.0430562934</x:v>
      </x:c>
      <x:c r="AL336" s="39" t="n">
        <x:v>0.0898712547</x:v>
      </x:c>
      <x:c r="AM336" s="39" t="n">
        <x:v>0.0033431415</x:v>
      </x:c>
      <x:c r="AN336" s="39" t="n">
        <x:v>0.0141643093</x:v>
      </x:c>
      <x:c r="AO336" s="39" t="n">
        <x:v>0.0035467284</x:v>
      </x:c>
      <x:c r="AP336" s="39" t="n">
        <x:v>0.0043392202</x:v>
      </x:c>
      <x:c r="AQ336" s="39" t="n">
        <x:v>-0.0048359563</x:v>
      </x:c>
      <x:c r="AR336" s="39" t="n">
        <x:v>-0.0286229066</x:v>
      </x:c>
      <x:c r="AS336" s="39" t="n">
        <x:v>0.0169396379</x:v>
      </x:c>
    </x:row>
    <x:row r="337" ht="19" customHeight="1">
      <x:c r="A337" s="30" t="str">
        <x:v>Primary sector</x:v>
      </x:c>
      <x:c r="B337" s="40" t="d">
        <x:v>2021-05-24T00:00:00.000Z</x:v>
      </x:c>
      <x:c r="C337" s="39" t="n">
        <x:v>-0.0299547177</x:v>
      </x:c>
      <x:c r="D337" s="39" t="n">
        <x:v>0.1362481535</x:v>
      </x:c>
      <x:c r="E337" s="39" t="n">
        <x:v>-0.005112071</x:v>
      </x:c>
      <x:c r="F337" s="39" t="n">
        <x:v>-0.0119531231</x:v>
      </x:c>
      <x:c r="G337" s="39" t="n">
        <x:v>-0.018910468</x:v>
      </x:c>
      <x:c r="H337" s="39" t="n">
        <x:v>-0.0392888392</x:v>
      </x:c>
      <x:c r="I337" s="39" t="n">
        <x:v>-0.0217288791</x:v>
      </x:c>
      <x:c r="J337" s="39" t="n">
        <x:v>-0.0475321488</x:v>
      </x:c>
      <x:c r="K337" s="39" t="n">
        <x:v>0.0099444773</x:v>
      </x:c>
      <x:c r="L337" s="39" t="n">
        <x:v>0.0120700873</x:v>
      </x:c>
      <x:c r="M337" s="39" t="n">
        <x:v>0.0219829602</x:v>
      </x:c>
      <x:c r="N337" s="39" t="n">
        <x:v>0.0152918527</x:v>
      </x:c>
      <x:c r="O337" s="39" t="n">
        <x:v>-0.0161277031</x:v>
      </x:c>
      <x:c r="P337" s="39" t="n">
        <x:v>0.0333378871</x:v>
      </x:c>
      <x:c r="Q337" s="39" t="n">
        <x:v>-0.0655943391</x:v>
      </x:c>
      <x:c r="R337" s="39" t="n">
        <x:v>-0.0051429437</x:v>
      </x:c>
      <x:c r="S337" s="39" t="n">
        <x:v>0.045543965</x:v>
      </x:c>
      <x:c r="T337" s="39" t="n">
        <x:v>-0.0359637826</x:v>
      </x:c>
      <x:c r="U337" s="39" t="n">
        <x:v>0.0165964009</x:v>
      </x:c>
      <x:c r="V337" s="39" t="n">
        <x:v>-0.0814130974</x:v>
      </x:c>
      <x:c r="W337" s="39" t="n">
        <x:v>-0.0154672405</x:v>
      </x:c>
      <x:c r="X337" s="39" t="n">
        <x:v>0.0125421654</x:v>
      </x:c>
      <x:c r="Y337" s="39" t="n">
        <x:v>-0.0240372599</x:v>
      </x:c>
      <x:c r="Z337" s="39" t="n">
        <x:v>0.0676625576</x:v>
      </x:c>
      <x:c r="AA337" s="39" t="n">
        <x:v>-0.0337044817</x:v>
      </x:c>
      <x:c r="AB337" s="39" t="n">
        <x:v>-0.0126024378</x:v>
      </x:c>
      <x:c r="AC337" s="39" t="n">
        <x:v>0.1796902008</x:v>
      </x:c>
      <x:c r="AD337" s="39" t="n">
        <x:v>-0.0023584494</x:v>
      </x:c>
      <x:c r="AE337" s="39" t="n">
        <x:v>0.1483219557</x:v>
      </x:c>
      <x:c r="AF337" s="39" t="n">
        <x:v>-0.0072037826</x:v>
      </x:c>
      <x:c r="AG337" s="39" t="n">
        <x:v>0.0276797924</x:v>
      </x:c>
      <x:c r="AH337" s="39" t="n">
        <x:v>-0.0116452923</x:v>
      </x:c>
      <x:c r="AI337" s="39" t="n">
        <x:v>0.0034406064</x:v>
      </x:c>
      <x:c r="AJ337" s="39" t="n">
        <x:v>0.0268095175</x:v>
      </x:c>
      <x:c r="AK337" s="39" t="n">
        <x:v>-0.0258214125</x:v>
      </x:c>
      <x:c r="AL337" s="39" t="n">
        <x:v>0.0668237876</x:v>
      </x:c>
      <x:c r="AM337" s="39" t="n">
        <x:v>0.0001974926</x:v>
      </x:c>
      <x:c r="AN337" s="39" t="n">
        <x:v>-0.0145986954</x:v>
      </x:c>
      <x:c r="AO337" s="39" t="n">
        <x:v>-0.0049840025</x:v>
      </x:c>
      <x:c r="AP337" s="39" t="n">
        <x:v>0.0046161116</x:v>
      </x:c>
      <x:c r="AQ337" s="39" t="n">
        <x:v>-0.0040651244</x:v>
      </x:c>
      <x:c r="AR337" s="39" t="n">
        <x:v>0.0070603811</x:v>
      </x:c>
      <x:c r="AS337" s="39" t="n">
        <x:v>0.0110197272</x:v>
      </x:c>
    </x:row>
    <x:row r="338" ht="19" customHeight="1">
      <x:c r="A338" s="30" t="str">
        <x:v>Primary sector</x:v>
      </x:c>
      <x:c r="B338" s="40" t="d">
        <x:v>2021-06-21T00:00:00.000Z</x:v>
      </x:c>
      <x:c r="C338" s="39" t="n">
        <x:v>0.0725976824</x:v>
      </x:c>
      <x:c r="D338" s="39" t="n">
        <x:v>-0.0116591932</x:v>
      </x:c>
      <x:c r="E338" s="39" t="n">
        <x:v>0.0071825079</x:v>
      </x:c>
      <x:c r="F338" s="39" t="n">
        <x:v>-0.0241225364</x:v>
      </x:c>
      <x:c r="G338" s="39" t="n">
        <x:v>0.00985624</x:v>
      </x:c>
      <x:c r="H338" s="39" t="n">
        <x:v>0.0724974434</x:v>
      </x:c>
      <x:c r="I338" s="39" t="n">
        <x:v>0.0127078644</x:v>
      </x:c>
      <x:c r="J338" s="39" t="n">
        <x:v>-0.0378446057</x:v>
      </x:c>
      <x:c r="K338" s="39" t="n">
        <x:v>-0.1108422707</x:v>
      </x:c>
      <x:c r="L338" s="39" t="n">
        <x:v>-0.0472070342</x:v>
      </x:c>
      <x:c r="M338" s="39" t="n">
        <x:v>-0.0165527427</x:v>
      </x:c>
      <x:c r="N338" s="39" t="n">
        <x:v>0.0375057318</x:v>
      </x:c>
      <x:c r="O338" s="39" t="n">
        <x:v>0.0241307139</x:v>
      </x:c>
      <x:c r="P338" s="39" t="n">
        <x:v>-0.0994736576</x:v>
      </x:c>
      <x:c r="Q338" s="39" t="n">
        <x:v>0.0265363359</x:v>
      </x:c>
      <x:c r="R338" s="39" t="n">
        <x:v>0.0681228347</x:v>
      </x:c>
      <x:c r="S338" s="39" t="n">
        <x:v>-0.0045668341</x:v>
      </x:c>
      <x:c r="T338" s="39" t="n">
        <x:v>0.1266961968</x:v>
      </x:c>
      <x:c r="U338" s="39" t="n">
        <x:v>0.1469940535</x:v>
      </x:c>
      <x:c r="V338" s="39" t="n">
        <x:v>0.1502851557</x:v>
      </x:c>
      <x:c r="W338" s="39" t="n">
        <x:v>0.016578063</x:v>
      </x:c>
      <x:c r="X338" s="39" t="n">
        <x:v>0.0055980386</x:v>
      </x:c>
      <x:c r="Y338" s="39" t="n">
        <x:v>-0.075441621</x:v>
      </x:c>
      <x:c r="Z338" s="39" t="n">
        <x:v>-0.0452706227</x:v>
      </x:c>
      <x:c r="AA338" s="39" t="n">
        <x:v>-0.0112357395</x:v>
      </x:c>
      <x:c r="AB338" s="39" t="n">
        <x:v>-0.0016912871</x:v>
      </x:c>
      <x:c r="AC338" s="39" t="n">
        <x:v>-0.0649419095</x:v>
      </x:c>
      <x:c r="AD338" s="39" t="n">
        <x:v>0.0211194382</x:v>
      </x:c>
      <x:c r="AE338" s="39" t="n">
        <x:v>0.0385049543</x:v>
      </x:c>
      <x:c r="AF338" s="39" t="n">
        <x:v>-0.0945732753</x:v>
      </x:c>
      <x:c r="AG338" s="39" t="n">
        <x:v>0.0376357805</x:v>
      </x:c>
      <x:c r="AH338" s="39" t="n">
        <x:v>0.0274202374</x:v>
      </x:c>
      <x:c r="AI338" s="39" t="n">
        <x:v>-0.0084277641</x:v>
      </x:c>
      <x:c r="AJ338" s="39" t="n">
        <x:v>0.058557424</x:v>
      </x:c>
      <x:c r="AK338" s="39" t="n">
        <x:v>0.0516546481</x:v>
      </x:c>
      <x:c r="AL338" s="39" t="n">
        <x:v>0.0002641342</x:v>
      </x:c>
      <x:c r="AM338" s="39" t="n">
        <x:v>0.0223818034</x:v>
      </x:c>
      <x:c r="AN338" s="39" t="n">
        <x:v>0.0145626143</x:v>
      </x:c>
      <x:c r="AO338" s="39" t="n">
        <x:v>0.032425065</x:v>
      </x:c>
      <x:c r="AP338" s="39" t="n">
        <x:v>-0.0070218086</x:v>
      </x:c>
      <x:c r="AQ338" s="39" t="n">
        <x:v>0.0062178917</x:v>
      </x:c>
      <x:c r="AR338" s="39" t="n">
        <x:v>-0.02976071</x:v>
      </x:c>
      <x:c r="AS338" s="39" t="n">
        <x:v>-0.0148235278</x:v>
      </x:c>
    </x:row>
    <x:row r="339" ht="19" customHeight="1">
      <x:c r="A339" s="30" t="str">
        <x:v>Primary sector</x:v>
      </x:c>
      <x:c r="B339" s="40" t="d">
        <x:v>2021-07-19T00:00:00.000Z</x:v>
      </x:c>
      <x:c r="C339" s="39" t="n">
        <x:v>-0.0156538471</x:v>
      </x:c>
      <x:c r="D339" s="39" t="n">
        <x:v>0.0952643553</x:v>
      </x:c>
      <x:c r="E339" s="39" t="n">
        <x:v>0.0101107653</x:v>
      </x:c>
      <x:c r="F339" s="39" t="n">
        <x:v>-0.0164031823</x:v>
      </x:c>
      <x:c r="G339" s="39" t="n">
        <x:v>0.0007928042</x:v>
      </x:c>
      <x:c r="H339" s="39" t="n">
        <x:v>0.1358235078</x:v>
      </x:c>
      <x:c r="I339" s="39" t="n">
        <x:v>0.0225244944</x:v>
      </x:c>
      <x:c r="J339" s="39" t="n">
        <x:v>-0.0535319071</x:v>
      </x:c>
      <x:c r="K339" s="39" t="n">
        <x:v>-0.0669914914</x:v>
      </x:c>
      <x:c r="L339" s="39" t="n">
        <x:v>-0.0722582452</x:v>
      </x:c>
      <x:c r="M339" s="39" t="n">
        <x:v>-0.0573865821</x:v>
      </x:c>
      <x:c r="N339" s="39" t="n">
        <x:v>0.0346837968</x:v>
      </x:c>
      <x:c r="O339" s="39" t="n">
        <x:v>0.0211649053</x:v>
      </x:c>
      <x:c r="P339" s="39" t="n">
        <x:v>-0.1196415038</x:v>
      </x:c>
      <x:c r="Q339" s="39" t="n">
        <x:v>-0.1378654776</x:v>
      </x:c>
      <x:c r="R339" s="39" t="n">
        <x:v>-0.0212808439</x:v>
      </x:c>
      <x:c r="S339" s="39" t="n">
        <x:v>-0.019969863</x:v>
      </x:c>
      <x:c r="T339" s="39" t="n">
        <x:v>0.0312080973</x:v>
      </x:c>
      <x:c r="U339" s="39" t="n">
        <x:v>0.3471252618</x:v>
      </x:c>
      <x:c r="V339" s="39" t="n">
        <x:v>0.0282637085</x:v>
      </x:c>
      <x:c r="W339" s="39" t="n">
        <x:v>-0.0358944849</x:v>
      </x:c>
      <x:c r="X339" s="39" t="n">
        <x:v>0.0499322968</x:v>
      </x:c>
      <x:c r="Y339" s="39" t="n">
        <x:v>-0.0995332847</x:v>
      </x:c>
      <x:c r="Z339" s="39" t="n">
        <x:v>0.0350416618</x:v>
      </x:c>
      <x:c r="AA339" s="39" t="n">
        <x:v>-0.0108244524</x:v>
      </x:c>
      <x:c r="AB339" s="39" t="n">
        <x:v>-0.1472935646</x:v>
      </x:c>
      <x:c r="AC339" s="39" t="n">
        <x:v>0.0126735101</x:v>
      </x:c>
      <x:c r="AD339" s="39" t="n">
        <x:v>0.032998286</x:v>
      </x:c>
      <x:c r="AE339" s="39" t="n">
        <x:v>-0.0410830079</x:v>
      </x:c>
      <x:c r="AF339" s="39" t="n">
        <x:v>-0.0833450616</x:v>
      </x:c>
      <x:c r="AG339" s="39" t="n">
        <x:v>-0.0386392996</x:v>
      </x:c>
      <x:c r="AH339" s="39" t="n">
        <x:v>0.0073759035</x:v>
      </x:c>
      <x:c r="AI339" s="39" t="n">
        <x:v>0.0002961476</x:v>
      </x:c>
      <x:c r="AJ339" s="39" t="n">
        <x:v>-0.0148989329</x:v>
      </x:c>
      <x:c r="AK339" s="39" t="n">
        <x:v>0.0181676726</x:v>
      </x:c>
      <x:c r="AL339" s="39" t="n">
        <x:v>-0.0042828544</x:v>
      </x:c>
      <x:c r="AM339" s="39" t="n">
        <x:v>0.0325534638</x:v>
      </x:c>
      <x:c r="AN339" s="39" t="n">
        <x:v>0.0418778544</x:v>
      </x:c>
      <x:c r="AO339" s="39" t="n">
        <x:v>0.0419075837</x:v>
      </x:c>
      <x:c r="AP339" s="39" t="n">
        <x:v>0.0455397951</x:v>
      </x:c>
      <x:c r="AQ339" s="39" t="n">
        <x:v>0.033201254</x:v>
      </x:c>
      <x:c r="AR339" s="39" t="n">
        <x:v>0.011328543</x:v>
      </x:c>
      <x:c r="AS339" s="39" t="n">
        <x:v>0.0139502228</x:v>
      </x:c>
    </x:row>
    <x:row r="340" ht="19" customHeight="1">
      <x:c r="A340" s="30" t="str">
        <x:v>Primary sector</x:v>
      </x:c>
      <x:c r="B340" s="40" t="d">
        <x:v>2021-08-16T00:00:00.000Z</x:v>
      </x:c>
      <x:c r="C340" s="39" t="n">
        <x:v>-0.0818487664</x:v>
      </x:c>
      <x:c r="D340" s="39" t="n">
        <x:v>0.0273944252</x:v>
      </x:c>
      <x:c r="E340" s="39" t="n">
        <x:v>0.0180909658</x:v>
      </x:c>
      <x:c r="F340" s="39" t="n">
        <x:v>0.0315363813</x:v>
      </x:c>
      <x:c r="G340" s="39" t="n">
        <x:v>0.0297820095</x:v>
      </x:c>
      <x:c r="H340" s="39" t="n">
        <x:v>0.0587823166</x:v>
      </x:c>
      <x:c r="I340" s="39" t="n">
        <x:v>-0.0653379624</x:v>
      </x:c>
      <x:c r="J340" s="39" t="n">
        <x:v>-0.0070010681</x:v>
      </x:c>
      <x:c r="K340" s="39" t="n">
        <x:v>0.0088179046</x:v>
      </x:c>
      <x:c r="L340" s="39" t="n">
        <x:v>0.0090175759</x:v>
      </x:c>
      <x:c r="M340" s="39" t="n">
        <x:v>-0.0660767271</x:v>
      </x:c>
      <x:c r="N340" s="39" t="n">
        <x:v>-0.017821905</x:v>
      </x:c>
      <x:c r="O340" s="39" t="n">
        <x:v>0.0631588647</x:v>
      </x:c>
      <x:c r="P340" s="39" t="n">
        <x:v>-0.0295894353</x:v>
      </x:c>
      <x:c r="Q340" s="39" t="n">
        <x:v>0.0160477583</x:v>
      </x:c>
      <x:c r="R340" s="39" t="n">
        <x:v>-0.0253386479</x:v>
      </x:c>
      <x:c r="S340" s="39" t="n">
        <x:v>-0.0340327829</x:v>
      </x:c>
      <x:c r="T340" s="39" t="n">
        <x:v>-0.003313606</x:v>
      </x:c>
      <x:c r="U340" s="39" t="n">
        <x:v>0.1121634697</x:v>
      </x:c>
      <x:c r="V340" s="39" t="n">
        <x:v>0.0182500315</x:v>
      </x:c>
      <x:c r="W340" s="39" t="n">
        <x:v>0.0505385575</x:v>
      </x:c>
      <x:c r="X340" s="39" t="n">
        <x:v>0.0565497682</x:v>
      </x:c>
      <x:c r="Y340" s="39" t="n">
        <x:v>-0.039752158</x:v>
      </x:c>
      <x:c r="Z340" s="39" t="n">
        <x:v>0.0084391429</x:v>
      </x:c>
      <x:c r="AA340" s="39" t="n">
        <x:v>-0.0012024303</x:v>
      </x:c>
      <x:c r="AB340" s="39" t="n">
        <x:v>-0.0390482533</x:v>
      </x:c>
      <x:c r="AC340" s="39" t="n">
        <x:v>0.3338602092</x:v>
      </x:c>
      <x:c r="AD340" s="39" t="n">
        <x:v>0.033824747</x:v>
      </x:c>
      <x:c r="AE340" s="39" t="n">
        <x:v>-0.0151915542</x:v>
      </x:c>
      <x:c r="AF340" s="39" t="n">
        <x:v>0.0039114802</x:v>
      </x:c>
      <x:c r="AG340" s="39" t="n">
        <x:v>0.022631588</x:v>
      </x:c>
      <x:c r="AH340" s="39" t="n">
        <x:v>0.0322937688</x:v>
      </x:c>
      <x:c r="AI340" s="39" t="n">
        <x:v>0.1102300178</x:v>
      </x:c>
      <x:c r="AJ340" s="39" t="n">
        <x:v>0.023500458</x:v>
      </x:c>
      <x:c r="AK340" s="39" t="n">
        <x:v>-0.0250623529</x:v>
      </x:c>
      <x:c r="AL340" s="39" t="n">
        <x:v>0.0110201925</x:v>
      </x:c>
      <x:c r="AM340" s="39" t="n">
        <x:v>0.0339925944</x:v>
      </x:c>
      <x:c r="AN340" s="39" t="n">
        <x:v>0.0388867097</x:v>
      </x:c>
      <x:c r="AO340" s="39" t="n">
        <x:v>0.057033996</x:v>
      </x:c>
      <x:c r="AP340" s="39" t="n">
        <x:v>0.026464581</x:v>
      </x:c>
      <x:c r="AQ340" s="39" t="n">
        <x:v>-0.002425574</x:v>
      </x:c>
      <x:c r="AR340" s="39" t="n">
        <x:v>0.010024381</x:v>
      </x:c>
      <x:c r="AS340" s="39" t="n">
        <x:v>0.0098086664</x:v>
      </x:c>
    </x:row>
    <x:row r="341" ht="19" customHeight="1">
      <x:c r="A341" s="30" t="str">
        <x:v>Primary sector</x:v>
      </x:c>
      <x:c r="B341" s="40" t="d">
        <x:v>2021-09-13T00:00:00.000Z</x:v>
      </x:c>
      <x:c r="C341" s="39" t="n">
        <x:v>0.0089846562</x:v>
      </x:c>
      <x:c r="D341" s="39" t="n">
        <x:v>-0.0098741798</x:v>
      </x:c>
      <x:c r="E341" s="39" t="n">
        <x:v>-0.0373130038</x:v>
      </x:c>
      <x:c r="F341" s="39" t="n">
        <x:v>0.0036580968</x:v>
      </x:c>
      <x:c r="G341" s="39" t="n">
        <x:v>0.0306683831</x:v>
      </x:c>
      <x:c r="H341" s="39" t="n">
        <x:v>-0.0171683923</x:v>
      </x:c>
      <x:c r="I341" s="39" t="n">
        <x:v>0.0313042833</x:v>
      </x:c>
      <x:c r="J341" s="39" t="n">
        <x:v>-0.0906985548</x:v>
      </x:c>
      <x:c r="K341" s="39" t="n">
        <x:v>-0.0951560541</x:v>
      </x:c>
      <x:c r="L341" s="39" t="n">
        <x:v>-0.006171588</x:v>
      </x:c>
      <x:c r="M341" s="39" t="n">
        <x:v>0.0514016204</x:v>
      </x:c>
      <x:c r="N341" s="39" t="n">
        <x:v>0.0324472222</x:v>
      </x:c>
      <x:c r="O341" s="39" t="n">
        <x:v>-0.042452683</x:v>
      </x:c>
      <x:c r="P341" s="39" t="n">
        <x:v>-0.0778867178</x:v>
      </x:c>
      <x:c r="Q341" s="39" t="n">
        <x:v>0.1948443977</x:v>
      </x:c>
      <x:c r="R341" s="39" t="n">
        <x:v>0.288712381</x:v>
      </x:c>
      <x:c r="S341" s="39" t="n">
        <x:v>-0.0502359009</x:v>
      </x:c>
      <x:c r="T341" s="39" t="n">
        <x:v>0.0507592963</x:v>
      </x:c>
      <x:c r="U341" s="39" t="n">
        <x:v>0.0536906077</x:v>
      </x:c>
      <x:c r="V341" s="39" t="n">
        <x:v>-0.0382049128</x:v>
      </x:c>
      <x:c r="W341" s="39" t="n">
        <x:v>0.0512482317</x:v>
      </x:c>
      <x:c r="X341" s="39" t="n">
        <x:v>-0.0461156369</x:v>
      </x:c>
      <x:c r="Y341" s="39" t="n">
        <x:v>-0.0213316903</x:v>
      </x:c>
      <x:c r="Z341" s="39" t="n">
        <x:v>-0.0635260338</x:v>
      </x:c>
      <x:c r="AA341" s="39" t="n">
        <x:v>-0.0417794665</x:v>
      </x:c>
      <x:c r="AB341" s="39" t="n">
        <x:v>0.0150129615</x:v>
      </x:c>
      <x:c r="AC341" s="39" t="n">
        <x:v>0.3431562414</x:v>
      </x:c>
      <x:c r="AD341" s="39" t="n">
        <x:v>-0.0004186852</x:v>
      </x:c>
      <x:c r="AE341" s="39" t="n">
        <x:v>0.0071274386</x:v>
      </x:c>
      <x:c r="AF341" s="39" t="n">
        <x:v>-0.057255499</x:v>
      </x:c>
      <x:c r="AG341" s="39" t="n">
        <x:v>-0.0145252701</x:v>
      </x:c>
      <x:c r="AH341" s="39" t="n">
        <x:v>-0.0476827427</x:v>
      </x:c>
      <x:c r="AI341" s="39" t="n">
        <x:v>-0.0351631961</x:v>
      </x:c>
      <x:c r="AJ341" s="39" t="n">
        <x:v>-0.1054861649</x:v>
      </x:c>
      <x:c r="AK341" s="39" t="n">
        <x:v>-0.0250557116</x:v>
      </x:c>
      <x:c r="AL341" s="39" t="n">
        <x:v>-0.053185516</x:v>
      </x:c>
      <x:c r="AM341" s="39" t="n">
        <x:v>-0.0028756604</x:v>
      </x:c>
      <x:c r="AN341" s="39" t="n">
        <x:v>-0.0083991754</x:v>
      </x:c>
      <x:c r="AO341" s="39" t="n">
        <x:v>-0.00936362</x:v>
      </x:c>
      <x:c r="AP341" s="39" t="n">
        <x:v>-0.0110008503</x:v>
      </x:c>
      <x:c r="AQ341" s="39" t="n">
        <x:v>-0.0327316968</x:v>
      </x:c>
      <x:c r="AR341" s="39" t="n">
        <x:v>-0.0579702642</x:v>
      </x:c>
      <x:c r="AS341" s="39" t="n">
        <x:v>-0.0349028075</x:v>
      </x:c>
    </x:row>
    <x:row r="342" ht="19" customHeight="1">
      <x:c r="A342" s="30" t="str">
        <x:v>Primary sector</x:v>
      </x:c>
      <x:c r="B342" s="40" t="d">
        <x:v>2021-10-11T00:00:00.000Z</x:v>
      </x:c>
      <x:c r="C342" s="39" t="n">
        <x:v>0.0538055222</x:v>
      </x:c>
      <x:c r="D342" s="39" t="n">
        <x:v>0.1215277906</x:v>
      </x:c>
      <x:c r="E342" s="39" t="n">
        <x:v>-0.0155061256</x:v>
      </x:c>
      <x:c r="F342" s="39" t="n">
        <x:v>-0.0617667011</x:v>
      </x:c>
      <x:c r="G342" s="39" t="n">
        <x:v>-0.0169946775</x:v>
      </x:c>
      <x:c r="H342" s="39" t="n">
        <x:v>-0.0461022787</x:v>
      </x:c>
      <x:c r="I342" s="39" t="n">
        <x:v>-0.0298053718</x:v>
      </x:c>
      <x:c r="J342" s="39" t="n">
        <x:v>0.0302634753</x:v>
      </x:c>
      <x:c r="K342" s="39" t="n">
        <x:v>-0.0251002167</x:v>
      </x:c>
      <x:c r="L342" s="39" t="n">
        <x:v>-0.0157554496</x:v>
      </x:c>
      <x:c r="M342" s="39" t="n">
        <x:v>0.0923541946</x:v>
      </x:c>
      <x:c r="N342" s="39" t="n">
        <x:v>0.0425683372</x:v>
      </x:c>
      <x:c r="O342" s="39" t="n">
        <x:v>0.0063898426</x:v>
      </x:c>
      <x:c r="P342" s="39" t="n">
        <x:v>-0.0721840676</x:v>
      </x:c>
      <x:c r="Q342" s="39" t="n">
        <x:v>0.0002229735</x:v>
      </x:c>
      <x:c r="R342" s="39" t="n">
        <x:v>0.0560054179</x:v>
      </x:c>
      <x:c r="S342" s="39" t="n">
        <x:v>0.0688684866</x:v>
      </x:c>
      <x:c r="T342" s="39" t="n">
        <x:v>0.1458931858</x:v>
      </x:c>
      <x:c r="U342" s="39" t="n">
        <x:v>-0.2019704467</x:v>
      </x:c>
      <x:c r="V342" s="39" t="n">
        <x:v>-0.0107391511</x:v>
      </x:c>
      <x:c r="W342" s="39" t="n">
        <x:v>0.072807282</x:v>
      </x:c>
      <x:c r="X342" s="39" t="n">
        <x:v>-0.0169800402</x:v>
      </x:c>
      <x:c r="Y342" s="39" t="n">
        <x:v>-0.1092319812</x:v>
      </x:c>
      <x:c r="Z342" s="39" t="n">
        <x:v>-0.0426904752</x:v>
      </x:c>
      <x:c r="AA342" s="39" t="n">
        <x:v>-0.0360695902</x:v>
      </x:c>
      <x:c r="AB342" s="39" t="n">
        <x:v>-0.1216027124</x:v>
      </x:c>
      <x:c r="AC342" s="39" t="n">
        <x:v>0.1390555511</x:v>
      </x:c>
      <x:c r="AD342" s="39" t="n">
        <x:v>-0.0048556471</x:v>
      </x:c>
      <x:c r="AE342" s="39" t="n">
        <x:v>0.0632034662</x:v>
      </x:c>
      <x:c r="AF342" s="39" t="n">
        <x:v>0.0613929684</x:v>
      </x:c>
      <x:c r="AG342" s="39" t="n">
        <x:v>-0.0140691782</x:v>
      </x:c>
      <x:c r="AH342" s="39" t="n">
        <x:v>0.0123020694</x:v>
      </x:c>
      <x:c r="AI342" s="39" t="n">
        <x:v>0.0306499535</x:v>
      </x:c>
      <x:c r="AJ342" s="39" t="n">
        <x:v>0.0399398847</x:v>
      </x:c>
      <x:c r="AK342" s="39" t="n">
        <x:v>-0.0416178351</x:v>
      </x:c>
      <x:c r="AL342" s="39" t="n">
        <x:v>0.0484591543</x:v>
      </x:c>
      <x:c r="AM342" s="39" t="n">
        <x:v>0.0092125251</x:v>
      </x:c>
      <x:c r="AN342" s="39" t="n">
        <x:v>-0.0045713067</x:v>
      </x:c>
      <x:c r="AO342" s="39" t="n">
        <x:v>-0.0271315809</x:v>
      </x:c>
      <x:c r="AP342" s="39" t="n">
        <x:v>0.0083412138</x:v>
      </x:c>
      <x:c r="AQ342" s="39" t="n">
        <x:v>-0.0162041872</x:v>
      </x:c>
      <x:c r="AR342" s="39" t="n">
        <x:v>-0.0046430267</x:v>
      </x:c>
      <x:c r="AS342" s="39" t="n">
        <x:v>-0.0120868539</x:v>
      </x:c>
    </x:row>
    <x:row r="343" ht="19" customHeight="1">
      <x:c r="A343" s="30" t="str">
        <x:v>Primary sector</x:v>
      </x:c>
      <x:c r="B343" s="40" t="d">
        <x:v>2021-11-08T00:00:00.000Z</x:v>
      </x:c>
      <x:c r="C343" s="39" t="n">
        <x:v>-0.045241804</x:v>
      </x:c>
      <x:c r="D343" s="39" t="n">
        <x:v>-0.0688183147</x:v>
      </x:c>
      <x:c r="E343" s="39" t="n">
        <x:v>-0.0009679116</x:v>
      </x:c>
      <x:c r="F343" s="39" t="n">
        <x:v>-0.0142329862</x:v>
      </x:c>
      <x:c r="G343" s="39" t="n">
        <x:v>-0.0686097282</x:v>
      </x:c>
      <x:c r="H343" s="39" t="n">
        <x:v>-0.000325192</x:v>
      </x:c>
      <x:c r="I343" s="39" t="n">
        <x:v>-0.0405943421</x:v>
      </x:c>
      <x:c r="J343" s="39" t="n">
        <x:v>0.0989017042</x:v>
      </x:c>
      <x:c r="K343" s="39" t="n">
        <x:v>0.1060756051</x:v>
      </x:c>
      <x:c r="L343" s="39" t="n">
        <x:v>-0.0327841997</x:v>
      </x:c>
      <x:c r="M343" s="39" t="n">
        <x:v>0.045922263</x:v>
      </x:c>
      <x:c r="N343" s="39" t="n">
        <x:v>-0.0394424165</x:v>
      </x:c>
      <x:c r="O343" s="39" t="n">
        <x:v>0.0000061146</x:v>
      </x:c>
      <x:c r="P343" s="39" t="n">
        <x:v>0.0001923372</x:v>
      </x:c>
      <x:c r="Q343" s="39" t="n">
        <x:v>-0.0326590446</x:v>
      </x:c>
      <x:c r="R343" s="39" t="n">
        <x:v>0.1696442549</x:v>
      </x:c>
      <x:c r="S343" s="39" t="n">
        <x:v>0.0378028358</x:v>
      </x:c>
      <x:c r="T343" s="39" t="n">
        <x:v>0.0804093744</x:v>
      </x:c>
      <x:c r="U343" s="39" t="n">
        <x:v>-0.2068902062</x:v>
      </x:c>
      <x:c r="V343" s="39" t="n">
        <x:v>-0.0646892269</x:v>
      </x:c>
      <x:c r="W343" s="39" t="n">
        <x:v>0.0520849689</x:v>
      </x:c>
      <x:c r="X343" s="39" t="n">
        <x:v>0.0331615135</x:v>
      </x:c>
      <x:c r="Y343" s="39" t="n">
        <x:v>0.0318407437</x:v>
      </x:c>
      <x:c r="Z343" s="39" t="n">
        <x:v>0.0363570697</x:v>
      </x:c>
      <x:c r="AA343" s="39" t="n">
        <x:v>0.0289850059</x:v>
      </x:c>
      <x:c r="AB343" s="39" t="n">
        <x:v>-0.108332861</x:v>
      </x:c>
      <x:c r="AC343" s="39" t="n">
        <x:v>-0.2821296377</x:v>
      </x:c>
      <x:c r="AD343" s="39" t="n">
        <x:v>0.0109702674</x:v>
      </x:c>
      <x:c r="AE343" s="39" t="n">
        <x:v>0.134969741</x:v>
      </x:c>
      <x:c r="AF343" s="39" t="n">
        <x:v>-0.0816957596</x:v>
      </x:c>
      <x:c r="AG343" s="39" t="n">
        <x:v>0.0215357224</x:v>
      </x:c>
      <x:c r="AH343" s="39" t="n">
        <x:v>-0.0420034595</x:v>
      </x:c>
      <x:c r="AI343" s="39" t="n">
        <x:v>0.1307541589</x:v>
      </x:c>
      <x:c r="AJ343" s="39" t="n">
        <x:v>0.0100153167</x:v>
      </x:c>
      <x:c r="AK343" s="39" t="n">
        <x:v>-0.0094692585</x:v>
      </x:c>
      <x:c r="AL343" s="39" t="n">
        <x:v>-0.0626247804</x:v>
      </x:c>
      <x:c r="AM343" s="39" t="n">
        <x:v>0.0317373442</x:v>
      </x:c>
      <x:c r="AN343" s="39" t="n">
        <x:v>0.0186972929</x:v>
      </x:c>
      <x:c r="AO343" s="39" t="n">
        <x:v>0.0778983697</x:v>
      </x:c>
      <x:c r="AP343" s="39" t="n">
        <x:v>0.0213038089</x:v>
      </x:c>
      <x:c r="AQ343" s="39" t="n">
        <x:v>0.0208485906</x:v>
      </x:c>
      <x:c r="AR343" s="39" t="n">
        <x:v>-0.0019727874</x:v>
      </x:c>
      <x:c r="AS343" s="39" t="n">
        <x:v>0.0044744597</x:v>
      </x:c>
    </x:row>
    <x:row r="344" ht="19" customHeight="1">
      <x:c r="A344" s="30" t="str">
        <x:v>Primary sector</x:v>
      </x:c>
      <x:c r="B344" s="40" t="d">
        <x:v>2021-12-06T00:00:00.000Z</x:v>
      </x:c>
      <x:c r="C344" s="39" t="n">
        <x:v>0.0117955594</x:v>
      </x:c>
      <x:c r="D344" s="39" t="n">
        <x:v>-0.0351616411</x:v>
      </x:c>
      <x:c r="E344" s="39" t="n">
        <x:v>-0.0021577082</x:v>
      </x:c>
      <x:c r="F344" s="39" t="n">
        <x:v>0.0068681158</x:v>
      </x:c>
      <x:c r="G344" s="39" t="n">
        <x:v>0.0096016479</x:v>
      </x:c>
      <x:c r="H344" s="39" t="n">
        <x:v>-0.0413887326</x:v>
      </x:c>
      <x:c r="I344" s="39" t="n">
        <x:v>-0.0193127999</x:v>
      </x:c>
      <x:c r="J344" s="39" t="n">
        <x:v>-0.0332382691</x:v>
      </x:c>
      <x:c r="K344" s="39" t="n">
        <x:v>-0.0964569177</x:v>
      </x:c>
      <x:c r="L344" s="39" t="n">
        <x:v>-0.0481035535</x:v>
      </x:c>
      <x:c r="M344" s="39" t="n">
        <x:v>-0.0504084818</x:v>
      </x:c>
      <x:c r="N344" s="39" t="n">
        <x:v>0.0560783735</x:v>
      </x:c>
      <x:c r="O344" s="39" t="n">
        <x:v>-0.0137440725</x:v>
      </x:c>
      <x:c r="P344" s="39" t="n">
        <x:v>-0.1065901996</x:v>
      </x:c>
      <x:c r="Q344" s="39" t="n">
        <x:v>-0.0766344245</x:v>
      </x:c>
      <x:c r="R344" s="39" t="n">
        <x:v>-0.3411931641</x:v>
      </x:c>
      <x:c r="S344" s="39" t="n">
        <x:v>0.0073886111</x:v>
      </x:c>
      <x:c r="T344" s="39" t="n">
        <x:v>-0.2867701578</x:v>
      </x:c>
      <x:c r="U344" s="39" t="n">
        <x:v>0.1096502021</x:v>
      </x:c>
      <x:c r="V344" s="39" t="n">
        <x:v>-0.1201032147</x:v>
      </x:c>
      <x:c r="W344" s="39" t="n">
        <x:v>-0.0277840631</x:v>
      </x:c>
      <x:c r="X344" s="39" t="n">
        <x:v>-0.0025548492</x:v>
      </x:c>
      <x:c r="Y344" s="39" t="n">
        <x:v>-0.0033662669</x:v>
      </x:c>
      <x:c r="Z344" s="39" t="n">
        <x:v>0.0078558866</x:v>
      </x:c>
      <x:c r="AA344" s="39" t="n">
        <x:v>-0.0040024818</x:v>
      </x:c>
      <x:c r="AB344" s="39" t="n">
        <x:v>-0.0690123728</x:v>
      </x:c>
      <x:c r="AC344" s="39" t="n">
        <x:v>-0.2739745193</x:v>
      </x:c>
      <x:c r="AD344" s="39" t="n">
        <x:v>0.0419803756</x:v>
      </x:c>
      <x:c r="AE344" s="39" t="n">
        <x:v>0.0867849989</x:v>
      </x:c>
      <x:c r="AF344" s="39" t="n">
        <x:v>-0.0183847888</x:v>
      </x:c>
      <x:c r="AG344" s="39" t="n">
        <x:v>-0.0206514543</x:v>
      </x:c>
      <x:c r="AH344" s="39" t="n">
        <x:v>0.004137715</x:v>
      </x:c>
      <x:c r="AI344" s="39" t="n">
        <x:v>-0.1103176071</x:v>
      </x:c>
      <x:c r="AJ344" s="39" t="n">
        <x:v>-0.0646391176</x:v>
      </x:c>
      <x:c r="AK344" s="39" t="n">
        <x:v>-0.0368827851</x:v>
      </x:c>
      <x:c r="AL344" s="39" t="n">
        <x:v>-0.0032653362</x:v>
      </x:c>
      <x:c r="AM344" s="39" t="n">
        <x:v>0.0031774324</x:v>
      </x:c>
      <x:c r="AN344" s="39" t="n">
        <x:v>0.0273562</x:v>
      </x:c>
      <x:c r="AO344" s="39" t="n">
        <x:v>0.0485533241</x:v>
      </x:c>
      <x:c r="AP344" s="39" t="n">
        <x:v>0.0879369349</x:v>
      </x:c>
      <x:c r="AQ344" s="39" t="n">
        <x:v>-0.0063446605</x:v>
      </x:c>
      <x:c r="AR344" s="39" t="n">
        <x:v>0.0010609714</x:v>
      </x:c>
      <x:c r="AS344" s="39" t="n">
        <x:v>0.0154671183</x:v>
      </x:c>
    </x:row>
    <x:row r="345" ht="19" customHeight="1">
      <x:c r="A345" s="30" t="str">
        <x:v>Primary sector</x:v>
      </x:c>
      <x:c r="B345" s="40" t="d">
        <x:v>2022-01-03T00:00:00.000Z</x:v>
      </x:c>
      <x:c r="C345" s="39" t="n">
        <x:v>0.037891636</x:v>
      </x:c>
      <x:c r="D345" s="39" t="n">
        <x:v>-0.0904586069</x:v>
      </x:c>
      <x:c r="E345" s="39" t="n">
        <x:v>0.0301655141</x:v>
      </x:c>
      <x:c r="F345" s="39" t="n">
        <x:v>0.00519215</x:v>
      </x:c>
      <x:c r="G345" s="39" t="n">
        <x:v>0.0399705444</x:v>
      </x:c>
      <x:c r="H345" s="39" t="n">
        <x:v>-0.0396015506</x:v>
      </x:c>
      <x:c r="I345" s="39" t="n">
        <x:v>-0.0168112029</x:v>
      </x:c>
      <x:c r="J345" s="39" t="n">
        <x:v>-0.0468817093</x:v>
      </x:c>
      <x:c r="K345" s="39" t="n">
        <x:v>0.0954846101</x:v>
      </x:c>
      <x:c r="L345" s="39" t="n">
        <x:v>0.0200379451</x:v>
      </x:c>
      <x:c r="M345" s="39" t="n">
        <x:v>0.0512104356</x:v>
      </x:c>
      <x:c r="N345" s="39" t="n">
        <x:v>-0.0306652308</x:v>
      </x:c>
      <x:c r="O345" s="39" t="n">
        <x:v>-0.0678237257</x:v>
      </x:c>
      <x:c r="P345" s="39" t="n">
        <x:v>0.1455434267</x:v>
      </x:c>
      <x:c r="Q345" s="39" t="n">
        <x:v>-0.1359695634</x:v>
      </x:c>
      <x:c r="R345" s="39" t="n">
        <x:v>-0.0510152249</x:v>
      </x:c>
      <x:c r="S345" s="39" t="n">
        <x:v>-0.0013491468</x:v>
      </x:c>
      <x:c r="T345" s="39" t="n">
        <x:v>-0.1939386869</x:v>
      </x:c>
      <x:c r="U345" s="39" t="n">
        <x:v>-0.1294090122</x:v>
      </x:c>
      <x:c r="V345" s="39" t="n">
        <x:v>-0.0041227123</x:v>
      </x:c>
      <x:c r="W345" s="39" t="n">
        <x:v>-0.0812719408</x:v>
      </x:c>
      <x:c r="X345" s="39" t="n">
        <x:v>0.0271165893</x:v>
      </x:c>
      <x:c r="Y345" s="39" t="n">
        <x:v>0.1217457234</x:v>
      </x:c>
      <x:c r="Z345" s="39" t="n">
        <x:v>0.0140111047</x:v>
      </x:c>
      <x:c r="AA345" s="39" t="n">
        <x:v>0.0783622102</x:v>
      </x:c>
      <x:c r="AB345" s="39" t="n">
        <x:v>-0.1187408529</x:v>
      </x:c>
      <x:c r="AC345" s="39" t="n">
        <x:v>-0.2526170739</x:v>
      </x:c>
      <x:c r="AD345" s="39" t="n">
        <x:v>0.000468443</x:v>
      </x:c>
      <x:c r="AE345" s="39" t="n">
        <x:v>0.0978814661</x:v>
      </x:c>
      <x:c r="AF345" s="39" t="n">
        <x:v>0.1126047754</x:v>
      </x:c>
      <x:c r="AG345" s="39" t="n">
        <x:v>0.0377673008</x:v>
      </x:c>
      <x:c r="AH345" s="39" t="n">
        <x:v>-0.0004491481</x:v>
      </x:c>
      <x:c r="AI345" s="39" t="n">
        <x:v>0.0513311303</x:v>
      </x:c>
      <x:c r="AJ345" s="39" t="n">
        <x:v>0.0233125765</x:v>
      </x:c>
      <x:c r="AK345" s="39" t="n">
        <x:v>0.0118135182</x:v>
      </x:c>
      <x:c r="AL345" s="39" t="n">
        <x:v>0.0514590823</x:v>
      </x:c>
      <x:c r="AM345" s="39" t="n">
        <x:v>-0.038137461</x:v>
      </x:c>
      <x:c r="AN345" s="39" t="n">
        <x:v>-0.0601243296</x:v>
      </x:c>
      <x:c r="AO345" s="39" t="n">
        <x:v>-0.0564629846</x:v>
      </x:c>
      <x:c r="AP345" s="39" t="n">
        <x:v>-0.026167157</x:v>
      </x:c>
      <x:c r="AQ345" s="39" t="n">
        <x:v>0.0070763997</x:v>
      </x:c>
      <x:c r="AR345" s="39" t="n">
        <x:v>0.0197617901</x:v>
      </x:c>
      <x:c r="AS345" s="39" t="n">
        <x:v>0.0457852525</x:v>
      </x:c>
    </x:row>
    <x:row r="346" ht="19" customHeight="1">
      <x:c r="A346" s="30" t="str">
        <x:v>Primary sector</x:v>
      </x:c>
      <x:c r="B346" s="40" t="d">
        <x:v>2022-01-31T00:00:00.000Z</x:v>
      </x:c>
      <x:c r="C346" s="39" t="n">
        <x:v>-0.0034265036</x:v>
      </x:c>
      <x:c r="D346" s="39" t="n">
        <x:v>-0.0075405419</x:v>
      </x:c>
      <x:c r="E346" s="39" t="n">
        <x:v>-0.0035294997</x:v>
      </x:c>
      <x:c r="F346" s="39" t="n">
        <x:v>0.0023085102</x:v>
      </x:c>
      <x:c r="G346" s="39" t="n">
        <x:v>-0.0165497148</x:v>
      </x:c>
      <x:c r="H346" s="39" t="n">
        <x:v>-0.014059553</x:v>
      </x:c>
      <x:c r="I346" s="39" t="n">
        <x:v>0.0510898358</x:v>
      </x:c>
      <x:c r="J346" s="39" t="n">
        <x:v>-0.0717413221</x:v>
      </x:c>
      <x:c r="K346" s="39" t="n">
        <x:v>-0.0279543155</x:v>
      </x:c>
      <x:c r="L346" s="39" t="n">
        <x:v>-0.0448272214</x:v>
      </x:c>
      <x:c r="M346" s="39" t="n">
        <x:v>0.0357923409</x:v>
      </x:c>
      <x:c r="N346" s="39" t="n">
        <x:v>0.0243781254</x:v>
      </x:c>
      <x:c r="O346" s="39" t="n">
        <x:v>-0.0324654164</x:v>
      </x:c>
      <x:c r="P346" s="39" t="n">
        <x:v>-0.1801105179</x:v>
      </x:c>
      <x:c r="Q346" s="39" t="n">
        <x:v>0.0277735924</x:v>
      </x:c>
      <x:c r="R346" s="39" t="n">
        <x:v>-0.1444672543</x:v>
      </x:c>
      <x:c r="S346" s="39" t="n">
        <x:v>0.0572088642</x:v>
      </x:c>
      <x:c r="T346" s="39" t="n">
        <x:v>-0.0010191869</x:v>
      </x:c>
      <x:c r="U346" s="39" t="n">
        <x:v>-0.1798821722</x:v>
      </x:c>
      <x:c r="V346" s="39" t="n">
        <x:v>0.0395443171</x:v>
      </x:c>
      <x:c r="W346" s="39" t="n">
        <x:v>-0.1367484769</x:v>
      </x:c>
      <x:c r="X346" s="39" t="n">
        <x:v>0.0301942614</x:v>
      </x:c>
      <x:c r="Y346" s="39" t="n">
        <x:v>-0.1194309498</x:v>
      </x:c>
      <x:c r="Z346" s="39" t="n">
        <x:v>0.0277037149</x:v>
      </x:c>
      <x:c r="AA346" s="39" t="n">
        <x:v>-0.003381649</x:v>
      </x:c>
      <x:c r="AB346" s="39" t="n">
        <x:v>-0.0868178455</x:v>
      </x:c>
      <x:c r="AC346" s="39" t="n">
        <x:v>-0.0128207218</x:v>
      </x:c>
      <x:c r="AD346" s="39" t="n">
        <x:v>0.0161936009</x:v>
      </x:c>
      <x:c r="AE346" s="39" t="n">
        <x:v>-0.1781239244</x:v>
      </x:c>
      <x:c r="AF346" s="39" t="n">
        <x:v>-0.0065773368</x:v>
      </x:c>
      <x:c r="AG346" s="39" t="n">
        <x:v>0.0089479313</x:v>
      </x:c>
      <x:c r="AH346" s="39" t="n">
        <x:v>-0.037816492</x:v>
      </x:c>
      <x:c r="AI346" s="39" t="n">
        <x:v>-0.0219924091</x:v>
      </x:c>
      <x:c r="AJ346" s="39" t="n">
        <x:v>-0.0569945074</x:v>
      </x:c>
      <x:c r="AK346" s="39" t="n">
        <x:v>-0.0555003652</x:v>
      </x:c>
      <x:c r="AL346" s="39" t="n">
        <x:v>-0.0473904086</x:v>
      </x:c>
      <x:c r="AM346" s="39" t="n">
        <x:v>0.0196470763</x:v>
      </x:c>
      <x:c r="AN346" s="39" t="n">
        <x:v>0.078483241</x:v>
      </x:c>
      <x:c r="AO346" s="39" t="n">
        <x:v>-0.0097830939</x:v>
      </x:c>
      <x:c r="AP346" s="39" t="n">
        <x:v>-0.0245633293</x:v>
      </x:c>
      <x:c r="AQ346" s="39" t="n">
        <x:v>0.0073469066</x:v>
      </x:c>
      <x:c r="AR346" s="39" t="n">
        <x:v>-0.0222476078</x:v>
      </x:c>
      <x:c r="AS346" s="39" t="n">
        <x:v>-0.0113551796</x:v>
      </x:c>
    </x:row>
    <x:row r="347" ht="19" customHeight="1">
      <x:c r="A347" s="30" t="str">
        <x:v>Primary sector</x:v>
      </x:c>
      <x:c r="B347" s="40" t="d">
        <x:v>2022-02-28T00:00:00.000Z</x:v>
      </x:c>
      <x:c r="C347" s="39" t="n">
        <x:v>0.0124348188</x:v>
      </x:c>
      <x:c r="D347" s="39" t="n">
        <x:v>0.0981064516</x:v>
      </x:c>
      <x:c r="E347" s="39" t="n">
        <x:v>0.0047459079</x:v>
      </x:c>
      <x:c r="F347" s="39" t="n">
        <x:v>-0.017019693</x:v>
      </x:c>
      <x:c r="G347" s="39" t="n">
        <x:v>0.026561825</x:v>
      </x:c>
      <x:c r="H347" s="39" t="n">
        <x:v>-0.0112244797</x:v>
      </x:c>
      <x:c r="I347" s="39" t="n">
        <x:v>0.0110937917</x:v>
      </x:c>
      <x:c r="J347" s="39" t="n">
        <x:v>-0.0520508803</x:v>
      </x:c>
      <x:c r="K347" s="39" t="n">
        <x:v>0.035722756</x:v>
      </x:c>
      <x:c r="L347" s="39" t="n">
        <x:v>-0.0848442082</x:v>
      </x:c>
      <x:c r="M347" s="39" t="n">
        <x:v>0.0944179885</x:v>
      </x:c>
      <x:c r="N347" s="39" t="n">
        <x:v>0.1499399416</x:v>
      </x:c>
      <x:c r="O347" s="39" t="n">
        <x:v>0.0292865588</x:v>
      </x:c>
      <x:c r="P347" s="39" t="n">
        <x:v>-0.0325834439</x:v>
      </x:c>
      <x:c r="Q347" s="39" t="n">
        <x:v>-0.0879536579</x:v>
      </x:c>
      <x:c r="R347" s="39" t="n">
        <x:v>-0.0256723339</x:v>
      </x:c>
      <x:c r="S347" s="39" t="n">
        <x:v>-0.0404419541</x:v>
      </x:c>
      <x:c r="T347" s="39" t="n">
        <x:v>0.0118131797</x:v>
      </x:c>
      <x:c r="U347" s="39" t="n">
        <x:v>-0.1927937523</x:v>
      </x:c>
      <x:c r="V347" s="39" t="n">
        <x:v>-0.0428879463</x:v>
      </x:c>
      <x:c r="W347" s="39" t="n">
        <x:v>-0.0309462964</x:v>
      </x:c>
      <x:c r="X347" s="39" t="n">
        <x:v>-0.0308241448</x:v>
      </x:c>
      <x:c r="Y347" s="39" t="n">
        <x:v>-0.0123191841</x:v>
      </x:c>
      <x:c r="Z347" s="39" t="n">
        <x:v>0.0366245765</x:v>
      </x:c>
      <x:c r="AA347" s="39" t="n">
        <x:v>0.0041181925</x:v>
      </x:c>
      <x:c r="AB347" s="39" t="n">
        <x:v>0.0564475924</x:v>
      </x:c>
      <x:c r="AC347" s="39" t="n">
        <x:v>0.3673491957</x:v>
      </x:c>
      <x:c r="AD347" s="39" t="n">
        <x:v>-0.0483006628</x:v>
      </x:c>
      <x:c r="AE347" s="39" t="n">
        <x:v>-0.0626187095</x:v>
      </x:c>
      <x:c r="AF347" s="39" t="n">
        <x:v>0.0104783022</x:v>
      </x:c>
      <x:c r="AG347" s="39" t="n">
        <x:v>-0.1281765217</x:v>
      </x:c>
      <x:c r="AH347" s="39" t="n">
        <x:v>0.0512777386</x:v>
      </x:c>
      <x:c r="AI347" s="39" t="n">
        <x:v>-0.0647063786</x:v>
      </x:c>
      <x:c r="AJ347" s="39" t="n">
        <x:v>0.0382880797</x:v>
      </x:c>
      <x:c r="AK347" s="39" t="n">
        <x:v>0.0031477744</x:v>
      </x:c>
      <x:c r="AL347" s="39" t="n">
        <x:v>-0.0841511761</x:v>
      </x:c>
      <x:c r="AM347" s="39" t="n">
        <x:v>0.0077520962</x:v>
      </x:c>
      <x:c r="AN347" s="39" t="n">
        <x:v>-0.0445611535</x:v>
      </x:c>
      <x:c r="AO347" s="39" t="n">
        <x:v>-0.0109958717</x:v>
      </x:c>
      <x:c r="AP347" s="39" t="n">
        <x:v>-0.0618420293</x:v>
      </x:c>
      <x:c r="AQ347" s="39" t="n">
        <x:v>-0.0196317298</x:v>
      </x:c>
      <x:c r="AR347" s="39" t="n">
        <x:v>-0.0454245329</x:v>
      </x:c>
      <x:c r="AS347" s="39" t="n">
        <x:v>0.0244966936</x:v>
      </x:c>
    </x:row>
    <x:row r="348" ht="19" customHeight="1">
      <x:c r="A348" s="30" t="str">
        <x:v>Primary sector</x:v>
      </x:c>
      <x:c r="B348" s="40" t="d">
        <x:v>2022-03-28T00:00:00.000Z</x:v>
      </x:c>
      <x:c r="C348" s="39" t="n">
        <x:v>-0.044250186</x:v>
      </x:c>
      <x:c r="D348" s="39" t="n">
        <x:v>0.0428242449</x:v>
      </x:c>
      <x:c r="E348" s="39" t="n">
        <x:v>-0.016567917</x:v>
      </x:c>
      <x:c r="F348" s="39" t="n">
        <x:v>-0.0055154086</x:v>
      </x:c>
      <x:c r="G348" s="39" t="n">
        <x:v>-0.0569201857</x:v>
      </x:c>
      <x:c r="H348" s="39" t="n">
        <x:v>0.0332901969</x:v>
      </x:c>
      <x:c r="I348" s="39" t="n">
        <x:v>0.0144250008</x:v>
      </x:c>
      <x:c r="J348" s="39" t="n">
        <x:v>-0.0408694815</x:v>
      </x:c>
      <x:c r="K348" s="39" t="n">
        <x:v>-0.171283329</x:v>
      </x:c>
      <x:c r="L348" s="39" t="n">
        <x:v>0.0798409257</x:v>
      </x:c>
      <x:c r="M348" s="39" t="n">
        <x:v>0.0471080592</x:v>
      </x:c>
      <x:c r="N348" s="39" t="n">
        <x:v>0.0276328625</x:v>
      </x:c>
      <x:c r="O348" s="39" t="n">
        <x:v>0.0772514905</x:v>
      </x:c>
      <x:c r="P348" s="39" t="n">
        <x:v>-0.111245902</x:v>
      </x:c>
      <x:c r="Q348" s="39" t="n">
        <x:v>0.0485655723</x:v>
      </x:c>
      <x:c r="R348" s="39" t="n">
        <x:v>0.0735551631</x:v>
      </x:c>
      <x:c r="S348" s="39" t="n">
        <x:v>-0.0268536331</x:v>
      </x:c>
      <x:c r="T348" s="39" t="n">
        <x:v>0.0875727902</x:v>
      </x:c>
      <x:c r="U348" s="39" t="n">
        <x:v>0.1529454326</x:v>
      </x:c>
      <x:c r="V348" s="39" t="n">
        <x:v>-0.0111842264</x:v>
      </x:c>
      <x:c r="W348" s="39" t="n">
        <x:v>-0.0091160194</x:v>
      </x:c>
      <x:c r="X348" s="39" t="n">
        <x:v>-0.008243781</x:v>
      </x:c>
      <x:c r="Y348" s="39" t="n">
        <x:v>-0.1404161656</x:v>
      </x:c>
      <x:c r="Z348" s="39" t="n">
        <x:v>0.0161295372</x:v>
      </x:c>
      <x:c r="AA348" s="39" t="n">
        <x:v>0.040792751</x:v>
      </x:c>
      <x:c r="AB348" s="39" t="n">
        <x:v>0.0304898494</x:v>
      </x:c>
      <x:c r="AC348" s="39" t="n">
        <x:v>-0.159541413</x:v>
      </x:c>
      <x:c r="AD348" s="39" t="n">
        <x:v>-0.0157718708</x:v>
      </x:c>
      <x:c r="AE348" s="39" t="n">
        <x:v>-0.0770871683</x:v>
      </x:c>
      <x:c r="AF348" s="39" t="n">
        <x:v>-0.0490691632</x:v>
      </x:c>
      <x:c r="AG348" s="39" t="n">
        <x:v>0.0019653056</x:v>
      </x:c>
      <x:c r="AH348" s="39" t="n">
        <x:v>-0.0613041391</x:v>
      </x:c>
      <x:c r="AI348" s="39" t="n">
        <x:v>-0.0797687751</x:v>
      </x:c>
      <x:c r="AJ348" s="39" t="n">
        <x:v>0.0252556269</x:v>
      </x:c>
      <x:c r="AK348" s="39" t="n">
        <x:v>0.0225643073</x:v>
      </x:c>
      <x:c r="AL348" s="39" t="n">
        <x:v>0.0795562128</x:v>
      </x:c>
      <x:c r="AM348" s="39" t="n">
        <x:v>0.008445894</x:v>
      </x:c>
      <x:c r="AN348" s="39" t="n">
        <x:v>-0.0169293991</x:v>
      </x:c>
      <x:c r="AO348" s="39" t="n">
        <x:v>0.0359164711</x:v>
      </x:c>
      <x:c r="AP348" s="39" t="n">
        <x:v>-0.0948930542</x:v>
      </x:c>
      <x:c r="AQ348" s="39" t="n">
        <x:v>-0.0108506932</x:v>
      </x:c>
      <x:c r="AR348" s="39" t="n">
        <x:v>0.0056391931</x:v>
      </x:c>
      <x:c r="AS348" s="39" t="n">
        <x:v>0.0395477988</x:v>
      </x:c>
    </x:row>
    <x:row r="349" ht="19" customHeight="1">
      <x:c r="A349" s="30" t="str">
        <x:v>Primary sector</x:v>
      </x:c>
      <x:c r="B349" s="40" t="d">
        <x:v>2022-04-25T00:00:00.000Z</x:v>
      </x:c>
      <x:c r="C349" s="39" t="n">
        <x:v>0.1258601229</x:v>
      </x:c>
      <x:c r="D349" s="39" t="n">
        <x:v>-0.0579271633</x:v>
      </x:c>
      <x:c r="E349" s="39" t="n">
        <x:v>0.0328337452</x:v>
      </x:c>
      <x:c r="F349" s="39" t="n">
        <x:v>0.0234036269</x:v>
      </x:c>
      <x:c r="G349" s="39" t="n">
        <x:v>0.0005853561</x:v>
      </x:c>
      <x:c r="H349" s="39" t="n">
        <x:v>0.0320178265</x:v>
      </x:c>
      <x:c r="I349" s="39" t="n">
        <x:v>-0.0744474552</x:v>
      </x:c>
      <x:c r="J349" s="39" t="n">
        <x:v>0.057787438</x:v>
      </x:c>
      <x:c r="K349" s="39" t="n">
        <x:v>0.0722984755</x:v>
      </x:c>
      <x:c r="L349" s="39" t="n">
        <x:v>0.0993319586</x:v>
      </x:c>
      <x:c r="M349" s="39" t="n">
        <x:v>-0.0972045885</x:v>
      </x:c>
      <x:c r="N349" s="39" t="n">
        <x:v>-0.028259683</x:v>
      </x:c>
      <x:c r="O349" s="39" t="n">
        <x:v>-0.039198088</x:v>
      </x:c>
      <x:c r="P349" s="39" t="n">
        <x:v>0.184676753</x:v>
      </x:c>
      <x:c r="Q349" s="39" t="n">
        <x:v>-0.1334806728</x:v>
      </x:c>
      <x:c r="R349" s="39" t="n">
        <x:v>-0.2497076759</x:v>
      </x:c>
      <x:c r="S349" s="39" t="n">
        <x:v>-0.0562894928</x:v>
      </x:c>
      <x:c r="T349" s="39" t="n">
        <x:v>-0.1850132459</x:v>
      </x:c>
      <x:c r="U349" s="39" t="n">
        <x:v>-0.0836246094</x:v>
      </x:c>
      <x:c r="V349" s="39" t="n">
        <x:v>-0.1123181597</x:v>
      </x:c>
      <x:c r="W349" s="39" t="n">
        <x:v>-0.3659919754</x:v>
      </x:c>
      <x:c r="X349" s="39" t="n">
        <x:v>-0.0062513259</x:v>
      </x:c>
      <x:c r="Y349" s="39" t="n">
        <x:v>0.0357976088</x:v>
      </x:c>
      <x:c r="Z349" s="39" t="n">
        <x:v>0.0112301622</x:v>
      </x:c>
      <x:c r="AA349" s="39" t="n">
        <x:v>-0.0317841165</x:v>
      </x:c>
      <x:c r="AB349" s="39" t="n">
        <x:v>0.0372506677</x:v>
      </x:c>
      <x:c r="AC349" s="39" t="n">
        <x:v>-0.0149956063</x:v>
      </x:c>
      <x:c r="AD349" s="39" t="n">
        <x:v>0.052400705</x:v>
      </x:c>
      <x:c r="AE349" s="39" t="n">
        <x:v>0.030447954</x:v>
      </x:c>
      <x:c r="AF349" s="39" t="n">
        <x:v>0.0122594076</x:v>
      </x:c>
      <x:c r="AG349" s="39" t="n">
        <x:v>-0.054525471</x:v>
      </x:c>
      <x:c r="AH349" s="39" t="n">
        <x:v>0.0627577271</x:v>
      </x:c>
      <x:c r="AI349" s="39" t="n">
        <x:v>-0.0105956844</x:v>
      </x:c>
      <x:c r="AJ349" s="39" t="n">
        <x:v>0.0268050459</x:v>
      </x:c>
      <x:c r="AK349" s="39" t="n">
        <x:v>-0.0160072122</x:v>
      </x:c>
      <x:c r="AL349" s="39" t="n">
        <x:v>-0.024276981</x:v>
      </x:c>
      <x:c r="AM349" s="39" t="n">
        <x:v>0.0134784931</x:v>
      </x:c>
      <x:c r="AN349" s="39" t="n">
        <x:v>0.0004250706</x:v>
      </x:c>
      <x:c r="AO349" s="39" t="n">
        <x:v>-0.021471107</x:v>
      </x:c>
      <x:c r="AP349" s="39" t="n">
        <x:v>0.09344539</x:v>
      </x:c>
      <x:c r="AQ349" s="39" t="n">
        <x:v>0.0214447192</x:v>
      </x:c>
      <x:c r="AR349" s="39" t="n">
        <x:v>0.0276309657</x:v>
      </x:c>
      <x:c r="AS349" s="39" t="n">
        <x:v>-0.0239260258</x:v>
      </x:c>
    </x:row>
    <x:row r="350" ht="19" customHeight="1">
      <x:c r="A350" s="30" t="str">
        <x:v>Primary sector</x:v>
      </x:c>
      <x:c r="B350" s="40" t="d">
        <x:v>2022-05-23T00:00:00.000Z</x:v>
      </x:c>
      <x:c r="C350" s="39" t="n">
        <x:v>-0.010853896</x:v>
      </x:c>
      <x:c r="D350" s="39" t="n">
        <x:v>-0.0357168385</x:v>
      </x:c>
      <x:c r="E350" s="39" t="n">
        <x:v>-0.0045405847</x:v>
      </x:c>
      <x:c r="F350" s="39" t="n">
        <x:v>-0.0273050746</x:v>
      </x:c>
      <x:c r="G350" s="39" t="n">
        <x:v>-0.0117061115</x:v>
      </x:c>
      <x:c r="H350" s="39" t="n">
        <x:v>0.0003514674</x:v>
      </x:c>
      <x:c r="I350" s="39" t="n">
        <x:v>-0.0112245165</x:v>
      </x:c>
      <x:c r="J350" s="39" t="n">
        <x:v>0.026385049</x:v>
      </x:c>
      <x:c r="K350" s="39" t="n">
        <x:v>0.0160572323</x:v>
      </x:c>
      <x:c r="L350" s="39" t="n">
        <x:v>-0.0223184265</x:v>
      </x:c>
      <x:c r="M350" s="39" t="n">
        <x:v>-0.0362691455</x:v>
      </x:c>
      <x:c r="N350" s="39" t="n">
        <x:v>-0.0353440827</x:v>
      </x:c>
      <x:c r="O350" s="39" t="n">
        <x:v>-0.0336834254</x:v>
      </x:c>
      <x:c r="P350" s="39" t="n">
        <x:v>0.108796224</x:v>
      </x:c>
      <x:c r="Q350" s="39" t="n">
        <x:v>-0.0453499008</x:v>
      </x:c>
      <x:c r="R350" s="39" t="n">
        <x:v>0.1962547559</x:v>
      </x:c>
      <x:c r="S350" s="39" t="n">
        <x:v>-0.0752796955</x:v>
      </x:c>
      <x:c r="T350" s="39" t="n">
        <x:v>-0.3085059797</x:v>
      </x:c>
      <x:c r="U350" s="39" t="n">
        <x:v>0.0696986235</x:v>
      </x:c>
      <x:c r="V350" s="39" t="n">
        <x:v>-0.0769710539</x:v>
      </x:c>
      <x:c r="W350" s="39" t="n">
        <x:v>0.0070717668</x:v>
      </x:c>
      <x:c r="X350" s="39" t="n">
        <x:v>0.0758220275</x:v>
      </x:c>
      <x:c r="Y350" s="39" t="n">
        <x:v>0.040265337</x:v>
      </x:c>
      <x:c r="Z350" s="39" t="n">
        <x:v>-0.0640087794</x:v>
      </x:c>
      <x:c r="AA350" s="39" t="n">
        <x:v>0.0678568568</x:v>
      </x:c>
      <x:c r="AB350" s="39" t="n">
        <x:v>0.0003164916</x:v>
      </x:c>
      <x:c r="AC350" s="39" t="n">
        <x:v>-0.3097841206</x:v>
      </x:c>
      <x:c r="AD350" s="39" t="n">
        <x:v>-0.0287683515</x:v>
      </x:c>
      <x:c r="AE350" s="39" t="n">
        <x:v>-0.0111836459</x:v>
      </x:c>
      <x:c r="AF350" s="39" t="n">
        <x:v>0.0070545008</x:v>
      </x:c>
      <x:c r="AG350" s="39" t="n">
        <x:v>-0.084475668</x:v>
      </x:c>
      <x:c r="AH350" s="39" t="n">
        <x:v>0.0047971999</x:v>
      </x:c>
      <x:c r="AI350" s="39" t="n">
        <x:v>0.1432977312</x:v>
      </x:c>
      <x:c r="AJ350" s="39" t="n">
        <x:v>0.0348932335</x:v>
      </x:c>
      <x:c r="AK350" s="39" t="n">
        <x:v>0.008884801</x:v>
      </x:c>
      <x:c r="AL350" s="39" t="n">
        <x:v>0.014154823</x:v>
      </x:c>
      <x:c r="AM350" s="39" t="n">
        <x:v>-0.0088715272</x:v>
      </x:c>
      <x:c r="AN350" s="39" t="n">
        <x:v>-0.0313799791</x:v>
      </x:c>
      <x:c r="AO350" s="39" t="n">
        <x:v>-0.0838038269</x:v>
      </x:c>
      <x:c r="AP350" s="39" t="n">
        <x:v>0.0513580583</x:v>
      </x:c>
      <x:c r="AQ350" s="39" t="n">
        <x:v>0.0184642061</x:v>
      </x:c>
      <x:c r="AR350" s="39" t="n">
        <x:v>-0.0212751934</x:v>
      </x:c>
      <x:c r="AS350" s="39" t="n">
        <x:v>-0.0252031566</x:v>
      </x:c>
    </x:row>
    <x:row r="351" ht="19" customHeight="1">
      <x:c r="A351" s="30" t="str">
        <x:v>Primary sector</x:v>
      </x:c>
      <x:c r="B351" s="40" t="d">
        <x:v>2022-06-20T00:00:00.000Z</x:v>
      </x:c>
      <x:c r="C351" s="39" t="n">
        <x:v>-0.0137631331</x:v>
      </x:c>
      <x:c r="D351" s="39" t="n">
        <x:v>-0.1061014114</x:v>
      </x:c>
      <x:c r="E351" s="39" t="n">
        <x:v>-0.017721281</x:v>
      </x:c>
      <x:c r="F351" s="39" t="n">
        <x:v>-0.020996087</x:v>
      </x:c>
      <x:c r="G351" s="39" t="n">
        <x:v>-0.003513252</x:v>
      </x:c>
      <x:c r="H351" s="39" t="n">
        <x:v>0.0043654346</x:v>
      </x:c>
      <x:c r="I351" s="39" t="n">
        <x:v>0.0640481293</x:v>
      </x:c>
      <x:c r="J351" s="39" t="n">
        <x:v>-0.014232585</x:v>
      </x:c>
      <x:c r="K351" s="39" t="n">
        <x:v>-0.0765065756</x:v>
      </x:c>
      <x:c r="L351" s="39" t="n">
        <x:v>0.0025954018</x:v>
      </x:c>
      <x:c r="M351" s="39" t="n">
        <x:v>-0.122681835</x:v>
      </x:c>
      <x:c r="N351" s="39" t="n">
        <x:v>-0.0955455624</x:v>
      </x:c>
      <x:c r="O351" s="39" t="n">
        <x:v>0.0211323137</x:v>
      </x:c>
      <x:c r="P351" s="39" t="n">
        <x:v>-0.1896446807</x:v>
      </x:c>
      <x:c r="Q351" s="39" t="n">
        <x:v>0.0394009406</x:v>
      </x:c>
      <x:c r="R351" s="39" t="n">
        <x:v>-0.0348544065</x:v>
      </x:c>
      <x:c r="S351" s="39" t="n">
        <x:v>0.0381210548</x:v>
      </x:c>
      <x:c r="T351" s="39" t="n">
        <x:v>-0.0506038339</x:v>
      </x:c>
      <x:c r="U351" s="39" t="n">
        <x:v>0.0488958288</x:v>
      </x:c>
      <x:c r="V351" s="39" t="n">
        <x:v>0.0071639394</x:v>
      </x:c>
      <x:c r="W351" s="39" t="n">
        <x:v>0.0350125355</x:v>
      </x:c>
      <x:c r="X351" s="39" t="n">
        <x:v>-0.044832245</x:v>
      </x:c>
      <x:c r="Y351" s="39" t="n">
        <x:v>-0.1486498671</x:v>
      </x:c>
      <x:c r="Z351" s="39" t="n">
        <x:v>0.0387251627</x:v>
      </x:c>
      <x:c r="AA351" s="39" t="n">
        <x:v>-0.006762223</x:v>
      </x:c>
      <x:c r="AB351" s="39" t="n">
        <x:v>-0.0076023502</x:v>
      </x:c>
      <x:c r="AC351" s="39" t="n">
        <x:v>0.0637170508</x:v>
      </x:c>
      <x:c r="AD351" s="39" t="n">
        <x:v>0.0104819844</x:v>
      </x:c>
      <x:c r="AE351" s="39" t="n">
        <x:v>-0.0272554217</x:v>
      </x:c>
      <x:c r="AF351" s="39" t="n">
        <x:v>-0.0684077984</x:v>
      </x:c>
      <x:c r="AG351" s="39" t="n">
        <x:v>0.1371200519</x:v>
      </x:c>
      <x:c r="AH351" s="39" t="n">
        <x:v>0.0236993832</x:v>
      </x:c>
      <x:c r="AI351" s="39" t="n">
        <x:v>-0.0601961206</x:v>
      </x:c>
      <x:c r="AJ351" s="39" t="n">
        <x:v>0.0132141252</x:v>
      </x:c>
      <x:c r="AK351" s="39" t="n">
        <x:v>-0.029469957</x:v>
      </x:c>
      <x:c r="AL351" s="39" t="n">
        <x:v>-0.043331273</x:v>
      </x:c>
      <x:c r="AM351" s="39" t="n">
        <x:v>0.0423653403</x:v>
      </x:c>
      <x:c r="AN351" s="39" t="n">
        <x:v>0.1050610788</x:v>
      </x:c>
      <x:c r="AO351" s="39" t="n">
        <x:v>0.0534097065</x:v>
      </x:c>
      <x:c r="AP351" s="39" t="n">
        <x:v>-0.0218318996</x:v>
      </x:c>
      <x:c r="AQ351" s="39" t="n">
        <x:v>-0.0004360269</x:v>
      </x:c>
      <x:c r="AR351" s="39" t="n">
        <x:v>0.0075505899</x:v>
      </x:c>
      <x:c r="AS351" s="39" t="n">
        <x:v>-0.0748703833</x:v>
      </x:c>
    </x:row>
    <x:row r="352" ht="19" customHeight="1">
      <x:c r="A352" s="30" t="str">
        <x:v>Primary sector</x:v>
      </x:c>
      <x:c r="B352" s="40" t="d">
        <x:v>2022-07-18T00:00:00.000Z</x:v>
      </x:c>
      <x:c r="C352" s="39" t="n">
        <x:v>-0.0360417269</x:v>
      </x:c>
      <x:c r="D352" s="39" t="n">
        <x:v>-0.1389945425</x:v>
      </x:c>
      <x:c r="E352" s="39" t="n">
        <x:v>-0.0087545404</x:v>
      </x:c>
      <x:c r="F352" s="39" t="n">
        <x:v>-0.0205610145</x:v>
      </x:c>
      <x:c r="G352" s="39" t="n">
        <x:v>0.0434771388</x:v>
      </x:c>
      <x:c r="H352" s="39" t="n">
        <x:v>-0.0166571968</x:v>
      </x:c>
      <x:c r="I352" s="39" t="n">
        <x:v>-0.0037287219</x:v>
      </x:c>
      <x:c r="J352" s="39" t="n">
        <x:v>0.0101064436</x:v>
      </x:c>
      <x:c r="K352" s="39" t="n">
        <x:v>-0.0302234892</x:v>
      </x:c>
      <x:c r="L352" s="39" t="n">
        <x:v>-0.0012680556</x:v>
      </x:c>
      <x:c r="M352" s="39" t="n">
        <x:v>0.0062307354</x:v>
      </x:c>
      <x:c r="N352" s="39" t="n">
        <x:v>-0.0222170251</x:v>
      </x:c>
      <x:c r="O352" s="39" t="n">
        <x:v>0.0798877173</x:v>
      </x:c>
      <x:c r="P352" s="39" t="n">
        <x:v>-0.0780342522</x:v>
      </x:c>
      <x:c r="Q352" s="39" t="n">
        <x:v>-0.0109714331</x:v>
      </x:c>
      <x:c r="R352" s="39" t="n">
        <x:v>-0.1937137346</x:v>
      </x:c>
      <x:c r="S352" s="39" t="n">
        <x:v>-0.0361153345</x:v>
      </x:c>
      <x:c r="T352" s="39" t="n">
        <x:v>-0.0298129605</x:v>
      </x:c>
      <x:c r="U352" s="39" t="n">
        <x:v>0.0784672247</x:v>
      </x:c>
      <x:c r="V352" s="39" t="n">
        <x:v>0.0232348601</x:v>
      </x:c>
      <x:c r="W352" s="39" t="n">
        <x:v>0.1320081611</x:v>
      </x:c>
      <x:c r="X352" s="39" t="n">
        <x:v>0.0765392545</x:v>
      </x:c>
      <x:c r="Y352" s="39" t="n">
        <x:v>-0.045536075</x:v>
      </x:c>
      <x:c r="Z352" s="39" t="n">
        <x:v>-0.2117039936</x:v>
      </x:c>
      <x:c r="AA352" s="39" t="n">
        <x:v>-0.0435868073</x:v>
      </x:c>
      <x:c r="AB352" s="39" t="n">
        <x:v>-0.047212464</x:v>
      </x:c>
      <x:c r="AC352" s="39" t="n">
        <x:v>-0.3409462421</x:v>
      </x:c>
      <x:c r="AD352" s="39" t="n">
        <x:v>-0.0103262033</x:v>
      </x:c>
      <x:c r="AE352" s="39" t="n">
        <x:v>0.0063646439</x:v>
      </x:c>
      <x:c r="AF352" s="39" t="n">
        <x:v>-0.0528193237</x:v>
      </x:c>
      <x:c r="AG352" s="39" t="n">
        <x:v>0.0656371279</x:v>
      </x:c>
      <x:c r="AH352" s="39" t="n">
        <x:v>-0.0538662845</x:v>
      </x:c>
      <x:c r="AI352" s="39" t="n">
        <x:v>-0.0566393299</x:v>
      </x:c>
      <x:c r="AJ352" s="39" t="n">
        <x:v>-0.0126830423</x:v>
      </x:c>
      <x:c r="AK352" s="39" t="n">
        <x:v>-0.0422701063</x:v>
      </x:c>
      <x:c r="AL352" s="39" t="n">
        <x:v>0.0287320004</x:v>
      </x:c>
      <x:c r="AM352" s="39" t="n">
        <x:v>-0.0321589779</x:v>
      </x:c>
      <x:c r="AN352" s="39" t="n">
        <x:v>-0.0834130093</x:v>
      </x:c>
      <x:c r="AO352" s="39" t="n">
        <x:v>0.0515398357</x:v>
      </x:c>
      <x:c r="AP352" s="39" t="n">
        <x:v>0.0294880321</x:v>
      </x:c>
      <x:c r="AQ352" s="39" t="n">
        <x:v>-0.0366951857</x:v>
      </x:c>
      <x:c r="AR352" s="39" t="n">
        <x:v>-0.0603072528</x:v>
      </x:c>
      <x:c r="AS352" s="39" t="n">
        <x:v>0.0057178906</x:v>
      </x:c>
    </x:row>
    <x:row r="353" ht="19" customHeight="1">
      <x:c r="A353" s="30" t="str">
        <x:v>Primary sector</x:v>
      </x:c>
      <x:c r="B353" s="40" t="d">
        <x:v>2022-08-15T00:00:00.000Z</x:v>
      </x:c>
      <x:c r="C353" s="39" t="n">
        <x:v>-0.0469641513</x:v>
      </x:c>
      <x:c r="D353" s="39" t="n">
        <x:v>0.1831137491</x:v>
      </x:c>
      <x:c r="E353" s="39" t="n">
        <x:v>0.0258646272</x:v>
      </x:c>
      <x:c r="F353" s="39" t="n">
        <x:v>0.0004623074</x:v>
      </x:c>
      <x:c r="G353" s="39" t="n">
        <x:v>0.1065614667</x:v>
      </x:c>
      <x:c r="H353" s="39" t="n">
        <x:v>0.1549455852</x:v>
      </x:c>
      <x:c r="I353" s="39" t="n">
        <x:v>0.0134217632</x:v>
      </x:c>
      <x:c r="J353" s="39" t="n">
        <x:v>0.0215813701</x:v>
      </x:c>
      <x:c r="K353" s="39" t="n">
        <x:v>-0.0510379549</x:v>
      </x:c>
      <x:c r="L353" s="39" t="n">
        <x:v>-0.0081278213</x:v>
      </x:c>
      <x:c r="M353" s="39" t="n">
        <x:v>0.1639889949</x:v>
      </x:c>
      <x:c r="N353" s="39" t="n">
        <x:v>0.1123392138</x:v>
      </x:c>
      <x:c r="O353" s="39" t="n">
        <x:v>0.1261078126</x:v>
      </x:c>
      <x:c r="P353" s="39" t="n">
        <x:v>-0.0368459076</x:v>
      </x:c>
      <x:c r="Q353" s="39" t="n">
        <x:v>0.0254958185</x:v>
      </x:c>
      <x:c r="R353" s="39" t="n">
        <x:v>0.0337126448</x:v>
      </x:c>
      <x:c r="S353" s="39" t="n">
        <x:v>-0.0052365912</x:v>
      </x:c>
      <x:c r="T353" s="39" t="n">
        <x:v>0.1415902184</x:v>
      </x:c>
      <x:c r="U353" s="39" t="n">
        <x:v>-0.0462659695</x:v>
      </x:c>
      <x:c r="V353" s="39" t="n">
        <x:v>0.1031556407</x:v>
      </x:c>
      <x:c r="W353" s="39" t="n">
        <x:v>0.0477080862</x:v>
      </x:c>
      <x:c r="X353" s="39" t="n">
        <x:v>-0.0339427965</x:v>
      </x:c>
      <x:c r="Y353" s="39" t="n">
        <x:v>-0.0523901908</x:v>
      </x:c>
      <x:c r="Z353" s="39" t="n">
        <x:v>-0.0975146582</x:v>
      </x:c>
      <x:c r="AA353" s="39" t="n">
        <x:v>0.0829796039</x:v>
      </x:c>
      <x:c r="AB353" s="39" t="n">
        <x:v>-0.0651147149</x:v>
      </x:c>
      <x:c r="AC353" s="39" t="n">
        <x:v>-0.0403327251</x:v>
      </x:c>
      <x:c r="AD353" s="39" t="n">
        <x:v>0.0172623012</x:v>
      </x:c>
      <x:c r="AE353" s="39" t="n">
        <x:v>0.1554234419</x:v>
      </x:c>
      <x:c r="AF353" s="39" t="n">
        <x:v>-0.0014385946</x:v>
      </x:c>
      <x:c r="AG353" s="39" t="n">
        <x:v>0.0135800377</x:v>
      </x:c>
      <x:c r="AH353" s="39" t="n">
        <x:v>0.1065329818</x:v>
      </x:c>
      <x:c r="AI353" s="39" t="n">
        <x:v>0.0171504564</x:v>
      </x:c>
      <x:c r="AJ353" s="39" t="n">
        <x:v>-0.0438166536</x:v>
      </x:c>
      <x:c r="AK353" s="39" t="n">
        <x:v>-0.0567067405</x:v>
      </x:c>
      <x:c r="AL353" s="39" t="n">
        <x:v>-0.033860409</x:v>
      </x:c>
      <x:c r="AM353" s="39" t="n">
        <x:v>0.0177812405</x:v>
      </x:c>
      <x:c r="AN353" s="39" t="n">
        <x:v>0.0306289928</x:v>
      </x:c>
      <x:c r="AO353" s="39" t="n">
        <x:v>0.0073151449</x:v>
      </x:c>
      <x:c r="AP353" s="39" t="n">
        <x:v>0.0114692301</x:v>
      </x:c>
      <x:c r="AQ353" s="39" t="n">
        <x:v>0.0293362197</x:v>
      </x:c>
      <x:c r="AR353" s="39" t="n">
        <x:v>-0.0065251161</x:v>
      </x:c>
      <x:c r="AS353" s="39" t="n">
        <x:v>0.0161840059</x:v>
      </x:c>
    </x:row>
    <x:row r="354" ht="19" customHeight="1">
      <x:c r="A354" s="30" t="str">
        <x:v>Primary sector</x:v>
      </x:c>
      <x:c r="B354" s="40" t="d">
        <x:v>2022-09-12T00:00:00.000Z</x:v>
      </x:c>
      <x:c r="C354" s="39" t="n">
        <x:v>0.0705458297</x:v>
      </x:c>
      <x:c r="D354" s="39" t="n">
        <x:v>0.0874126944</x:v>
      </x:c>
      <x:c r="E354" s="39" t="n">
        <x:v>-0.018184211</x:v>
      </x:c>
      <x:c r="F354" s="39" t="n">
        <x:v>-0.0198466986</x:v>
      </x:c>
      <x:c r="G354" s="39" t="n">
        <x:v>0.0246755743</x:v>
      </x:c>
      <x:c r="H354" s="39" t="n">
        <x:v>0.0550197926</x:v>
      </x:c>
      <x:c r="I354" s="39" t="n">
        <x:v>-0.0106675093</x:v>
      </x:c>
      <x:c r="J354" s="39" t="n">
        <x:v>0.0407174541</x:v>
      </x:c>
      <x:c r="K354" s="39" t="n">
        <x:v>-0.0092207932</x:v>
      </x:c>
      <x:c r="L354" s="39" t="n">
        <x:v>-0.0852845944</x:v>
      </x:c>
      <x:c r="M354" s="39" t="n">
        <x:v>-0.0953106371</x:v>
      </x:c>
      <x:c r="N354" s="39" t="n">
        <x:v>-0.0470334129</x:v>
      </x:c>
      <x:c r="O354" s="39" t="n">
        <x:v>-0.0246454916</x:v>
      </x:c>
      <x:c r="P354" s="39" t="n">
        <x:v>-0.0630977354</x:v>
      </x:c>
      <x:c r="Q354" s="39" t="n">
        <x:v>0.1367746338</x:v>
      </x:c>
      <x:c r="R354" s="39" t="n">
        <x:v>0.0961111946</x:v>
      </x:c>
      <x:c r="S354" s="39" t="n">
        <x:v>-0.0410923187</x:v>
      </x:c>
      <x:c r="T354" s="39" t="n">
        <x:v>-0.0331585829</x:v>
      </x:c>
      <x:c r="U354" s="39" t="n">
        <x:v>-0.0063730559</x:v>
      </x:c>
      <x:c r="V354" s="39" t="n">
        <x:v>0.0131673672</x:v>
      </x:c>
      <x:c r="W354" s="39" t="n">
        <x:v>0.0944985407</x:v>
      </x:c>
      <x:c r="X354" s="39" t="n">
        <x:v>-0.0437122382</x:v>
      </x:c>
      <x:c r="Y354" s="39" t="n">
        <x:v>0.0240924565</x:v>
      </x:c>
      <x:c r="Z354" s="39" t="n">
        <x:v>0.0400391261</x:v>
      </x:c>
      <x:c r="AA354" s="39" t="n">
        <x:v>-0.0132907053</x:v>
      </x:c>
      <x:c r="AB354" s="39" t="n">
        <x:v>-0.0054805459</x:v>
      </x:c>
      <x:c r="AC354" s="39" t="n">
        <x:v>0.0841447034</x:v>
      </x:c>
      <x:c r="AD354" s="39" t="n">
        <x:v>0.0017256903</x:v>
      </x:c>
      <x:c r="AE354" s="39" t="n">
        <x:v>0.0054356851</x:v>
      </x:c>
      <x:c r="AF354" s="39" t="n">
        <x:v>-0.0073777049</x:v>
      </x:c>
      <x:c r="AG354" s="39" t="n">
        <x:v>-0.0127797395</x:v>
      </x:c>
      <x:c r="AH354" s="39" t="n">
        <x:v>-0.0054751915</x:v>
      </x:c>
      <x:c r="AI354" s="39" t="n">
        <x:v>0.016095195</x:v>
      </x:c>
      <x:c r="AJ354" s="39" t="n">
        <x:v>-0.0203503294</x:v>
      </x:c>
      <x:c r="AK354" s="39" t="n">
        <x:v>-0.0238016835</x:v>
      </x:c>
      <x:c r="AL354" s="39" t="n">
        <x:v>0.0115226863</x:v>
      </x:c>
      <x:c r="AM354" s="39" t="n">
        <x:v>-0.0211381292</x:v>
      </x:c>
      <x:c r="AN354" s="39" t="n">
        <x:v>-0.0087498521</x:v>
      </x:c>
      <x:c r="AO354" s="39" t="n">
        <x:v>-0.0213055086</x:v>
      </x:c>
      <x:c r="AP354" s="39" t="n">
        <x:v>-0.0774527586</x:v>
      </x:c>
      <x:c r="AQ354" s="39" t="n">
        <x:v>-0.0300085375</x:v>
      </x:c>
      <x:c r="AR354" s="39" t="n">
        <x:v>-0.0104247239</x:v>
      </x:c>
      <x:c r="AS354" s="39" t="n">
        <x:v>-0.0539843048</x:v>
      </x:c>
    </x:row>
    <x:row r="355" ht="19" customHeight="1">
      <x:c r="A355" s="30" t="str">
        <x:v>Primary sector</x:v>
      </x:c>
      <x:c r="B355" s="40" t="d">
        <x:v>2022-10-10T00:00:00.000Z</x:v>
      </x:c>
      <x:c r="C355" s="39" t="n">
        <x:v>0.0153529866</x:v>
      </x:c>
      <x:c r="D355" s="39" t="n">
        <x:v>0.0705342955</x:v>
      </x:c>
      <x:c r="E355" s="39" t="n">
        <x:v>0.0160182075</x:v>
      </x:c>
      <x:c r="F355" s="39" t="n">
        <x:v>0.0074961651</x:v>
      </x:c>
      <x:c r="G355" s="39" t="n">
        <x:v>0.0285440805</x:v>
      </x:c>
      <x:c r="H355" s="39" t="n">
        <x:v>0.0392801178</x:v>
      </x:c>
      <x:c r="I355" s="39" t="n">
        <x:v>0.0397608257</x:v>
      </x:c>
      <x:c r="J355" s="39" t="n">
        <x:v>0.1317455327</x:v>
      </x:c>
      <x:c r="K355" s="39" t="n">
        <x:v>-0.0357874668</x:v>
      </x:c>
      <x:c r="L355" s="39" t="n">
        <x:v>0.0422490318</x:v>
      </x:c>
      <x:c r="M355" s="39" t="n">
        <x:v>-0.0616179498</x:v>
      </x:c>
      <x:c r="N355" s="39" t="n">
        <x:v>0.0279790789</x:v>
      </x:c>
      <x:c r="O355" s="39" t="n">
        <x:v>0.0514682317</x:v>
      </x:c>
      <x:c r="P355" s="39" t="n">
        <x:v>0.0690392147</x:v>
      </x:c>
      <x:c r="Q355" s="39" t="n">
        <x:v>0.0292119351</x:v>
      </x:c>
      <x:c r="R355" s="39" t="n">
        <x:v>-0.115541656</x:v>
      </x:c>
      <x:c r="S355" s="39" t="n">
        <x:v>-0.0608718915</x:v>
      </x:c>
      <x:c r="T355" s="39" t="n">
        <x:v>-0.1347071709</x:v>
      </x:c>
      <x:c r="U355" s="39" t="n">
        <x:v>0.1365505635</x:v>
      </x:c>
      <x:c r="V355" s="39" t="n">
        <x:v>0.0383322169</x:v>
      </x:c>
      <x:c r="W355" s="39" t="n">
        <x:v>0.0453727785</x:v>
      </x:c>
      <x:c r="X355" s="39" t="n">
        <x:v>-0.0024071435</x:v>
      </x:c>
      <x:c r="Y355" s="39" t="n">
        <x:v>0.1563613418</x:v>
      </x:c>
      <x:c r="Z355" s="39" t="n">
        <x:v>0.1245676085</x:v>
      </x:c>
      <x:c r="AA355" s="39" t="n">
        <x:v>-0.053947797</x:v>
      </x:c>
      <x:c r="AB355" s="39" t="n">
        <x:v>-0.1254461109</x:v>
      </x:c>
      <x:c r="AC355" s="39" t="n">
        <x:v>0.1493942215</x:v>
      </x:c>
      <x:c r="AD355" s="39" t="n">
        <x:v>0.0035136455</x:v>
      </x:c>
      <x:c r="AE355" s="39" t="n">
        <x:v>0.0042846046</x:v>
      </x:c>
      <x:c r="AF355" s="39" t="n">
        <x:v>0.0191170197</x:v>
      </x:c>
      <x:c r="AG355" s="39" t="n">
        <x:v>0.0940908704</x:v>
      </x:c>
      <x:c r="AH355" s="39" t="n">
        <x:v>0.0233802787</x:v>
      </x:c>
      <x:c r="AI355" s="39" t="n">
        <x:v>-0.0618365187</x:v>
      </x:c>
      <x:c r="AJ355" s="39" t="n">
        <x:v>0.0550378759</x:v>
      </x:c>
      <x:c r="AK355" s="39" t="n">
        <x:v>-0.0354025818</x:v>
      </x:c>
      <x:c r="AL355" s="39" t="n">
        <x:v>0.0114299915</x:v>
      </x:c>
      <x:c r="AM355" s="39" t="n">
        <x:v>0.0285662212</x:v>
      </x:c>
      <x:c r="AN355" s="39" t="n">
        <x:v>0.0812411588</x:v>
      </x:c>
      <x:c r="AO355" s="39" t="n">
        <x:v>-0.0054766232</x:v>
      </x:c>
      <x:c r="AP355" s="39" t="n">
        <x:v>0.1336643402</x:v>
      </x:c>
      <x:c r="AQ355" s="39" t="n">
        <x:v>-0.0001040454</x:v>
      </x:c>
      <x:c r="AR355" s="39" t="n">
        <x:v>-0.0051435</x:v>
      </x:c>
      <x:c r="AS355" s="39" t="n">
        <x:v>0.0329694596</x:v>
      </x:c>
    </x:row>
    <x:row r="356" ht="19" customHeight="1">
      <x:c r="A356" s="30" t="str">
        <x:v>Primary sector</x:v>
      </x:c>
      <x:c r="B356" s="40" t="d">
        <x:v>2022-11-07T00:00:00.000Z</x:v>
      </x:c>
      <x:c r="C356" s="39" t="n">
        <x:v>-0.041477761</x:v>
      </x:c>
      <x:c r="D356" s="39" t="n">
        <x:v>0.0396872498</x:v>
      </x:c>
      <x:c r="E356" s="39" t="n">
        <x:v>-0.0267605402</x:v>
      </x:c>
      <x:c r="F356" s="39" t="n">
        <x:v>0.0152093841</x:v>
      </x:c>
      <x:c r="G356" s="39" t="n">
        <x:v>-0.1033757957</x:v>
      </x:c>
      <x:c r="H356" s="39" t="n">
        <x:v>-0.0842738255</x:v>
      </x:c>
      <x:c r="I356" s="39" t="n">
        <x:v>-0.1411845553</x:v>
      </x:c>
      <x:c r="J356" s="39" t="n">
        <x:v>-0.1062948317</x:v>
      </x:c>
      <x:c r="K356" s="39" t="n">
        <x:v>-0.1855814713</x:v>
      </x:c>
      <x:c r="L356" s="39" t="n">
        <x:v>-0.0338612277</x:v>
      </x:c>
      <x:c r="M356" s="39" t="n">
        <x:v>0.0216268168</x:v>
      </x:c>
      <x:c r="N356" s="39" t="n">
        <x:v>-0.1042843291</x:v>
      </x:c>
      <x:c r="O356" s="39" t="n">
        <x:v>-0.0126745378</x:v>
      </x:c>
      <x:c r="P356" s="39" t="n">
        <x:v>-0.0740036334</x:v>
      </x:c>
      <x:c r="Q356" s="39" t="n">
        <x:v>0.0914730826</x:v>
      </x:c>
      <x:c r="R356" s="39" t="n">
        <x:v>-0.1019671096</x:v>
      </x:c>
      <x:c r="S356" s="39" t="n">
        <x:v>-0.0187553137</x:v>
      </x:c>
      <x:c r="T356" s="39" t="n">
        <x:v>-0.0007504764</x:v>
      </x:c>
      <x:c r="U356" s="39" t="n">
        <x:v>0.0589773414</x:v>
      </x:c>
      <x:c r="V356" s="39" t="n">
        <x:v>0.1799782999</x:v>
      </x:c>
      <x:c r="W356" s="39" t="n">
        <x:v>0.1556319128</x:v>
      </x:c>
      <x:c r="X356" s="39" t="n">
        <x:v>0.0752519948</x:v>
      </x:c>
      <x:c r="Y356" s="39" t="n">
        <x:v>-0.0783869596</x:v>
      </x:c>
      <x:c r="Z356" s="39" t="n">
        <x:v>-0.1125682017</x:v>
      </x:c>
      <x:c r="AA356" s="39" t="n">
        <x:v>0.0145455758</x:v>
      </x:c>
      <x:c r="AB356" s="39" t="n">
        <x:v>-0.0527932994</x:v>
      </x:c>
      <x:c r="AC356" s="39" t="n">
        <x:v>-0.295065673</x:v>
      </x:c>
      <x:c r="AD356" s="39" t="n">
        <x:v>0.0037474862</x:v>
      </x:c>
      <x:c r="AE356" s="39" t="n">
        <x:v>0.0164978251</x:v>
      </x:c>
      <x:c r="AF356" s="39" t="n">
        <x:v>0.0593357242</x:v>
      </x:c>
      <x:c r="AG356" s="39" t="n">
        <x:v>0.0617927809</x:v>
      </x:c>
      <x:c r="AH356" s="39" t="n">
        <x:v>-0.0978792576</x:v>
      </x:c>
      <x:c r="AI356" s="39" t="n">
        <x:v>-0.0135641285</x:v>
      </x:c>
      <x:c r="AJ356" s="39" t="n">
        <x:v>-0.0296327485</x:v>
      </x:c>
      <x:c r="AK356" s="39" t="n">
        <x:v>0.022352689</x:v>
      </x:c>
      <x:c r="AL356" s="39" t="n">
        <x:v>-0.0211764364</x:v>
      </x:c>
      <x:c r="AM356" s="39" t="n">
        <x:v>-0.0421313138</x:v>
      </x:c>
      <x:c r="AN356" s="39" t="n">
        <x:v>-0.1324196665</x:v>
      </x:c>
      <x:c r="AO356" s="39" t="n">
        <x:v>-0.0049701946</x:v>
      </x:c>
      <x:c r="AP356" s="39" t="n">
        <x:v>0.0296338055</x:v>
      </x:c>
      <x:c r="AQ356" s="39" t="n">
        <x:v>-0.0046158791</x:v>
      </x:c>
      <x:c r="AR356" s="39" t="n">
        <x:v>-0.0291369067</x:v>
      </x:c>
      <x:c r="AS356" s="39" t="n">
        <x:v>0.0265949366</x:v>
      </x:c>
    </x:row>
    <x:row r="357" ht="19" customHeight="1">
      <x:c r="A357" s="30" t="str">
        <x:v>Primary sector</x:v>
      </x:c>
      <x:c r="B357" s="40" t="d">
        <x:v>2022-12-05T00:00:00.000Z</x:v>
      </x:c>
      <x:c r="C357" s="39" t="n">
        <x:v>-0.0368197576</x:v>
      </x:c>
      <x:c r="D357" s="39" t="n">
        <x:v>-0.0550316356</x:v>
      </x:c>
      <x:c r="E357" s="39" t="n">
        <x:v>0.0082824579</x:v>
      </x:c>
      <x:c r="F357" s="39" t="n">
        <x:v>0.0065697587</x:v>
      </x:c>
      <x:c r="G357" s="39" t="n">
        <x:v>-1.67e-8</x:v>
      </x:c>
      <x:c r="H357" s="39" t="n">
        <x:v>0.0213294469</x:v>
      </x:c>
      <x:c r="I357" s="39" t="n">
        <x:v>-0.0612050541</x:v>
      </x:c>
      <x:c r="J357" s="39" t="n">
        <x:v>-0.0488542536</x:v>
      </x:c>
      <x:c r="K357" s="39" t="n">
        <x:v>-0.0885736742</x:v>
      </x:c>
      <x:c r="L357" s="39" t="n">
        <x:v>-0.0100773593</x:v>
      </x:c>
      <x:c r="M357" s="39" t="n">
        <x:v>-0.0654607648</x:v>
      </x:c>
      <x:c r="N357" s="39" t="n">
        <x:v>-0.0142176823</x:v>
      </x:c>
      <x:c r="O357" s="39" t="n">
        <x:v>0.005589552</x:v>
      </x:c>
      <x:c r="P357" s="39" t="n">
        <x:v>-0.1276859659</x:v>
      </x:c>
      <x:c r="Q357" s="39" t="n">
        <x:v>-0.1258358974</x:v>
      </x:c>
      <x:c r="R357" s="39" t="n">
        <x:v>-0.0915883289</x:v>
      </x:c>
      <x:c r="S357" s="39" t="n">
        <x:v>0.0036863307</x:v>
      </x:c>
      <x:c r="T357" s="39" t="n">
        <x:v>-0.0835411619</x:v>
      </x:c>
      <x:c r="U357" s="39" t="n">
        <x:v>-0.0157005863</x:v>
      </x:c>
      <x:c r="V357" s="39" t="n">
        <x:v>-0.0725398894</x:v>
      </x:c>
      <x:c r="W357" s="39" t="n">
        <x:v>0.0984979345</x:v>
      </x:c>
      <x:c r="X357" s="39" t="n">
        <x:v>0.0205670631</x:v>
      </x:c>
      <x:c r="Y357" s="39" t="n">
        <x:v>-0.1526716229</x:v>
      </x:c>
      <x:c r="Z357" s="39" t="n">
        <x:v>-0.0532314563</x:v>
      </x:c>
      <x:c r="AA357" s="39" t="n">
        <x:v>0.0285628856</x:v>
      </x:c>
      <x:c r="AB357" s="39" t="n">
        <x:v>0.0768472071</x:v>
      </x:c>
      <x:c r="AC357" s="39" t="n">
        <x:v>-0.1177117107</x:v>
      </x:c>
      <x:c r="AD357" s="39" t="n">
        <x:v>0.0236248716</x:v>
      </x:c>
      <x:c r="AE357" s="39" t="n">
        <x:v>-0.0792561945</x:v>
      </x:c>
      <x:c r="AF357" s="39" t="n">
        <x:v>0.0433201647</x:v>
      </x:c>
      <x:c r="AG357" s="39" t="n">
        <x:v>-0.0025098037</x:v>
      </x:c>
      <x:c r="AH357" s="39" t="n">
        <x:v>-0.0154723015</x:v>
      </x:c>
      <x:c r="AI357" s="39" t="n">
        <x:v>-0.0541116673</x:v>
      </x:c>
      <x:c r="AJ357" s="39" t="n">
        <x:v>-0.0379658758</x:v>
      </x:c>
      <x:c r="AK357" s="39" t="n">
        <x:v>-0.0840069741</x:v>
      </x:c>
      <x:c r="AL357" s="39" t="n">
        <x:v>0.0208746565</x:v>
      </x:c>
      <x:c r="AM357" s="39" t="n">
        <x:v>0.0168885702</x:v>
      </x:c>
      <x:c r="AN357" s="39" t="n">
        <x:v>-0.0395782826</x:v>
      </x:c>
      <x:c r="AO357" s="39" t="n">
        <x:v>-0.0842695184</x:v>
      </x:c>
      <x:c r="AP357" s="39" t="n">
        <x:v>0.0318311855</x:v>
      </x:c>
      <x:c r="AQ357" s="39" t="n">
        <x:v>-0.016633683</x:v>
      </x:c>
      <x:c r="AR357" s="39" t="n">
        <x:v>-0.0173100306</x:v>
      </x:c>
      <x:c r="AS357" s="39" t="n">
        <x:v>-0.0095281615</x:v>
      </x:c>
    </x:row>
    <x:row r="358" ht="19" customHeight="1">
      <x:c r="A358" s="30" t="str">
        <x:v>Primary sector</x:v>
      </x:c>
      <x:c r="B358" s="40" t="d">
        <x:v>2023-01-02T00:00:00.000Z</x:v>
      </x:c>
      <x:c r="C358" s="39" t="n">
        <x:v>-0.0555805091</x:v>
      </x:c>
      <x:c r="D358" s="39" t="n">
        <x:v>0.1049974773</x:v>
      </x:c>
      <x:c r="E358" s="39" t="n">
        <x:v>-0.0255531778</x:v>
      </x:c>
      <x:c r="F358" s="39" t="n">
        <x:v>-0.0865078956</x:v>
      </x:c>
      <x:c r="G358" s="39" t="n">
        <x:v>0.0051310938</x:v>
      </x:c>
      <x:c r="H358" s="39" t="n">
        <x:v>-0.0552000372</x:v>
      </x:c>
      <x:c r="I358" s="39" t="n">
        <x:v>0.0228676107</x:v>
      </x:c>
      <x:c r="J358" s="39" t="n">
        <x:v>-0.1095216691</x:v>
      </x:c>
      <x:c r="K358" s="39" t="n">
        <x:v>0.0558667697</x:v>
      </x:c>
      <x:c r="L358" s="39" t="n">
        <x:v>0.0171364167</x:v>
      </x:c>
      <x:c r="M358" s="39" t="n">
        <x:v>-0.1653207873</x:v>
      </x:c>
      <x:c r="N358" s="39" t="n">
        <x:v>-0.0155676928</x:v>
      </x:c>
      <x:c r="O358" s="39" t="n">
        <x:v>-0.1429962704</x:v>
      </x:c>
      <x:c r="P358" s="39" t="n">
        <x:v>0.0712941263</x:v>
      </x:c>
      <x:c r="Q358" s="39" t="n">
        <x:v>0.0596751245</x:v>
      </x:c>
      <x:c r="R358" s="39" t="n">
        <x:v>-0.0871703304</x:v>
      </x:c>
      <x:c r="S358" s="39" t="n">
        <x:v>-0.0057987626</x:v>
      </x:c>
      <x:c r="T358" s="39" t="n">
        <x:v>-0.1618194006</x:v>
      </x:c>
      <x:c r="U358" s="39" t="n">
        <x:v>-0.0032482572</x:v>
      </x:c>
      <x:c r="V358" s="39" t="n">
        <x:v>-0.0258718133</x:v>
      </x:c>
      <x:c r="W358" s="39" t="n">
        <x:v>-0.0275975778</x:v>
      </x:c>
      <x:c r="X358" s="39" t="n">
        <x:v>0.0311936201</x:v>
      </x:c>
      <x:c r="Y358" s="39" t="n">
        <x:v>0.0627066033</x:v>
      </x:c>
      <x:c r="Z358" s="39" t="n">
        <x:v>0.0537029256</x:v>
      </x:c>
      <x:c r="AA358" s="39" t="n">
        <x:v>0.0109330881</x:v>
      </x:c>
      <x:c r="AB358" s="39" t="n">
        <x:v>0.0942354284</x:v>
      </x:c>
      <x:c r="AC358" s="39" t="n">
        <x:v>-0.2229269185</x:v>
      </x:c>
      <x:c r="AD358" s="39" t="n">
        <x:v>0.0055509902</x:v>
      </x:c>
      <x:c r="AE358" s="39" t="n">
        <x:v>-0.0407009535</x:v>
      </x:c>
      <x:c r="AF358" s="39" t="n">
        <x:v>0.0856870435</x:v>
      </x:c>
      <x:c r="AG358" s="39" t="n">
        <x:v>0.1268294781</x:v>
      </x:c>
      <x:c r="AH358" s="39" t="n">
        <x:v>-0.0659227863</x:v>
      </x:c>
      <x:c r="AI358" s="39" t="n">
        <x:v>0.0118094836</x:v>
      </x:c>
      <x:c r="AJ358" s="39" t="n">
        <x:v>0.0010419268</x:v>
      </x:c>
      <x:c r="AK358" s="39" t="n">
        <x:v>0.0015110455</x:v>
      </x:c>
      <x:c r="AL358" s="39" t="n">
        <x:v>0.0298160365</x:v>
      </x:c>
      <x:c r="AM358" s="39" t="n">
        <x:v>-0.0474468569</x:v>
      </x:c>
      <x:c r="AN358" s="39" t="n">
        <x:v>-0.0796640609</x:v>
      </x:c>
      <x:c r="AO358" s="39" t="n">
        <x:v>-0.0163338137</x:v>
      </x:c>
      <x:c r="AP358" s="39" t="n">
        <x:v>0.0125022579</x:v>
      </x:c>
      <x:c r="AQ358" s="39" t="n">
        <x:v>-0.0217020238</x:v>
      </x:c>
      <x:c r="AR358" s="39" t="n">
        <x:v>0.0112301485</x:v>
      </x:c>
      <x:c r="AS358" s="39" t="n">
        <x:v>0.0067045597</x:v>
      </x:c>
    </x:row>
    <x:row r="359" ht="19" customHeight="1">
      <x:c r="A359" s="30" t="str">
        <x:v>Primary sector</x:v>
      </x:c>
      <x:c r="B359" s="40" t="d">
        <x:v>2023-01-30T00:00:00.000Z</x:v>
      </x:c>
      <x:c r="C359" s="39" t="n">
        <x:v>-0.0078664116</x:v>
      </x:c>
      <x:c r="D359" s="39" t="n">
        <x:v>0.0355019692</x:v>
      </x:c>
      <x:c r="E359" s="39" t="n">
        <x:v>0.0033936431</x:v>
      </x:c>
      <x:c r="F359" s="39" t="n">
        <x:v>0.0329595449</x:v>
      </x:c>
      <x:c r="G359" s="39" t="n">
        <x:v>0.0589678023</x:v>
      </x:c>
      <x:c r="H359" s="39" t="n">
        <x:v>0.0976503491</x:v>
      </x:c>
      <x:c r="I359" s="39" t="n">
        <x:v>0.0180247664</x:v>
      </x:c>
      <x:c r="J359" s="39" t="n">
        <x:v>-0.0200784007</x:v>
      </x:c>
      <x:c r="K359" s="39" t="n">
        <x:v>-0.0455974674</x:v>
      </x:c>
      <x:c r="L359" s="39" t="n">
        <x:v>0.0327549386</x:v>
      </x:c>
      <x:c r="M359" s="39" t="n">
        <x:v>0.0232948902</x:v>
      </x:c>
      <x:c r="N359" s="39" t="n">
        <x:v>0.0376974225</x:v>
      </x:c>
      <x:c r="O359" s="39" t="n">
        <x:v>0.0500383159</x:v>
      </x:c>
      <x:c r="P359" s="39" t="n">
        <x:v>-0.0788575521</x:v>
      </x:c>
      <x:c r="Q359" s="39" t="n">
        <x:v>-0.0934881537</x:v>
      </x:c>
      <x:c r="R359" s="39" t="n">
        <x:v>0.0408282025</x:v>
      </x:c>
      <x:c r="S359" s="39" t="n">
        <x:v>-0.0062080053</x:v>
      </x:c>
      <x:c r="T359" s="39" t="n">
        <x:v>0.2536713088</x:v>
      </x:c>
      <x:c r="U359" s="39" t="n">
        <x:v>-0.0201591517</x:v>
      </x:c>
      <x:c r="V359" s="39" t="n">
        <x:v>0.1141966417</x:v>
      </x:c>
      <x:c r="W359" s="39" t="n">
        <x:v>-0.0075059786</x:v>
      </x:c>
      <x:c r="X359" s="39" t="n">
        <x:v>-0.0421931608</x:v>
      </x:c>
      <x:c r="Y359" s="39" t="n">
        <x:v>-0.1287548621</x:v>
      </x:c>
      <x:c r="Z359" s="39" t="n">
        <x:v>-0.0731724628</x:v>
      </x:c>
      <x:c r="AA359" s="39" t="n">
        <x:v>-0.0023515286</x:v>
      </x:c>
      <x:c r="AB359" s="39" t="n">
        <x:v>-0.189238712</x:v>
      </x:c>
      <x:c r="AC359" s="39" t="n">
        <x:v>0.3844934955</x:v>
      </x:c>
      <x:c r="AD359" s="39" t="n">
        <x:v>-0.0315231471</x:v>
      </x:c>
      <x:c r="AE359" s="39" t="n">
        <x:v>-0.0428160909</x:v>
      </x:c>
      <x:c r="AF359" s="39" t="n">
        <x:v>-0.165344054</x:v>
      </x:c>
      <x:c r="AG359" s="39" t="n">
        <x:v>-0.056966402</x:v>
      </x:c>
      <x:c r="AH359" s="39" t="n">
        <x:v>-0.0289597122</x:v>
      </x:c>
      <x:c r="AI359" s="39" t="n">
        <x:v>0.0298549855</x:v>
      </x:c>
      <x:c r="AJ359" s="39" t="n">
        <x:v>-0.0384590795</x:v>
      </x:c>
      <x:c r="AK359" s="39" t="n">
        <x:v>0.0025307472</x:v>
      </x:c>
      <x:c r="AL359" s="39" t="n">
        <x:v>-0.1175278427</x:v>
      </x:c>
      <x:c r="AM359" s="39" t="n">
        <x:v>0.0415393636</x:v>
      </x:c>
      <x:c r="AN359" s="39" t="n">
        <x:v>0.0322348343</x:v>
      </x:c>
      <x:c r="AO359" s="39" t="n">
        <x:v>0.0511933571</x:v>
      </x:c>
      <x:c r="AP359" s="39" t="n">
        <x:v>-0.0410861499</x:v>
      </x:c>
      <x:c r="AQ359" s="39" t="n">
        <x:v>-0.024089119</x:v>
      </x:c>
      <x:c r="AR359" s="39" t="n">
        <x:v>-0.0451894281</x:v>
      </x:c>
      <x:c r="AS359" s="39" t="n">
        <x:v>-0.0428384941</x:v>
      </x:c>
    </x:row>
    <x:row r="360" ht="19" customHeight="1">
      <x:c r="A360" s="30" t="str">
        <x:v>Primary sector</x:v>
      </x:c>
      <x:c r="B360" s="40" t="d">
        <x:v>2023-02-27T00:00:00.000Z</x:v>
      </x:c>
      <x:c r="C360" s="39" t="n">
        <x:v>-0.0395033609</x:v>
      </x:c>
      <x:c r="D360" s="39" t="n">
        <x:v>0.1573092998</x:v>
      </x:c>
      <x:c r="E360" s="39" t="n">
        <x:v>0.0070206658</x:v>
      </x:c>
      <x:c r="F360" s="39" t="n">
        <x:v>-0.003746317</x:v>
      </x:c>
      <x:c r="G360" s="39" t="n">
        <x:v>-0.0098654782</x:v>
      </x:c>
      <x:c r="H360" s="39" t="n">
        <x:v>-0.0587615306</x:v>
      </x:c>
      <x:c r="I360" s="39" t="n">
        <x:v>-0.0340347489</x:v>
      </x:c>
      <x:c r="J360" s="39" t="n">
        <x:v>0.187858207</x:v>
      </x:c>
      <x:c r="K360" s="39" t="n">
        <x:v>-0.0502976452</x:v>
      </x:c>
      <x:c r="L360" s="39" t="n">
        <x:v>0.0478813086</x:v>
      </x:c>
      <x:c r="M360" s="39" t="n">
        <x:v>-0.0423687657</x:v>
      </x:c>
      <x:c r="N360" s="39" t="n">
        <x:v>0.0068162032</x:v>
      </x:c>
      <x:c r="O360" s="39" t="n">
        <x:v>0.0175721114</x:v>
      </x:c>
      <x:c r="P360" s="39" t="n">
        <x:v>-0.1016822787</x:v>
      </x:c>
      <x:c r="Q360" s="39" t="n">
        <x:v>-0.0007113782</x:v>
      </x:c>
      <x:c r="R360" s="39" t="n">
        <x:v>0.0979118666</x:v>
      </x:c>
      <x:c r="S360" s="39" t="n">
        <x:v>0.0457741063</x:v>
      </x:c>
      <x:c r="T360" s="39" t="n">
        <x:v>0.0418446378</x:v>
      </x:c>
      <x:c r="U360" s="39" t="n">
        <x:v>-0.0989123219</x:v>
      </x:c>
      <x:c r="V360" s="39" t="n">
        <x:v>0.0736860735</x:v>
      </x:c>
      <x:c r="W360" s="39" t="n">
        <x:v>-0.0662855239</x:v>
      </x:c>
      <x:c r="X360" s="39" t="n">
        <x:v>0.0112330224</x:v>
      </x:c>
      <x:c r="Y360" s="39" t="n">
        <x:v>-0.0835887287</x:v>
      </x:c>
      <x:c r="Z360" s="39" t="n">
        <x:v>-0.0568986996</x:v>
      </x:c>
      <x:c r="AA360" s="39" t="n">
        <x:v>0.0547475598</x:v>
      </x:c>
      <x:c r="AB360" s="39" t="n">
        <x:v>-0.0633213387</x:v>
      </x:c>
      <x:c r="AC360" s="39" t="n">
        <x:v>-0.0504432401</x:v>
      </x:c>
      <x:c r="AD360" s="39" t="n">
        <x:v>0.0180989091</x:v>
      </x:c>
      <x:c r="AE360" s="39" t="n">
        <x:v>0.1007409071</x:v>
      </x:c>
      <x:c r="AF360" s="39" t="n">
        <x:v>-0.0696846101</x:v>
      </x:c>
      <x:c r="AG360" s="39" t="n">
        <x:v>0.0883888155</x:v>
      </x:c>
      <x:c r="AH360" s="39" t="n">
        <x:v>0.0097332509</x:v>
      </x:c>
      <x:c r="AI360" s="39" t="n">
        <x:v>-0.0254010994</x:v>
      </x:c>
      <x:c r="AJ360" s="39" t="n">
        <x:v>-0.0405029328</x:v>
      </x:c>
      <x:c r="AK360" s="39" t="n">
        <x:v>0.0420374324</x:v>
      </x:c>
      <x:c r="AL360" s="39" t="n">
        <x:v>-0.0017174337</x:v>
      </x:c>
      <x:c r="AM360" s="39" t="n">
        <x:v>0.0155107464</x:v>
      </x:c>
      <x:c r="AN360" s="39" t="n">
        <x:v>-0.0383920308</x:v>
      </x:c>
      <x:c r="AO360" s="39" t="n">
        <x:v>-0.0499588834</x:v>
      </x:c>
      <x:c r="AP360" s="39" t="n">
        <x:v>-0.0545972445</x:v>
      </x:c>
      <x:c r="AQ360" s="39" t="n">
        <x:v>0.0089510704</x:v>
      </x:c>
      <x:c r="AR360" s="39" t="n">
        <x:v>-0.0371590995</x:v>
      </x:c>
      <x:c r="AS360" s="39" t="n">
        <x:v>0.0196958781</x:v>
      </x:c>
    </x:row>
    <x:row r="361" ht="19" customHeight="1">
      <x:c r="A361" s="30" t="str">
        <x:v>Primary sector</x:v>
      </x:c>
      <x:c r="B361" s="40" t="d">
        <x:v>2023-03-27T00:00:00.000Z</x:v>
      </x:c>
      <x:c r="C361" s="39" t="n">
        <x:v>0.0660435243</x:v>
      </x:c>
      <x:c r="D361" s="39" t="n">
        <x:v>0.0357781162</x:v>
      </x:c>
      <x:c r="E361" s="39" t="n">
        <x:v>-0.0007816736</x:v>
      </x:c>
      <x:c r="F361" s="39" t="n">
        <x:v>-0.0093980443</x:v>
      </x:c>
      <x:c r="G361" s="39" t="n">
        <x:v>-0.0227883709</x:v>
      </x:c>
      <x:c r="H361" s="39" t="n">
        <x:v>0.1093897708</x:v>
      </x:c>
      <x:c r="I361" s="39" t="n">
        <x:v>0.0497944516</x:v>
      </x:c>
      <x:c r="J361" s="39" t="n">
        <x:v>-0.0478279014</x:v>
      </x:c>
      <x:c r="K361" s="39" t="n">
        <x:v>-0.1771940057</x:v>
      </x:c>
      <x:c r="L361" s="39" t="n">
        <x:v>0.0259481285</x:v>
      </x:c>
      <x:c r="M361" s="39" t="n">
        <x:v>-0.1438597029</x:v>
      </x:c>
      <x:c r="N361" s="39" t="n">
        <x:v>-0.069211558</x:v>
      </x:c>
      <x:c r="O361" s="39" t="n">
        <x:v>-0.0014771096</x:v>
      </x:c>
      <x:c r="P361" s="39" t="n">
        <x:v>-0.1807007716</x:v>
      </x:c>
      <x:c r="Q361" s="39" t="n">
        <x:v>-0.0782422502</x:v>
      </x:c>
      <x:c r="R361" s="39" t="n">
        <x:v>-0.0482814296</x:v>
      </x:c>
      <x:c r="S361" s="39" t="n">
        <x:v>0.0083256086</x:v>
      </x:c>
      <x:c r="T361" s="39" t="n">
        <x:v>-0.0389141724</x:v>
      </x:c>
      <x:c r="U361" s="39" t="n">
        <x:v>0.0873166978</x:v>
      </x:c>
      <x:c r="V361" s="39" t="n">
        <x:v>0.0403337027</x:v>
      </x:c>
      <x:c r="W361" s="39" t="n">
        <x:v>0.0268103612</x:v>
      </x:c>
      <x:c r="X361" s="39" t="n">
        <x:v>-0.0123615708</x:v>
      </x:c>
      <x:c r="Y361" s="39" t="n">
        <x:v>-0.1047315659</x:v>
      </x:c>
      <x:c r="Z361" s="39" t="n">
        <x:v>0.1249988236</x:v>
      </x:c>
      <x:c r="AA361" s="39" t="n">
        <x:v>0.0326665774</x:v>
      </x:c>
      <x:c r="AB361" s="39" t="n">
        <x:v>-0.1056771757</x:v>
      </x:c>
      <x:c r="AC361" s="39" t="n">
        <x:v>0.0541791537</x:v>
      </x:c>
      <x:c r="AD361" s="39" t="n">
        <x:v>0.0283652079</x:v>
      </x:c>
      <x:c r="AE361" s="39" t="n">
        <x:v>-0.0373282642</x:v>
      </x:c>
      <x:c r="AF361" s="39" t="n">
        <x:v>-0.0475211918</x:v>
      </x:c>
      <x:c r="AG361" s="39" t="n">
        <x:v>0.0111871402</x:v>
      </x:c>
      <x:c r="AH361" s="39" t="n">
        <x:v>-0.0168976472</x:v>
      </x:c>
      <x:c r="AI361" s="39" t="n">
        <x:v>0.0037549646</x:v>
      </x:c>
      <x:c r="AJ361" s="39" t="n">
        <x:v>0.0458202492</x:v>
      </x:c>
      <x:c r="AK361" s="39" t="n">
        <x:v>-0.0277242795</x:v>
      </x:c>
      <x:c r="AL361" s="39" t="n">
        <x:v>-0.0824683868</x:v>
      </x:c>
      <x:c r="AM361" s="39" t="n">
        <x:v>0.0760654145</x:v>
      </x:c>
      <x:c r="AN361" s="39" t="n">
        <x:v>0.0472344332</x:v>
      </x:c>
      <x:c r="AO361" s="39" t="n">
        <x:v>0.017578599</x:v>
      </x:c>
      <x:c r="AP361" s="39" t="n">
        <x:v>-0.0099491098</x:v>
      </x:c>
      <x:c r="AQ361" s="39" t="n">
        <x:v>0.0199179402</x:v>
      </x:c>
      <x:c r="AR361" s="39" t="n">
        <x:v>0.0012247276</x:v>
      </x:c>
      <x:c r="AS361" s="39" t="n">
        <x:v>0.0354585606</x:v>
      </x:c>
    </x:row>
    <x:row r="362" ht="19" customHeight="1">
      <x:c r="A362" s="30" t="str">
        <x:v>Primary sector</x:v>
      </x:c>
      <x:c r="B362" s="40" t="d">
        <x:v>2023-04-24T00:00:00.000Z</x:v>
      </x:c>
      <x:c r="C362" s="39" t="n">
        <x:v>-0.0409522664</x:v>
      </x:c>
      <x:c r="D362" s="39" t="n">
        <x:v>0.0074863098</x:v>
      </x:c>
      <x:c r="E362" s="39" t="n">
        <x:v>0.008475171</x:v>
      </x:c>
      <x:c r="F362" s="39" t="n">
        <x:v>-0.0249586708</x:v>
      </x:c>
      <x:c r="G362" s="39" t="n">
        <x:v>0.024930025</x:v>
      </x:c>
      <x:c r="H362" s="39" t="n">
        <x:v>0.1959633715</x:v>
      </x:c>
      <x:c r="I362" s="39" t="n">
        <x:v>0.0271332716</x:v>
      </x:c>
      <x:c r="J362" s="39" t="n">
        <x:v>0.0085360902</x:v>
      </x:c>
      <x:c r="K362" s="39" t="n">
        <x:v>-0.0904309473</x:v>
      </x:c>
      <x:c r="L362" s="39" t="n">
        <x:v>-0.2155836239</x:v>
      </x:c>
      <x:c r="M362" s="39" t="n">
        <x:v>-0.0221491792</x:v>
      </x:c>
      <x:c r="N362" s="39" t="n">
        <x:v>-0.0665495416</x:v>
      </x:c>
      <x:c r="O362" s="39" t="n">
        <x:v>-0.1658233852</x:v>
      </x:c>
      <x:c r="P362" s="39" t="n">
        <x:v>-0.0486629921</x:v>
      </x:c>
      <x:c r="Q362" s="39" t="n">
        <x:v>-0.4137197115</x:v>
      </x:c>
      <x:c r="R362" s="39" t="n">
        <x:v>-0.1696966735</x:v>
      </x:c>
      <x:c r="S362" s="39" t="n">
        <x:v>-0.0235155761</x:v>
      </x:c>
      <x:c r="T362" s="39" t="n">
        <x:v>-0.2725389105</x:v>
      </x:c>
      <x:c r="U362" s="39" t="n">
        <x:v>-0.1009904686</x:v>
      </x:c>
      <x:c r="V362" s="39" t="n">
        <x:v>-0.0448971382</x:v>
      </x:c>
      <x:c r="W362" s="39" t="n">
        <x:v>-0.0703263225</x:v>
      </x:c>
      <x:c r="X362" s="39" t="n">
        <x:v>0.0906329768</x:v>
      </x:c>
      <x:c r="Y362" s="39" t="n">
        <x:v>0.0928565844</x:v>
      </x:c>
      <x:c r="Z362" s="39" t="n">
        <x:v>0.0080943365</x:v>
      </x:c>
      <x:c r="AA362" s="39" t="n">
        <x:v>-0.0627925337</x:v>
      </x:c>
      <x:c r="AB362" s="39" t="n">
        <x:v>-0.0111688068</x:v>
      </x:c>
      <x:c r="AC362" s="39" t="n">
        <x:v>-0.1450804678</x:v>
      </x:c>
      <x:c r="AD362" s="39" t="n">
        <x:v>0.0356401797</x:v>
      </x:c>
      <x:c r="AE362" s="39" t="n">
        <x:v>-0.0173464695</x:v>
      </x:c>
      <x:c r="AF362" s="39" t="n">
        <x:v>-0.1016263528</x:v>
      </x:c>
      <x:c r="AG362" s="39" t="n">
        <x:v>0.0086605331</x:v>
      </x:c>
      <x:c r="AH362" s="39" t="n">
        <x:v>0.012307591</x:v>
      </x:c>
      <x:c r="AI362" s="39" t="n">
        <x:v>-0.0340146932</x:v>
      </x:c>
      <x:c r="AJ362" s="39" t="n">
        <x:v>0.0758123212</x:v>
      </x:c>
      <x:c r="AK362" s="39" t="n">
        <x:v>0.0830412424</x:v>
      </x:c>
      <x:c r="AL362" s="39" t="n">
        <x:v>-0.1304509216</x:v>
      </x:c>
      <x:c r="AM362" s="39" t="n">
        <x:v>0.0527048917</x:v>
      </x:c>
      <x:c r="AN362" s="39" t="n">
        <x:v>0.0107641285</x:v>
      </x:c>
      <x:c r="AO362" s="39" t="n">
        <x:v>-0.0062186962</x:v>
      </x:c>
      <x:c r="AP362" s="39" t="n">
        <x:v>0.0370014626</x:v>
      </x:c>
      <x:c r="AQ362" s="39" t="n">
        <x:v>0.0099478401</x:v>
      </x:c>
      <x:c r="AR362" s="39" t="n">
        <x:v>0.0259797662</x:v>
      </x:c>
      <x:c r="AS362" s="39" t="n">
        <x:v>0.0460037545</x:v>
      </x:c>
    </x:row>
    <x:row r="363" ht="19" customHeight="1">
      <x:c r="A363" s="30" t="str">
        <x:v>Primary sector</x:v>
      </x:c>
      <x:c r="B363" s="40" t="d">
        <x:v>2023-05-22T00:00:00.000Z</x:v>
      </x:c>
      <x:c r="C363" s="39" t="n">
        <x:v>0.0506310224</x:v>
      </x:c>
      <x:c r="D363" s="39" t="n">
        <x:v>0.0540878625</x:v>
      </x:c>
      <x:c r="E363" s="39" t="n">
        <x:v>-0.0275770347</x:v>
      </x:c>
      <x:c r="F363" s="39" t="n">
        <x:v>-0.0383790731</x:v>
      </x:c>
      <x:c r="G363" s="39" t="n">
        <x:v>-0.128736749</x:v>
      </x:c>
      <x:c r="H363" s="39" t="n">
        <x:v>0.0095391338</x:v>
      </x:c>
      <x:c r="I363" s="39" t="n">
        <x:v>0.0927366079</x:v>
      </x:c>
      <x:c r="J363" s="39" t="n">
        <x:v>0.0022547537</x:v>
      </x:c>
      <x:c r="K363" s="39" t="n">
        <x:v>-0.1198675014</x:v>
      </x:c>
      <x:c r="L363" s="39" t="n">
        <x:v>0.0789611859</x:v>
      </x:c>
      <x:c r="M363" s="39" t="n">
        <x:v>-0.1028775039</x:v>
      </x:c>
      <x:c r="N363" s="39" t="n">
        <x:v>-0.179441789</x:v>
      </x:c>
      <x:c r="O363" s="39" t="n">
        <x:v>0.0352763743</x:v>
      </x:c>
      <x:c r="P363" s="39" t="n">
        <x:v>-0.0558909658</x:v>
      </x:c>
      <x:c r="Q363" s="39" t="n">
        <x:v>0.2527704395</x:v>
      </x:c>
      <x:c r="R363" s="39" t="n">
        <x:v>-0.0624720272</x:v>
      </x:c>
      <x:c r="S363" s="39" t="n">
        <x:v>-0.0514296397</x:v>
      </x:c>
      <x:c r="T363" s="39" t="n">
        <x:v>0.2046992018</x:v>
      </x:c>
      <x:c r="U363" s="39" t="n">
        <x:v>0.0287262081</x:v>
      </x:c>
      <x:c r="V363" s="39" t="n">
        <x:v>-0.0521628751</x:v>
      </x:c>
      <x:c r="W363" s="39" t="n">
        <x:v>0.0933728009</x:v>
      </x:c>
      <x:c r="X363" s="39" t="n">
        <x:v>-0.042879145</x:v>
      </x:c>
      <x:c r="Y363" s="39" t="n">
        <x:v>-0.0570026002</x:v>
      </x:c>
      <x:c r="Z363" s="39" t="n">
        <x:v>-0.0697391107</x:v>
      </x:c>
      <x:c r="AA363" s="39" t="n">
        <x:v>-0.0441589093</x:v>
      </x:c>
      <x:c r="AB363" s="39" t="n">
        <x:v>-0.0286760196</x:v>
      </x:c>
      <x:c r="AC363" s="39" t="n">
        <x:v>0.6218252533</x:v>
      </x:c>
      <x:c r="AD363" s="39" t="n">
        <x:v>-0.0022426089</x:v>
      </x:c>
      <x:c r="AE363" s="39" t="n">
        <x:v>0.031734824</x:v>
      </x:c>
      <x:c r="AF363" s="39" t="n">
        <x:v>-0.0481809995</x:v>
      </x:c>
      <x:c r="AG363" s="39" t="n">
        <x:v>0.0285138201</x:v>
      </x:c>
      <x:c r="AH363" s="39" t="n">
        <x:v>0.0432745217</x:v>
      </x:c>
      <x:c r="AI363" s="39" t="n">
        <x:v>0.1309537481</x:v>
      </x:c>
      <x:c r="AJ363" s="39" t="n">
        <x:v>0.1119971498</x:v>
      </x:c>
      <x:c r="AK363" s="39" t="n">
        <x:v>-0.0123501242</x:v>
      </x:c>
      <x:c r="AL363" s="39" t="n">
        <x:v>-0.1441450602</x:v>
      </x:c>
      <x:c r="AM363" s="39" t="n">
        <x:v>0.0428629956</x:v>
      </x:c>
      <x:c r="AN363" s="39" t="n">
        <x:v>0.1193611825</x:v>
      </x:c>
      <x:c r="AO363" s="39" t="n">
        <x:v>0.0437030543</x:v>
      </x:c>
      <x:c r="AP363" s="39" t="n">
        <x:v>-0.0239352242</x:v>
      </x:c>
      <x:c r="AQ363" s="39" t="n">
        <x:v>-0.0039753558</x:v>
      </x:c>
      <x:c r="AR363" s="39" t="n">
        <x:v>-0.0011963589</x:v>
      </x:c>
      <x:c r="AS363" s="39" t="n">
        <x:v>-0.0038397914</x:v>
      </x:c>
    </x:row>
    <x:row r="364" ht="19" customHeight="1">
      <x:c r="A364" s="30" t="str">
        <x:v>Primary sector</x:v>
      </x:c>
      <x:c r="B364" s="40" t="d">
        <x:v>2023-06-19T00:00:00.000Z</x:v>
      </x:c>
      <x:c r="C364" s="39" t="n">
        <x:v>-0.0148501846</x:v>
      </x:c>
      <x:c r="D364" s="39" t="n">
        <x:v>0.0732929307</x:v>
      </x:c>
      <x:c r="E364" s="39" t="n">
        <x:v>-0.0169750216</x:v>
      </x:c>
      <x:c r="F364" s="39" t="n">
        <x:v>-0.0168826914</x:v>
      </x:c>
      <x:c r="G364" s="39" t="n">
        <x:v>-0.0466032312</x:v>
      </x:c>
      <x:c r="H364" s="39" t="n">
        <x:v>-0.0785899208</x:v>
      </x:c>
      <x:c r="I364" s="39" t="n">
        <x:v>-0.0251214306</x:v>
      </x:c>
      <x:c r="J364" s="39" t="n">
        <x:v>-0.062752397</x:v>
      </x:c>
      <x:c r="K364" s="39" t="n">
        <x:v>-0.046834162</x:v>
      </x:c>
      <x:c r="L364" s="39" t="n">
        <x:v>-0.0215698521</x:v>
      </x:c>
      <x:c r="M364" s="39" t="n">
        <x:v>0.088586017</x:v>
      </x:c>
      <x:c r="N364" s="39" t="n">
        <x:v>-0.0237519854</x:v>
      </x:c>
      <x:c r="O364" s="39" t="n">
        <x:v>-0.0074479013</x:v>
      </x:c>
      <x:c r="P364" s="39" t="n">
        <x:v>-0.1110071276</x:v>
      </x:c>
      <x:c r="Q364" s="39" t="n">
        <x:v>-0.0502036437</x:v>
      </x:c>
      <x:c r="R364" s="39" t="n">
        <x:v>0.0671918538</x:v>
      </x:c>
      <x:c r="S364" s="39" t="n">
        <x:v>0.0052847896</x:v>
      </x:c>
      <x:c r="T364" s="39" t="n">
        <x:v>-0.0193820432</x:v>
      </x:c>
      <x:c r="U364" s="39" t="n">
        <x:v>-0.1339297138</x:v>
      </x:c>
      <x:c r="V364" s="39" t="n">
        <x:v>-0.0985033024</x:v>
      </x:c>
      <x:c r="W364" s="39" t="n">
        <x:v>0.0752792645</x:v>
      </x:c>
      <x:c r="X364" s="39" t="n">
        <x:v>-0.0204636401</x:v>
      </x:c>
      <x:c r="Y364" s="39" t="n">
        <x:v>-0.1889309657</x:v>
      </x:c>
      <x:c r="Z364" s="39" t="n">
        <x:v>-0.0817788865</x:v>
      </x:c>
      <x:c r="AA364" s="39" t="n">
        <x:v>0.0169655909</x:v>
      </x:c>
      <x:c r="AB364" s="39" t="n">
        <x:v>-0.0383635085</x:v>
      </x:c>
      <x:c r="AC364" s="39" t="n">
        <x:v>0.1446720566</x:v>
      </x:c>
      <x:c r="AD364" s="39" t="n">
        <x:v>-0.0074815959</x:v>
      </x:c>
      <x:c r="AE364" s="39" t="n">
        <x:v>0.0342958656</x:v>
      </x:c>
      <x:c r="AF364" s="39" t="n">
        <x:v>0.0490657793</x:v>
      </x:c>
      <x:c r="AG364" s="39" t="n">
        <x:v>-0.0659171187</x:v>
      </x:c>
      <x:c r="AH364" s="39" t="n">
        <x:v>0.0076810415</x:v>
      </x:c>
      <x:c r="AI364" s="39" t="n">
        <x:v>-0.1876016594</x:v>
      </x:c>
      <x:c r="AJ364" s="39" t="n">
        <x:v>0.0098043229</x:v>
      </x:c>
      <x:c r="AK364" s="39" t="n">
        <x:v>-0.0189421908</x:v>
      </x:c>
      <x:c r="AL364" s="39" t="n">
        <x:v>-0.0172802515</x:v>
      </x:c>
      <x:c r="AM364" s="39" t="n">
        <x:v>-0.0225045127</x:v>
      </x:c>
      <x:c r="AN364" s="39" t="n">
        <x:v>-0.0882539126</x:v>
      </x:c>
      <x:c r="AO364" s="39" t="n">
        <x:v>-0.0100366638</x:v>
      </x:c>
      <x:c r="AP364" s="39" t="n">
        <x:v>-0.0413076566</x:v>
      </x:c>
      <x:c r="AQ364" s="39" t="n">
        <x:v>-0.0123713112</x:v>
      </x:c>
      <x:c r="AR364" s="39" t="n">
        <x:v>0.019832019</x:v>
      </x:c>
      <x:c r="AS364" s="39" t="n">
        <x:v>0.0146825517</x:v>
      </x:c>
    </x:row>
    <x:row r="365" ht="19" customHeight="1">
      <x:c r="A365" s="30" t="str">
        <x:v>Primary sector</x:v>
      </x:c>
      <x:c r="B365" s="40" t="d">
        <x:v>2023-07-17T00:00:00.000Z</x:v>
      </x:c>
      <x:c r="C365" s="39" t="n">
        <x:v>0.0350941757</x:v>
      </x:c>
      <x:c r="D365" s="39" t="n">
        <x:v>0.0127647233</x:v>
      </x:c>
      <x:c r="E365" s="39" t="n">
        <x:v>0.0026358562</x:v>
      </x:c>
      <x:c r="F365" s="39" t="n">
        <x:v>0.0117834585</x:v>
      </x:c>
      <x:c r="G365" s="39" t="n">
        <x:v>-0.0384736668</x:v>
      </x:c>
      <x:c r="H365" s="39" t="n">
        <x:v>0.0044619419</x:v>
      </x:c>
      <x:c r="I365" s="39" t="n">
        <x:v>-0.0399037616</x:v>
      </x:c>
      <x:c r="J365" s="39" t="n">
        <x:v>-0.0813861636</x:v>
      </x:c>
      <x:c r="K365" s="39" t="n">
        <x:v>-0.1279172899</x:v>
      </x:c>
      <x:c r="L365" s="39" t="n">
        <x:v>-0.014838266</x:v>
      </x:c>
      <x:c r="M365" s="39" t="n">
        <x:v>0.095022532</x:v>
      </x:c>
      <x:c r="N365" s="39" t="n">
        <x:v>0.0762866268</x:v>
      </x:c>
      <x:c r="O365" s="39" t="n">
        <x:v>-0.0128008897</x:v>
      </x:c>
      <x:c r="P365" s="39" t="n">
        <x:v>-0.0475767721</x:v>
      </x:c>
      <x:c r="Q365" s="39" t="n">
        <x:v>-0.0257590979</x:v>
      </x:c>
      <x:c r="R365" s="39" t="n">
        <x:v>0.1958178451</x:v>
      </x:c>
      <x:c r="S365" s="39" t="n">
        <x:v>0.0340369084</x:v>
      </x:c>
      <x:c r="T365" s="39" t="n">
        <x:v>-0.0198877486</x:v>
      </x:c>
      <x:c r="U365" s="39" t="n">
        <x:v>0.0408757465</x:v>
      </x:c>
      <x:c r="V365" s="39" t="n">
        <x:v>-0.1196837099</x:v>
      </x:c>
      <x:c r="W365" s="39" t="n">
        <x:v>-0.0133865647</x:v>
      </x:c>
      <x:c r="X365" s="39" t="n">
        <x:v>0.076362111</x:v>
      </x:c>
      <x:c r="Y365" s="39" t="n">
        <x:v>-0.0538303766</x:v>
      </x:c>
      <x:c r="Z365" s="39" t="n">
        <x:v>-0.0077410546</x:v>
      </x:c>
      <x:c r="AA365" s="39" t="n">
        <x:v>-0.0988554326</x:v>
      </x:c>
      <x:c r="AB365" s="39" t="n">
        <x:v>-0.0296171844</x:v>
      </x:c>
      <x:c r="AC365" s="39" t="n">
        <x:v>0.422458406</x:v>
      </x:c>
      <x:c r="AD365" s="39" t="n">
        <x:v>0.0116777428</x:v>
      </x:c>
      <x:c r="AE365" s="39" t="n">
        <x:v>-0.0509006639</x:v>
      </x:c>
      <x:c r="AF365" s="39" t="n">
        <x:v>-0.0025407867</x:v>
      </x:c>
      <x:c r="AG365" s="39" t="n">
        <x:v>-0.0126413095</x:v>
      </x:c>
      <x:c r="AH365" s="39" t="n">
        <x:v>0.0355365039</x:v>
      </x:c>
      <x:c r="AI365" s="39" t="n">
        <x:v>-0.0464525016</x:v>
      </x:c>
      <x:c r="AJ365" s="39" t="n">
        <x:v>-0.0430776557</x:v>
      </x:c>
      <x:c r="AK365" s="39" t="n">
        <x:v>-0.0058356492</x:v>
      </x:c>
      <x:c r="AL365" s="39" t="n">
        <x:v>-0.0337125697</x:v>
      </x:c>
      <x:c r="AM365" s="39" t="n">
        <x:v>-0.0173520751</x:v>
      </x:c>
      <x:c r="AN365" s="39" t="n">
        <x:v>-0.0678280736</x:v>
      </x:c>
      <x:c r="AO365" s="39" t="n">
        <x:v>0.0232985917</x:v>
      </x:c>
      <x:c r="AP365" s="39" t="n">
        <x:v>0.0361811831</x:v>
      </x:c>
      <x:c r="AQ365" s="39" t="n">
        <x:v>-0.0056261839</x:v>
      </x:c>
      <x:c r="AR365" s="39" t="n">
        <x:v>0.0031390408</x:v>
      </x:c>
      <x:c r="AS365" s="39" t="n">
        <x:v>-0.0083813056</x:v>
      </x:c>
    </x:row>
    <x:row r="366" ht="19" customHeight="1">
      <x:c r="A366" s="30" t="str">
        <x:v>Primary sector</x:v>
      </x:c>
      <x:c r="B366" s="40" t="d">
        <x:v>2023-08-14T00:00:00.000Z</x:v>
      </x:c>
      <x:c r="C366" s="39" t="n">
        <x:v>0.1193971028</x:v>
      </x:c>
      <x:c r="D366" s="39" t="n">
        <x:v>-0.1034655018</x:v>
      </x:c>
      <x:c r="E366" s="39" t="n">
        <x:v>0.0036301781</x:v>
      </x:c>
      <x:c r="F366" s="39" t="n">
        <x:v>-0.0108839606</x:v>
      </x:c>
      <x:c r="G366" s="39" t="n">
        <x:v>0.0700607859</x:v>
      </x:c>
      <x:c r="H366" s="39" t="n">
        <x:v>-0.0411408933</x:v>
      </x:c>
      <x:c r="I366" s="39" t="n">
        <x:v>0.089617066</x:v>
      </x:c>
      <x:c r="J366" s="39" t="n">
        <x:v>0.1473750204</x:v>
      </x:c>
      <x:c r="K366" s="39" t="n">
        <x:v>0.2340543186</x:v>
      </x:c>
      <x:c r="L366" s="39" t="n">
        <x:v>0.0259833176</x:v>
      </x:c>
      <x:c r="M366" s="39" t="n">
        <x:v>-0.0342277628</x:v>
      </x:c>
      <x:c r="N366" s="39" t="n">
        <x:v>0.0067686493</x:v>
      </x:c>
      <x:c r="O366" s="39" t="n">
        <x:v>0.0256268792</x:v>
      </x:c>
      <x:c r="P366" s="39" t="n">
        <x:v>0.1854800091</x:v>
      </x:c>
      <x:c r="Q366" s="39" t="n">
        <x:v>0.035738716</x:v>
      </x:c>
      <x:c r="R366" s="39" t="n">
        <x:v>-0.3016773055</x:v>
      </x:c>
      <x:c r="S366" s="39" t="n">
        <x:v>0.0898848953</x:v>
      </x:c>
      <x:c r="T366" s="39" t="n">
        <x:v>-0.0775555637</x:v>
      </x:c>
      <x:c r="U366" s="39" t="n">
        <x:v>-0.0744665942</x:v>
      </x:c>
      <x:c r="V366" s="39" t="n">
        <x:v>0.1277131014</x:v>
      </x:c>
      <x:c r="W366" s="39" t="n">
        <x:v>-0.0387077436</x:v>
      </x:c>
      <x:c r="X366" s="39" t="n">
        <x:v>0.1114618457</x:v>
      </x:c>
      <x:c r="Y366" s="39" t="n">
        <x:v>0.1249937229</x:v>
      </x:c>
      <x:c r="Z366" s="39" t="n">
        <x:v>0.0295681092</x:v>
      </x:c>
      <x:c r="AA366" s="39" t="n">
        <x:v>0.0757250813</x:v>
      </x:c>
      <x:c r="AB366" s="39" t="n">
        <x:v>-0.0086085004</x:v>
      </x:c>
      <x:c r="AC366" s="39" t="n">
        <x:v>-0.3530219099</x:v>
      </x:c>
      <x:c r="AD366" s="39" t="n">
        <x:v>0.0698992888</x:v>
      </x:c>
      <x:c r="AE366" s="39" t="n">
        <x:v>-0.0099663857</x:v>
      </x:c>
      <x:c r="AF366" s="39" t="n">
        <x:v>0.0311286626</x:v>
      </x:c>
      <x:c r="AG366" s="39" t="n">
        <x:v>0.1885199461</x:v>
      </x:c>
      <x:c r="AH366" s="39" t="n">
        <x:v>0.0065780328</x:v>
      </x:c>
      <x:c r="AI366" s="39" t="n">
        <x:v>0.138994544</x:v>
      </x:c>
      <x:c r="AJ366" s="39" t="n">
        <x:v>0.1647447527</x:v>
      </x:c>
      <x:c r="AK366" s="39" t="n">
        <x:v>0.073930259</x:v>
      </x:c>
      <x:c r="AL366" s="39" t="n">
        <x:v>0.0313373413</x:v>
      </x:c>
      <x:c r="AM366" s="39" t="n">
        <x:v>-0.0201279929</x:v>
      </x:c>
      <x:c r="AN366" s="39" t="n">
        <x:v>0.1227665286</x:v>
      </x:c>
      <x:c r="AO366" s="39" t="n">
        <x:v>0.0374789782</x:v>
      </x:c>
      <x:c r="AP366" s="39" t="n">
        <x:v>0.0929863414</x:v>
      </x:c>
      <x:c r="AQ366" s="39" t="n">
        <x:v>0.0336589342</x:v>
      </x:c>
      <x:c r="AR366" s="39" t="n">
        <x:v>0.0306622343</x:v>
      </x:c>
      <x:c r="AS366" s="39" t="n">
        <x:v>0.0500467503</x:v>
      </x:c>
    </x:row>
    <x:row r="367" ht="19" customHeight="1">
      <x:c r="A367" s="30" t="str">
        <x:v>Primary sector</x:v>
      </x:c>
      <x:c r="B367" s="40" t="d">
        <x:v>2023-09-11T00:00:00.000Z</x:v>
      </x:c>
      <x:c r="C367" s="39" t="n">
        <x:v>0.051601153</x:v>
      </x:c>
      <x:c r="D367" s="39" t="n">
        <x:v>0.0273253335</x:v>
      </x:c>
      <x:c r="E367" s="39" t="n">
        <x:v>-0.0117039173</x:v>
      </x:c>
      <x:c r="F367" s="39" t="n">
        <x:v>0.0001180108</x:v>
      </x:c>
      <x:c r="G367" s="39" t="n">
        <x:v>-0.0226354257</x:v>
      </x:c>
      <x:c r="H367" s="39" t="n">
        <x:v>0.0043120096</x:v>
      </x:c>
      <x:c r="I367" s="39" t="n">
        <x:v>-0.0085396827</x:v>
      </x:c>
      <x:c r="J367" s="39" t="n">
        <x:v>0.0161300236</x:v>
      </x:c>
      <x:c r="K367" s="39" t="n">
        <x:v>-0.0463015258</x:v>
      </x:c>
      <x:c r="L367" s="39" t="n">
        <x:v>0.0206783745</x:v>
      </x:c>
      <x:c r="M367" s="39" t="n">
        <x:v>0.0236520145</x:v>
      </x:c>
      <x:c r="N367" s="39" t="n">
        <x:v>0.0446877114</x:v>
      </x:c>
      <x:c r="O367" s="39" t="n">
        <x:v>-0.0439298637</x:v>
      </x:c>
      <x:c r="P367" s="39" t="n">
        <x:v>0.03632737</x:v>
      </x:c>
      <x:c r="Q367" s="39" t="n">
        <x:v>0.1324222213</x:v>
      </x:c>
      <x:c r="R367" s="39" t="n">
        <x:v>-0.3111826489</x:v>
      </x:c>
      <x:c r="S367" s="39" t="n">
        <x:v>0.0105093667</x:v>
      </x:c>
      <x:c r="T367" s="39" t="n">
        <x:v>0.0230720637</x:v>
      </x:c>
      <x:c r="U367" s="39" t="n">
        <x:v>0.1217836385</x:v>
      </x:c>
      <x:c r="V367" s="39" t="n">
        <x:v>0.0453705184</x:v>
      </x:c>
      <x:c r="W367" s="39" t="n">
        <x:v>-0.0541832113</x:v>
      </x:c>
      <x:c r="X367" s="39" t="n">
        <x:v>-0.0313626014</x:v>
      </x:c>
      <x:c r="Y367" s="39" t="n">
        <x:v>0.035355602</x:v>
      </x:c>
      <x:c r="Z367" s="39" t="n">
        <x:v>0.0371301805</x:v>
      </x:c>
      <x:c r="AA367" s="39" t="n">
        <x:v>0.0170377901</x:v>
      </x:c>
      <x:c r="AB367" s="39" t="n">
        <x:v>-0.0556124729</x:v>
      </x:c>
      <x:c r="AC367" s="39" t="n">
        <x:v>-0.0980919298</x:v>
      </x:c>
      <x:c r="AD367" s="39" t="n">
        <x:v>0.0194460748</x:v>
      </x:c>
      <x:c r="AE367" s="39" t="n">
        <x:v>0.0095265033</x:v>
      </x:c>
      <x:c r="AF367" s="39" t="n">
        <x:v>-0.0222985871</x:v>
      </x:c>
      <x:c r="AG367" s="39" t="n">
        <x:v>-0.0860441579</x:v>
      </x:c>
      <x:c r="AH367" s="39" t="n">
        <x:v>-0.0187216823</x:v>
      </x:c>
      <x:c r="AI367" s="39" t="n">
        <x:v>-0.0784070843</x:v>
      </x:c>
      <x:c r="AJ367" s="39" t="n">
        <x:v>0.0508158169</x:v>
      </x:c>
      <x:c r="AK367" s="39" t="n">
        <x:v>0.0035074952</x:v>
      </x:c>
      <x:c r="AL367" s="39" t="n">
        <x:v>0.0195728921</x:v>
      </x:c>
      <x:c r="AM367" s="39" t="n">
        <x:v>0.0237248124</x:v>
      </x:c>
      <x:c r="AN367" s="39" t="n">
        <x:v>0.0274050833</x:v>
      </x:c>
      <x:c r="AO367" s="39" t="n">
        <x:v>0.0161492868</x:v>
      </x:c>
      <x:c r="AP367" s="39" t="n">
        <x:v>-0.0476682261</x:v>
      </x:c>
      <x:c r="AQ367" s="39" t="n">
        <x:v>-0.0368628586</x:v>
      </x:c>
      <x:c r="AR367" s="39" t="n">
        <x:v>-0.0506682576</x:v>
      </x:c>
      <x:c r="AS367" s="39" t="n">
        <x:v>0.0237541693</x:v>
      </x:c>
    </x:row>
    <x:row r="368" ht="19" customHeight="1">
      <x:c r="A368" s="30" t="str">
        <x:v>Primary sector</x:v>
      </x:c>
      <x:c r="B368" s="40" t="d">
        <x:v>2023-10-09T00:00:00.000Z</x:v>
      </x:c>
      <x:c r="C368" s="39" t="n">
        <x:v>0.0393501225</x:v>
      </x:c>
      <x:c r="D368" s="39" t="n">
        <x:v>0.1361279884</x:v>
      </x:c>
      <x:c r="E368" s="39" t="n">
        <x:v>0.0109435219</x:v>
      </x:c>
      <x:c r="F368" s="39" t="n">
        <x:v>0.0184046451</x:v>
      </x:c>
      <x:c r="G368" s="39" t="n">
        <x:v>0.0355636336</x:v>
      </x:c>
      <x:c r="H368" s="39" t="n">
        <x:v>-0.0062703703</x:v>
      </x:c>
      <x:c r="I368" s="39" t="n">
        <x:v>0.0144479036</x:v>
      </x:c>
      <x:c r="J368" s="39" t="n">
        <x:v>-0.1360614694</x:v>
      </x:c>
      <x:c r="K368" s="39" t="n">
        <x:v>0.0342063904</x:v>
      </x:c>
      <x:c r="L368" s="39" t="n">
        <x:v>-0.1081971332</x:v>
      </x:c>
      <x:c r="M368" s="39" t="n">
        <x:v>0.0028184502</x:v>
      </x:c>
      <x:c r="N368" s="39" t="n">
        <x:v>-0.0442478959</x:v>
      </x:c>
      <x:c r="O368" s="39" t="n">
        <x:v>0.003457979</x:v>
      </x:c>
      <x:c r="P368" s="39" t="n">
        <x:v>-0.0070681791</x:v>
      </x:c>
      <x:c r="Q368" s="39" t="n">
        <x:v>-0.0786047121</x:v>
      </x:c>
      <x:c r="R368" s="39" t="n">
        <x:v>-0.1168526496</x:v>
      </x:c>
      <x:c r="S368" s="39" t="n">
        <x:v>0.0550589881</x:v>
      </x:c>
      <x:c r="T368" s="39" t="n">
        <x:v>-0.0057458824</x:v>
      </x:c>
      <x:c r="U368" s="39" t="n">
        <x:v>-0.0974535707</x:v>
      </x:c>
      <x:c r="V368" s="39" t="n">
        <x:v>0.0679838248</x:v>
      </x:c>
      <x:c r="W368" s="39" t="n">
        <x:v>-0.0977869982</x:v>
      </x:c>
      <x:c r="X368" s="39" t="n">
        <x:v>-0.0160740166</x:v>
      </x:c>
      <x:c r="Y368" s="39" t="n">
        <x:v>-0.0605719784</x:v>
      </x:c>
      <x:c r="Z368" s="39" t="n">
        <x:v>0.0331792001</x:v>
      </x:c>
      <x:c r="AA368" s="39" t="n">
        <x:v>0.1197582477</x:v>
      </x:c>
      <x:c r="AB368" s="39" t="n">
        <x:v>-0.0253806785</x:v>
      </x:c>
      <x:c r="AC368" s="39" t="n">
        <x:v>0.0655115228</x:v>
      </x:c>
      <x:c r="AD368" s="39" t="n">
        <x:v>0.022954179</x:v>
      </x:c>
      <x:c r="AE368" s="39" t="n">
        <x:v>0.0122567688</x:v>
      </x:c>
      <x:c r="AF368" s="39" t="n">
        <x:v>-0.0642440237</x:v>
      </x:c>
      <x:c r="AG368" s="39" t="n">
        <x:v>-0.0547328237</x:v>
      </x:c>
      <x:c r="AH368" s="39" t="n">
        <x:v>0.0720561095</x:v>
      </x:c>
      <x:c r="AI368" s="39" t="n">
        <x:v>0.0039837745</x:v>
      </x:c>
      <x:c r="AJ368" s="39" t="n">
        <x:v>0.0481776689</x:v>
      </x:c>
      <x:c r="AK368" s="39" t="n">
        <x:v>0.0537827662</x:v>
      </x:c>
      <x:c r="AL368" s="39" t="n">
        <x:v>-0.1460184797</x:v>
      </x:c>
      <x:c r="AM368" s="39" t="n">
        <x:v>0.0193640691</x:v>
      </x:c>
      <x:c r="AN368" s="39" t="n">
        <x:v>0.0276450758</x:v>
      </x:c>
      <x:c r="AO368" s="39" t="n">
        <x:v>0.0731002381</x:v>
      </x:c>
      <x:c r="AP368" s="39" t="n">
        <x:v>-0.0300267046</x:v>
      </x:c>
      <x:c r="AQ368" s="39" t="n">
        <x:v>-0.0284855576</x:v>
      </x:c>
      <x:c r="AR368" s="39" t="n">
        <x:v>-0.0323951759</x:v>
      </x:c>
      <x:c r="AS368" s="39" t="n">
        <x:v>-0.0437235999</x:v>
      </x:c>
    </x:row>
    <x:row r="369" ht="19" customHeight="1">
      <x:c r="A369" s="30" t="str">
        <x:v>Primary sector</x:v>
      </x:c>
      <x:c r="B369" s="40" t="d">
        <x:v>2023-11-06T00:00:00.000Z</x:v>
      </x:c>
      <x:c r="C369" s="39" t="n">
        <x:v>0.0450618262</x:v>
      </x:c>
      <x:c r="D369" s="39" t="n">
        <x:v>-0.1074369778</x:v>
      </x:c>
      <x:c r="E369" s="39" t="n">
        <x:v>0.0321710721</x:v>
      </x:c>
      <x:c r="F369" s="39" t="n">
        <x:v>0.0086852844</x:v>
      </x:c>
      <x:c r="G369" s="39" t="n">
        <x:v>0.0296675392</x:v>
      </x:c>
      <x:c r="H369" s="39" t="n">
        <x:v>0.1620797628</x:v>
      </x:c>
      <x:c r="I369" s="39" t="n">
        <x:v>0.0799099143</x:v>
      </x:c>
      <x:c r="J369" s="39" t="n">
        <x:v>0.1045074851</x:v>
      </x:c>
      <x:c r="K369" s="39" t="n">
        <x:v>-0.116856456</x:v>
      </x:c>
      <x:c r="L369" s="39" t="n">
        <x:v>0.0485986091</x:v>
      </x:c>
      <x:c r="M369" s="39" t="n">
        <x:v>-0.0642155947</x:v>
      </x:c>
      <x:c r="N369" s="39" t="n">
        <x:v>-0.1095302058</x:v>
      </x:c>
      <x:c r="O369" s="39" t="n">
        <x:v>0.103410607</x:v>
      </x:c>
      <x:c r="P369" s="39" t="n">
        <x:v>-0.1723155904</x:v>
      </x:c>
      <x:c r="Q369" s="39" t="n">
        <x:v>-0.0482650939</x:v>
      </x:c>
      <x:c r="R369" s="39" t="n">
        <x:v>-0.0211751931</x:v>
      </x:c>
      <x:c r="S369" s="39" t="n">
        <x:v>-0.0228352279</x:v>
      </x:c>
      <x:c r="T369" s="39" t="n">
        <x:v>-0.0153823793</x:v>
      </x:c>
      <x:c r="U369" s="39" t="n">
        <x:v>-0.3288185283</x:v>
      </x:c>
      <x:c r="V369" s="39" t="n">
        <x:v>0.0003978162</x:v>
      </x:c>
      <x:c r="W369" s="39" t="n">
        <x:v>0.2093568007</x:v>
      </x:c>
      <x:c r="X369" s="39" t="n">
        <x:v>-0.0533120267</x:v>
      </x:c>
      <x:c r="Y369" s="39" t="n">
        <x:v>-0.0745514509</x:v>
      </x:c>
      <x:c r="Z369" s="39" t="n">
        <x:v>-0.1704553378</x:v>
      </x:c>
      <x:c r="AA369" s="39" t="n">
        <x:v>0.0194354357</x:v>
      </x:c>
      <x:c r="AB369" s="39" t="n">
        <x:v>-0.1932452458</x:v>
      </x:c>
      <x:c r="AC369" s="39" t="n">
        <x:v>-0.2793808106</x:v>
      </x:c>
      <x:c r="AD369" s="39" t="n">
        <x:v>0.0196341759</x:v>
      </x:c>
      <x:c r="AE369" s="39" t="n">
        <x:v>-0.1956433263</x:v>
      </x:c>
      <x:c r="AF369" s="39" t="n">
        <x:v>-0.1133585013</x:v>
      </x:c>
      <x:c r="AG369" s="39" t="n">
        <x:v>0.0437798286</x:v>
      </x:c>
      <x:c r="AH369" s="39" t="n">
        <x:v>0.0143771775</x:v>
      </x:c>
      <x:c r="AI369" s="39" t="n">
        <x:v>-0.0349513765</x:v>
      </x:c>
      <x:c r="AJ369" s="39" t="n">
        <x:v>0.010317142</x:v>
      </x:c>
      <x:c r="AK369" s="39" t="n">
        <x:v>-0.0139933522</x:v>
      </x:c>
      <x:c r="AL369" s="39" t="n">
        <x:v>-0.0778174367</x:v>
      </x:c>
      <x:c r="AM369" s="39" t="n">
        <x:v>0.0854311877</x:v>
      </x:c>
      <x:c r="AN369" s="39" t="n">
        <x:v>-0.0746169898</x:v>
      </x:c>
      <x:c r="AO369" s="39" t="n">
        <x:v>-0.0159079534</x:v>
      </x:c>
      <x:c r="AP369" s="39" t="n">
        <x:v>-0.0151518551</x:v>
      </x:c>
      <x:c r="AQ369" s="39" t="n">
        <x:v>0.031938448</x:v>
      </x:c>
      <x:c r="AR369" s="39" t="n">
        <x:v>-0.0364526623</x:v>
      </x:c>
      <x:c r="AS369" s="39" t="n">
        <x:v>-0.0016879615</x:v>
      </x:c>
    </x:row>
    <x:row r="370" ht="19" customHeight="1">
      <x:c r="A370" s="30" t="str">
        <x:v>Primary sector</x:v>
      </x:c>
      <x:c r="B370" s="40" t="d">
        <x:v>2023-12-04T00:00:00.000Z</x:v>
      </x:c>
      <x:c r="C370" s="39" t="n">
        <x:v>-0.0141111144</x:v>
      </x:c>
      <x:c r="D370" s="39" t="n">
        <x:v>0.1176739218</x:v>
      </x:c>
      <x:c r="E370" s="39" t="n">
        <x:v>-0.047601904</x:v>
      </x:c>
      <x:c r="F370" s="39" t="n">
        <x:v>0.0125006169</x:v>
      </x:c>
      <x:c r="G370" s="39" t="n">
        <x:v>-0.0080725083</x:v>
      </x:c>
      <x:c r="H370" s="39" t="n">
        <x:v>-0.0160229404</x:v>
      </x:c>
      <x:c r="I370" s="39" t="n">
        <x:v>-0.0615685949</x:v>
      </x:c>
      <x:c r="J370" s="39" t="n">
        <x:v>-0.1230631451</x:v>
      </x:c>
      <x:c r="K370" s="39" t="n">
        <x:v>-0.0008856427</x:v>
      </x:c>
      <x:c r="L370" s="39" t="n">
        <x:v>0.0130817402</x:v>
      </x:c>
      <x:c r="M370" s="39" t="n">
        <x:v>-0.0478134376</x:v>
      </x:c>
      <x:c r="N370" s="39" t="n">
        <x:v>-0.0442782727</x:v>
      </x:c>
      <x:c r="O370" s="39" t="n">
        <x:v>-0.0803580234</x:v>
      </x:c>
      <x:c r="P370" s="39" t="n">
        <x:v>-0.0401986983</x:v>
      </x:c>
      <x:c r="Q370" s="39" t="n">
        <x:v>0.1448919434</x:v>
      </x:c>
      <x:c r="R370" s="39" t="n">
        <x:v>0.1978992272</x:v>
      </x:c>
      <x:c r="S370" s="39" t="n">
        <x:v>-0.0469751495</x:v>
      </x:c>
      <x:c r="T370" s="39" t="n">
        <x:v>0.1387040308</x:v>
      </x:c>
      <x:c r="U370" s="39" t="n">
        <x:v>0.0318743496</x:v>
      </x:c>
      <x:c r="V370" s="39" t="n">
        <x:v>-0.0001591862</x:v>
      </x:c>
      <x:c r="W370" s="39" t="n">
        <x:v>-0.0148591775</x:v>
      </x:c>
      <x:c r="X370" s="39" t="n">
        <x:v>-0.0349522987</x:v>
      </x:c>
      <x:c r="Y370" s="39" t="n">
        <x:v>-0.1161878567</x:v>
      </x:c>
      <x:c r="Z370" s="39" t="n">
        <x:v>-0.0041773672</x:v>
      </x:c>
      <x:c r="AA370" s="39" t="n">
        <x:v>-0.0293410036</x:v>
      </x:c>
      <x:c r="AB370" s="39" t="n">
        <x:v>-0.0088951356</x:v>
      </x:c>
      <x:c r="AC370" s="39" t="n">
        <x:v>0.4527461586</x:v>
      </x:c>
      <x:c r="AD370" s="39" t="n">
        <x:v>-0.0832010763</x:v>
      </x:c>
      <x:c r="AE370" s="39" t="n">
        <x:v>-0.012792031</x:v>
      </x:c>
      <x:c r="AF370" s="39" t="n">
        <x:v>-0.0237093858</x:v>
      </x:c>
      <x:c r="AG370" s="39" t="n">
        <x:v>0.1169123554</x:v>
      </x:c>
      <x:c r="AH370" s="39" t="n">
        <x:v>-0.0003830822</x:v>
      </x:c>
      <x:c r="AI370" s="39" t="n">
        <x:v>-0.0101930812</x:v>
      </x:c>
      <x:c r="AJ370" s="39" t="n">
        <x:v>-0.0679414811</x:v>
      </x:c>
      <x:c r="AK370" s="39" t="n">
        <x:v>-0.111315282</x:v>
      </x:c>
      <x:c r="AL370" s="39" t="n">
        <x:v>-0.1071502034</x:v>
      </x:c>
      <x:c r="AM370" s="39" t="n">
        <x:v>-0.0294659259</x:v>
      </x:c>
      <x:c r="AN370" s="39" t="n">
        <x:v>-0.0702959692</x:v>
      </x:c>
      <x:c r="AO370" s="39" t="n">
        <x:v>0.0014709289</x:v>
      </x:c>
      <x:c r="AP370" s="39" t="n">
        <x:v>0.0452836401</x:v>
      </x:c>
      <x:c r="AQ370" s="39" t="n">
        <x:v>-0.0046695912</x:v>
      </x:c>
      <x:c r="AR370" s="39" t="n">
        <x:v>0.0016760475</x:v>
      </x:c>
      <x:c r="AS370" s="39" t="n">
        <x:v>-0.0439067336</x:v>
      </x:c>
    </x:row>
    <x:row r="371" ht="19" customHeight="1">
      <x:c r="A371" s="30" t="str">
        <x:v>Primary sector</x:v>
      </x:c>
      <x:c r="B371" s="40" t="d">
        <x:v>2024-01-01T00:00:00.000Z</x:v>
      </x:c>
      <x:c r="C371" s="39" t="n">
        <x:v>0.0009553226</x:v>
      </x:c>
      <x:c r="D371" s="39" t="n">
        <x:v>-0.0798587484</x:v>
      </x:c>
      <x:c r="E371" s="39" t="n">
        <x:v>0.0149779043</x:v>
      </x:c>
      <x:c r="F371" s="39" t="n">
        <x:v>-0.0141311725</x:v>
      </x:c>
      <x:c r="G371" s="39" t="n">
        <x:v>-0.0490559704</x:v>
      </x:c>
      <x:c r="H371" s="39" t="n">
        <x:v>-0.027310435</x:v>
      </x:c>
      <x:c r="I371" s="39" t="n">
        <x:v>-0.0185672039</x:v>
      </x:c>
      <x:c r="J371" s="39" t="n">
        <x:v>-0.082609169</x:v>
      </x:c>
      <x:c r="K371" s="39" t="n">
        <x:v>0.0160170594</x:v>
      </x:c>
      <x:c r="L371" s="39" t="n">
        <x:v>-0.0060426228</x:v>
      </x:c>
      <x:c r="M371" s="39" t="n">
        <x:v>0.034778843</x:v>
      </x:c>
      <x:c r="N371" s="39" t="n">
        <x:v>-0.0302506903</x:v>
      </x:c>
      <x:c r="O371" s="39" t="n">
        <x:v>0.0733558315</x:v>
      </x:c>
      <x:c r="P371" s="39" t="n">
        <x:v>0.0624151463</x:v>
      </x:c>
      <x:c r="Q371" s="39" t="n">
        <x:v>0.1501424535</x:v>
      </x:c>
      <x:c r="R371" s="39" t="n">
        <x:v>0.1983665924</x:v>
      </x:c>
      <x:c r="S371" s="39" t="n">
        <x:v>-0.0501083318</x:v>
      </x:c>
      <x:c r="T371" s="39" t="n">
        <x:v>-0.0511950693</x:v>
      </x:c>
      <x:c r="U371" s="39" t="n">
        <x:v>0.2649080426</x:v>
      </x:c>
      <x:c r="V371" s="39" t="n">
        <x:v>-0.0080127574</x:v>
      </x:c>
      <x:c r="W371" s="39" t="n">
        <x:v>0.0210134519</x:v>
      </x:c>
      <x:c r="X371" s="39" t="n">
        <x:v>0.0018138646</x:v>
      </x:c>
      <x:c r="Y371" s="39" t="n">
        <x:v>0.1221568525</x:v>
      </x:c>
      <x:c r="Z371" s="39" t="n">
        <x:v>-0.0511075344</x:v>
      </x:c>
      <x:c r="AA371" s="39" t="n">
        <x:v>-0.0212804328</x:v>
      </x:c>
      <x:c r="AB371" s="39" t="n">
        <x:v>-0.1049021155</x:v>
      </x:c>
      <x:c r="AC371" s="39" t="n">
        <x:v>-0.1800007847</x:v>
      </x:c>
      <x:c r="AD371" s="39" t="n">
        <x:v>-0.0279645317</x:v>
      </x:c>
      <x:c r="AE371" s="39" t="n">
        <x:v>0.0312625019</x:v>
      </x:c>
      <x:c r="AF371" s="39" t="n">
        <x:v>0.0781781361</x:v>
      </x:c>
      <x:c r="AG371" s="39" t="n">
        <x:v>-0.02810509</x:v>
      </x:c>
      <x:c r="AH371" s="39" t="n">
        <x:v>-0.0193499941</x:v>
      </x:c>
      <x:c r="AI371" s="39" t="n">
        <x:v>0.113696171</x:v>
      </x:c>
      <x:c r="AJ371" s="39" t="n">
        <x:v>-0.0577896154</x:v>
      </x:c>
      <x:c r="AK371" s="39" t="n">
        <x:v>-0.0687930446</x:v>
      </x:c>
      <x:c r="AL371" s="39" t="n">
        <x:v>0.1127606997</x:v>
      </x:c>
      <x:c r="AM371" s="39" t="n">
        <x:v>-0.0239939806</x:v>
      </x:c>
      <x:c r="AN371" s="39" t="n">
        <x:v>-0.0480619104</x:v>
      </x:c>
      <x:c r="AO371" s="39" t="n">
        <x:v>0.0501103485</x:v>
      </x:c>
      <x:c r="AP371" s="39" t="n">
        <x:v>0.038274267</x:v>
      </x:c>
      <x:c r="AQ371" s="39" t="n">
        <x:v>-0.0321966719</x:v>
      </x:c>
      <x:c r="AR371" s="39" t="n">
        <x:v>-0.0243781301</x:v>
      </x:c>
      <x:c r="AS371" s="39" t="n">
        <x:v>-0.0016346326</x:v>
      </x:c>
    </x:row>
    <x:row r="372" ht="19" customHeight="1">
      <x:c r="A372" s="30" t="str">
        <x:v>Primary sector</x:v>
      </x:c>
      <x:c r="B372" s="40" t="d">
        <x:v>2024-01-29T00:00:00.000Z</x:v>
      </x:c>
      <x:c r="C372" s="39" t="n">
        <x:v>0.1328531357</x:v>
      </x:c>
      <x:c r="D372" s="39" t="n">
        <x:v>0.0728055307</x:v>
      </x:c>
      <x:c r="E372" s="39" t="n">
        <x:v>0.0097775174</x:v>
      </x:c>
      <x:c r="F372" s="39" t="n">
        <x:v>0.0067862945</x:v>
      </x:c>
      <x:c r="G372" s="39" t="n">
        <x:v>0.0162242366</x:v>
      </x:c>
      <x:c r="H372" s="39" t="n">
        <x:v>0.1287739614</x:v>
      </x:c>
      <x:c r="I372" s="39" t="n">
        <x:v>0.1266641694</x:v>
      </x:c>
      <x:c r="J372" s="39" t="n">
        <x:v>0.1131013208</x:v>
      </x:c>
      <x:c r="K372" s="39" t="n">
        <x:v>-0.0473006567</x:v>
      </x:c>
      <x:c r="L372" s="39" t="n">
        <x:v>0.0791455051</x:v>
      </x:c>
      <x:c r="M372" s="39" t="n">
        <x:v>-0.0228068658</x:v>
      </x:c>
      <x:c r="N372" s="39" t="n">
        <x:v>-0.0347638146</x:v>
      </x:c>
      <x:c r="O372" s="39" t="n">
        <x:v>0.0175574765</x:v>
      </x:c>
      <x:c r="P372" s="39" t="n">
        <x:v>0.0399898123</x:v>
      </x:c>
      <x:c r="Q372" s="39" t="n">
        <x:v>0.0667976039</x:v>
      </x:c>
      <x:c r="R372" s="39" t="n">
        <x:v>-0.1162816896</x:v>
      </x:c>
      <x:c r="S372" s="39" t="n">
        <x:v>0.0425227227</x:v>
      </x:c>
      <x:c r="T372" s="39" t="n">
        <x:v>-0.0111690008</x:v>
      </x:c>
      <x:c r="U372" s="39" t="n">
        <x:v>-0.0734181708</x:v>
      </x:c>
      <x:c r="V372" s="39" t="n">
        <x:v>0.0088838351</x:v>
      </x:c>
      <x:c r="W372" s="39" t="n">
        <x:v>0.0670582224</x:v>
      </x:c>
      <x:c r="X372" s="39" t="n">
        <x:v>0.0199524898</x:v>
      </x:c>
      <x:c r="Y372" s="39" t="n">
        <x:v>-0.0747365053</x:v>
      </x:c>
      <x:c r="Z372" s="39" t="n">
        <x:v>-0.0749315877</x:v>
      </x:c>
      <x:c r="AA372" s="39" t="n">
        <x:v>0.0995916846</x:v>
      </x:c>
      <x:c r="AB372" s="39" t="n">
        <x:v>-0.0521957613</x:v>
      </x:c>
      <x:c r="AC372" s="39" t="n">
        <x:v>-0.0990116729</x:v>
      </x:c>
      <x:c r="AD372" s="39" t="n">
        <x:v>0.0748648658</x:v>
      </x:c>
      <x:c r="AE372" s="39" t="n">
        <x:v>0.0323651309</x:v>
      </x:c>
      <x:c r="AF372" s="39" t="n">
        <x:v>-0.2182959665</x:v>
      </x:c>
      <x:c r="AG372" s="39" t="n">
        <x:v>-0.1650829807</x:v>
      </x:c>
      <x:c r="AH372" s="39" t="n">
        <x:v>0.1186172867</x:v>
      </x:c>
      <x:c r="AI372" s="39" t="n">
        <x:v>0.1239718832</x:v>
      </x:c>
      <x:c r="AJ372" s="39" t="n">
        <x:v>0.0450899391</x:v>
      </x:c>
      <x:c r="AK372" s="39" t="n">
        <x:v>0.0427210048</x:v>
      </x:c>
      <x:c r="AL372" s="39" t="n">
        <x:v>-0.0365974978</x:v>
      </x:c>
      <x:c r="AM372" s="39" t="n">
        <x:v>0.0393075975</x:v>
      </x:c>
      <x:c r="AN372" s="39" t="n">
        <x:v>-0.0365849778</x:v>
      </x:c>
      <x:c r="AO372" s="39" t="n">
        <x:v>0.0627240382</x:v>
      </x:c>
      <x:c r="AP372" s="39" t="n">
        <x:v>0.0463188503</x:v>
      </x:c>
      <x:c r="AQ372" s="39" t="n">
        <x:v>0.0154741885</x:v>
      </x:c>
      <x:c r="AR372" s="39" t="n">
        <x:v>-0.0187772942</x:v>
      </x:c>
      <x:c r="AS372" s="39" t="n">
        <x:v>0.0684514636</x:v>
      </x:c>
    </x:row>
    <x:row r="373" ht="19" customHeight="1">
      <x:c r="A373" s="30" t="str">
        <x:v>Primary sector</x:v>
      </x:c>
      <x:c r="B373" s="40" t="d">
        <x:v>2024-02-26T00:00:00.000Z</x:v>
      </x:c>
      <x:c r="C373" s="39" t="n">
        <x:v>0.1683472683</x:v>
      </x:c>
      <x:c r="D373" s="39" t="n">
        <x:v>0.0979630813</x:v>
      </x:c>
      <x:c r="E373" s="39" t="n">
        <x:v>0.1077357837</x:v>
      </x:c>
      <x:c r="F373" s="39" t="n">
        <x:v>0.0002523417</x:v>
      </x:c>
      <x:c r="G373" s="39" t="n">
        <x:v>0.1491718536</x:v>
      </x:c>
      <x:c r="H373" s="39" t="n">
        <x:v>0.0765159114</x:v>
      </x:c>
      <x:c r="I373" s="39" t="n">
        <x:v>-0.0200270323</x:v>
      </x:c>
      <x:c r="J373" s="39" t="n">
        <x:v>0.2512453501</x:v>
      </x:c>
      <x:c r="K373" s="39" t="n">
        <x:v>0.0423942879</x:v>
      </x:c>
      <x:c r="L373" s="39" t="n">
        <x:v>-0.0247403768</x:v>
      </x:c>
      <x:c r="M373" s="39" t="n">
        <x:v>0.0656886758</x:v>
      </x:c>
      <x:c r="N373" s="39" t="n">
        <x:v>0.03098944</x:v>
      </x:c>
      <x:c r="O373" s="39" t="n">
        <x:v>-0.0965054812</x:v>
      </x:c>
      <x:c r="P373" s="39" t="n">
        <x:v>0.0738025383</x:v>
      </x:c>
      <x:c r="Q373" s="39" t="n">
        <x:v>0.0655478781</x:v>
      </x:c>
      <x:c r="R373" s="39" t="n">
        <x:v>0.04223413</x:v>
      </x:c>
      <x:c r="S373" s="39" t="n">
        <x:v>0.064382354</x:v>
      </x:c>
      <x:c r="T373" s="39" t="n">
        <x:v>0.1359235363</x:v>
      </x:c>
      <x:c r="U373" s="39" t="n">
        <x:v>0.0033787003</x:v>
      </x:c>
      <x:c r="V373" s="39" t="n">
        <x:v>0.140621926</x:v>
      </x:c>
      <x:c r="W373" s="39" t="n">
        <x:v>0.0966142648</x:v>
      </x:c>
      <x:c r="X373" s="39" t="n">
        <x:v>-0.0042573614</x:v>
      </x:c>
      <x:c r="Y373" s="39" t="n">
        <x:v>0.0701609601</x:v>
      </x:c>
      <x:c r="Z373" s="39" t="n">
        <x:v>-0.0626695107</x:v>
      </x:c>
      <x:c r="AA373" s="39" t="n">
        <x:v>0.0217306269</x:v>
      </x:c>
      <x:c r="AB373" s="39" t="n">
        <x:v>0.0049140981</x:v>
      </x:c>
      <x:c r="AC373" s="39" t="n">
        <x:v>-0.2929862758</x:v>
      </x:c>
      <x:c r="AD373" s="39" t="n">
        <x:v>0.017686355</x:v>
      </x:c>
      <x:c r="AE373" s="39" t="n">
        <x:v>0.0430508007</x:v>
      </x:c>
      <x:c r="AF373" s="39" t="n">
        <x:v>-0.0377992376</x:v>
      </x:c>
      <x:c r="AG373" s="39" t="n">
        <x:v>-0.0491384886</x:v>
      </x:c>
      <x:c r="AH373" s="39" t="n">
        <x:v>0.1032844594</x:v>
      </x:c>
      <x:c r="AI373" s="39" t="n">
        <x:v>0.1075640144</x:v>
      </x:c>
      <x:c r="AJ373" s="39" t="n">
        <x:v>0.1159802491</x:v>
      </x:c>
      <x:c r="AK373" s="39" t="n">
        <x:v>0.0413457287</x:v>
      </x:c>
      <x:c r="AL373" s="39" t="n">
        <x:v>-0.0224675287</x:v>
      </x:c>
      <x:c r="AM373" s="39" t="n">
        <x:v>-0.0285157252</x:v>
      </x:c>
      <x:c r="AN373" s="39" t="n">
        <x:v>-0.0549985195</x:v>
      </x:c>
      <x:c r="AO373" s="39" t="n">
        <x:v>0.0506654401</x:v>
      </x:c>
      <x:c r="AP373" s="39" t="n">
        <x:v>0.0620648999</x:v>
      </x:c>
      <x:c r="AQ373" s="39" t="n">
        <x:v>-0.0069133682</x:v>
      </x:c>
      <x:c r="AR373" s="39" t="n">
        <x:v>0.0297468843</x:v>
      </x:c>
      <x:c r="AS373" s="39" t="n">
        <x:v>0.033646197</x:v>
      </x:c>
    </x:row>
    <x:row r="374" ht="19" customHeight="1">
      <x:c r="A374" s="30" t="str">
        <x:v>Primary sector</x:v>
      </x:c>
      <x:c r="B374" s="40" t="d">
        <x:v>2024-03-25T00:00:00.000Z</x:v>
      </x:c>
      <x:c r="C374" s="39" t="n">
        <x:v>0.1779186444</x:v>
      </x:c>
      <x:c r="D374" s="39" t="n">
        <x:v>-0.0042966467</x:v>
      </x:c>
      <x:c r="E374" s="39" t="n">
        <x:v>-0.0596939041</x:v>
      </x:c>
      <x:c r="F374" s="39" t="n">
        <x:v>-0.0237336409</x:v>
      </x:c>
      <x:c r="G374" s="39" t="n">
        <x:v>0.0789564303</x:v>
      </x:c>
      <x:c r="H374" s="39" t="n">
        <x:v>0.0859401159</x:v>
      </x:c>
      <x:c r="I374" s="39" t="n">
        <x:v>0.0111601976</x:v>
      </x:c>
      <x:c r="J374" s="39" t="n">
        <x:v>-0.0693613618</x:v>
      </x:c>
      <x:c r="K374" s="39" t="n">
        <x:v>0.0206834553</x:v>
      </x:c>
      <x:c r="L374" s="39" t="n">
        <x:v>0.0647554897</x:v>
      </x:c>
      <x:c r="M374" s="39" t="n">
        <x:v>-0.0262762426</x:v>
      </x:c>
      <x:c r="N374" s="39" t="n">
        <x:v>0.0372935421</x:v>
      </x:c>
      <x:c r="O374" s="39" t="n">
        <x:v>-0.0471672243</x:v>
      </x:c>
      <x:c r="P374" s="39" t="n">
        <x:v>0.1117273724</x:v>
      </x:c>
      <x:c r="Q374" s="39" t="n">
        <x:v>-0.0193503748</x:v>
      </x:c>
      <x:c r="R374" s="39" t="n">
        <x:v>0.0638776613</x:v>
      </x:c>
      <x:c r="S374" s="39" t="n">
        <x:v>-0.0175185192</x:v>
      </x:c>
      <x:c r="T374" s="39" t="n">
        <x:v>-0.072181992</x:v>
      </x:c>
      <x:c r="U374" s="39" t="n">
        <x:v>0.1172753608</x:v>
      </x:c>
      <x:c r="V374" s="39" t="n">
        <x:v>-0.064288891</x:v>
      </x:c>
      <x:c r="W374" s="39" t="n">
        <x:v>-0.0445215399</x:v>
      </x:c>
      <x:c r="X374" s="39" t="n">
        <x:v>0.0087768491</x:v>
      </x:c>
      <x:c r="Y374" s="39" t="n">
        <x:v>0.2755123075</x:v>
      </x:c>
      <x:c r="Z374" s="39" t="n">
        <x:v>0.0858002269</x:v>
      </x:c>
      <x:c r="AA374" s="39" t="n">
        <x:v>0.0718118361</x:v>
      </x:c>
      <x:c r="AB374" s="39" t="n">
        <x:v>0.0241352335</x:v>
      </x:c>
      <x:c r="AC374" s="39" t="n">
        <x:v>-0.0558037983</x:v>
      </x:c>
      <x:c r="AD374" s="39" t="n">
        <x:v>-0.0086254638</x:v>
      </x:c>
      <x:c r="AE374" s="39" t="n">
        <x:v>0.0536180873</x:v>
      </x:c>
      <x:c r="AF374" s="39" t="n">
        <x:v>0.1599274246</x:v>
      </x:c>
      <x:c r="AG374" s="39" t="n">
        <x:v>-0.0615419975</x:v>
      </x:c>
      <x:c r="AH374" s="39" t="n">
        <x:v>-0.0287186464</x:v>
      </x:c>
      <x:c r="AI374" s="39" t="n">
        <x:v>-0.0553895335</x:v>
      </x:c>
      <x:c r="AJ374" s="39" t="n">
        <x:v>-0.0368686604</x:v>
      </x:c>
      <x:c r="AK374" s="39" t="n">
        <x:v>-0.0142350583</x:v>
      </x:c>
      <x:c r="AL374" s="39" t="n">
        <x:v>0.0371852393</x:v>
      </x:c>
      <x:c r="AM374" s="39" t="n">
        <x:v>0.0044133018</x:v>
      </x:c>
      <x:c r="AN374" s="39" t="n">
        <x:v>0.062719813</x:v>
      </x:c>
      <x:c r="AO374" s="39" t="n">
        <x:v>-0.0593950232</x:v>
      </x:c>
      <x:c r="AP374" s="39" t="n">
        <x:v>0.0062185775</x:v>
      </x:c>
      <x:c r="AQ374" s="39" t="n">
        <x:v>0.002017079</x:v>
      </x:c>
      <x:c r="AR374" s="39" t="n">
        <x:v>-0.0400717392</x:v>
      </x:c>
      <x:c r="AS374" s="39" t="n">
        <x:v>0.0053903035</x:v>
      </x:c>
    </x:row>
    <x:row r="375" ht="19" customHeight="1">
      <x:c r="A375" s="30" t="str">
        <x:v>Primary sector</x:v>
      </x:c>
      <x:c r="B375" s="40" t="d">
        <x:v>2024-04-22T00:00:00.000Z</x:v>
      </x:c>
      <x:c r="C375" s="39" t="n">
        <x:v>0.0520546621</x:v>
      </x:c>
      <x:c r="D375" s="39" t="n">
        <x:v>0.0154273085</x:v>
      </x:c>
      <x:c r="E375" s="39" t="n">
        <x:v>-0.0359060934</x:v>
      </x:c>
      <x:c r="F375" s="39" t="n">
        <x:v>-0.0087099508</x:v>
      </x:c>
      <x:c r="G375" s="39" t="n">
        <x:v>-0.0474280322</x:v>
      </x:c>
      <x:c r="H375" s="39" t="n">
        <x:v>0.1284475816</x:v>
      </x:c>
      <x:c r="I375" s="39" t="n">
        <x:v>0.0611490612</x:v>
      </x:c>
      <x:c r="J375" s="39" t="n">
        <x:v>-0.0548943371</x:v>
      </x:c>
      <x:c r="K375" s="39" t="n">
        <x:v>-0.0008591575</x:v>
      </x:c>
      <x:c r="L375" s="39" t="n">
        <x:v>-0.0511374684</x:v>
      </x:c>
      <x:c r="M375" s="39" t="n">
        <x:v>-0.0760092964</x:v>
      </x:c>
      <x:c r="N375" s="39" t="n">
        <x:v>-0.0350763543</x:v>
      </x:c>
      <x:c r="O375" s="39" t="n">
        <x:v>-0.0053085945</x:v>
      </x:c>
      <x:c r="P375" s="39" t="n">
        <x:v>0.0646712532</x:v>
      </x:c>
      <x:c r="Q375" s="39" t="n">
        <x:v>-0.0905978593</x:v>
      </x:c>
      <x:c r="R375" s="39" t="n">
        <x:v>-0.0998704927</x:v>
      </x:c>
      <x:c r="S375" s="39" t="n">
        <x:v>-0.0365683492</x:v>
      </x:c>
      <x:c r="T375" s="39" t="n">
        <x:v>-0.0713674309</x:v>
      </x:c>
      <x:c r="U375" s="39" t="n">
        <x:v>0.0393266206</x:v>
      </x:c>
      <x:c r="V375" s="39" t="n">
        <x:v>0.0101296259</x:v>
      </x:c>
      <x:c r="W375" s="39" t="n">
        <x:v>-0.056708314</x:v>
      </x:c>
      <x:c r="X375" s="39" t="n">
        <x:v>-0.1219426787</x:v>
      </x:c>
      <x:c r="Y375" s="39" t="n">
        <x:v>-0.0165937602</x:v>
      </x:c>
      <x:c r="Z375" s="39" t="n">
        <x:v>0.1715933039</x:v>
      </x:c>
      <x:c r="AA375" s="39" t="n">
        <x:v>0.0117370153</x:v>
      </x:c>
      <x:c r="AB375" s="39" t="n">
        <x:v>0.7169965103</x:v>
      </x:c>
      <x:c r="AC375" s="39" t="n">
        <x:v>-0.0060577009</x:v>
      </x:c>
      <x:c r="AD375" s="39" t="n">
        <x:v>0.0093945184</x:v>
      </x:c>
      <x:c r="AE375" s="39" t="n">
        <x:v>-0.0158999972</x:v>
      </x:c>
      <x:c r="AF375" s="39" t="n">
        <x:v>-0.010016048</x:v>
      </x:c>
      <x:c r="AG375" s="39" t="n">
        <x:v>-0.1326119862</x:v>
      </x:c>
      <x:c r="AH375" s="39" t="n">
        <x:v>-0.081131927</x:v>
      </x:c>
      <x:c r="AI375" s="39" t="n">
        <x:v>-0.0933577589</x:v>
      </x:c>
      <x:c r="AJ375" s="39" t="n">
        <x:v>-0.00661859</x:v>
      </x:c>
      <x:c r="AK375" s="39" t="n">
        <x:v>0.0533858091</x:v>
      </x:c>
      <x:c r="AL375" s="39" t="n">
        <x:v>0.0735050131</x:v>
      </x:c>
      <x:c r="AM375" s="39" t="n">
        <x:v>0.0101993407</x:v>
      </x:c>
      <x:c r="AN375" s="39" t="n">
        <x:v>0.16147175</x:v>
      </x:c>
      <x:c r="AO375" s="39" t="n">
        <x:v>0.0018558738</x:v>
      </x:c>
      <x:c r="AP375" s="39" t="n">
        <x:v>-0.1174981752</x:v>
      </x:c>
      <x:c r="AQ375" s="39" t="n">
        <x:v>-0.0003490239</x:v>
      </x:c>
      <x:c r="AR375" s="39" t="n">
        <x:v>-0.0565856056</x:v>
      </x:c>
      <x:c r="AS375" s="39" t="n">
        <x:v>-0.0461191582</x:v>
      </x:c>
    </x:row>
    <x:row r="376" ht="19" customHeight="1">
      <x:c r="A376" s="30" t="str">
        <x:v>Primary sector</x:v>
      </x:c>
      <x:c r="B376" s="40" t="d">
        <x:v>2024-05-20T00:00:00.000Z</x:v>
      </x:c>
      <x:c r="C376" s="39" t="n">
        <x:v>0.2619971731</x:v>
      </x:c>
      <x:c r="D376" s="39" t="n">
        <x:v>0.0533759121</x:v>
      </x:c>
      <x:c r="E376" s="39" t="n">
        <x:v>-0.0315556359</x:v>
      </x:c>
      <x:c r="F376" s="39" t="n">
        <x:v>-0.048119449</x:v>
      </x:c>
      <x:c r="G376" s="39" t="n">
        <x:v>-0.1614436692</x:v>
      </x:c>
      <x:c r="H376" s="39" t="n">
        <x:v>-0.0258043248</x:v>
      </x:c>
      <x:c r="I376" s="39" t="n">
        <x:v>-0.0047347823</x:v>
      </x:c>
      <x:c r="J376" s="39" t="n">
        <x:v>0.0421493257</x:v>
      </x:c>
      <x:c r="K376" s="39" t="n">
        <x:v>-0.0958222905</x:v>
      </x:c>
      <x:c r="L376" s="39" t="n">
        <x:v>0.0256920505</x:v>
      </x:c>
      <x:c r="M376" s="39" t="n">
        <x:v>-0.0215171652</x:v>
      </x:c>
      <x:c r="N376" s="39" t="n">
        <x:v>0.1041171</x:v>
      </x:c>
      <x:c r="O376" s="39" t="n">
        <x:v>-0.0199535876</x:v>
      </x:c>
      <x:c r="P376" s="39" t="n">
        <x:v>-0.1207340714</x:v>
      </x:c>
      <x:c r="Q376" s="39" t="n">
        <x:v>-0.0804541352</x:v>
      </x:c>
      <x:c r="R376" s="39" t="n">
        <x:v>-0.0285361382</x:v>
      </x:c>
      <x:c r="S376" s="39" t="n">
        <x:v>-0.0015964237</x:v>
      </x:c>
      <x:c r="T376" s="39" t="n">
        <x:v>-0.2655617688</x:v>
      </x:c>
      <x:c r="U376" s="39" t="n">
        <x:v>0.4287787011</x:v>
      </x:c>
      <x:c r="V376" s="39" t="n">
        <x:v>-0.0995330685</x:v>
      </x:c>
      <x:c r="W376" s="39" t="n">
        <x:v>0.1164461014</x:v>
      </x:c>
      <x:c r="X376" s="39" t="n">
        <x:v>-0.0221061937</x:v>
      </x:c>
      <x:c r="Y376" s="39" t="n">
        <x:v>-0.0442935804</x:v>
      </x:c>
      <x:c r="Z376" s="39" t="n">
        <x:v>-0.0838729574</x:v>
      </x:c>
      <x:c r="AA376" s="39" t="n">
        <x:v>-0.0323178559</x:v>
      </x:c>
      <x:c r="AB376" s="39" t="n">
        <x:v>-0.0887719541</x:v>
      </x:c>
      <x:c r="AC376" s="39" t="n">
        <x:v>-0.0507364406</x:v>
      </x:c>
      <x:c r="AD376" s="39" t="n">
        <x:v>-0.0016235975</x:v>
      </x:c>
      <x:c r="AE376" s="39" t="n">
        <x:v>-0.0931725039</x:v>
      </x:c>
      <x:c r="AF376" s="39" t="n">
        <x:v>-0.0155153021</x:v>
      </x:c>
      <x:c r="AG376" s="39" t="n">
        <x:v>-0.0019105651</x:v>
      </x:c>
      <x:c r="AH376" s="39" t="n">
        <x:v>-0.0919673845</x:v>
      </x:c>
      <x:c r="AI376" s="39" t="n">
        <x:v>-0.1182141673</x:v>
      </x:c>
      <x:c r="AJ376" s="39" t="n">
        <x:v>0.0523327611</x:v>
      </x:c>
      <x:c r="AK376" s="39" t="n">
        <x:v>0.0308185296</x:v>
      </x:c>
      <x:c r="AL376" s="39" t="n">
        <x:v>-0.0211959004</x:v>
      </x:c>
      <x:c r="AM376" s="39" t="n">
        <x:v>0.0037223522</x:v>
      </x:c>
      <x:c r="AN376" s="39" t="n">
        <x:v>-0.0550570743</x:v>
      </x:c>
      <x:c r="AO376" s="39" t="n">
        <x:v>0.0720810668</x:v>
      </x:c>
      <x:c r="AP376" s="39" t="n">
        <x:v>-0.043700957</x:v>
      </x:c>
      <x:c r="AQ376" s="39" t="n">
        <x:v>-0.0268372759</x:v>
      </x:c>
      <x:c r="AR376" s="39" t="n">
        <x:v>-0.0164594201</x:v>
      </x:c>
      <x:c r="AS376" s="39" t="n">
        <x:v>-0.0045913734</x:v>
      </x:c>
    </x:row>
    <x:row r="377" ht="19" customHeight="1">
      <x:c r="A377" s="30" t="str">
        <x:v>Primary sector</x:v>
      </x:c>
      <x:c r="B377" s="40" t="d">
        <x:v>2024-06-17T00:00:00.000Z</x:v>
      </x:c>
      <x:c r="C377" s="39" t="n">
        <x:v>-0.189910173</x:v>
      </x:c>
      <x:c r="D377" s="39" t="n">
        <x:v>-0.037588293</x:v>
      </x:c>
      <x:c r="E377" s="39" t="n">
        <x:v>0.0087090507</x:v>
      </x:c>
      <x:c r="F377" s="39" t="n">
        <x:v>-0.0100883843</x:v>
      </x:c>
      <x:c r="G377" s="39" t="n">
        <x:v>-0.0207955188</x:v>
      </x:c>
      <x:c r="H377" s="39" t="n">
        <x:v>-0.0057506946</x:v>
      </x:c>
      <x:c r="I377" s="39" t="n">
        <x:v>-0.0060949019</x:v>
      </x:c>
      <x:c r="J377" s="39" t="n">
        <x:v>-0.1415392588</x:v>
      </x:c>
      <x:c r="K377" s="39" t="n">
        <x:v>-0.0099108365</x:v>
      </x:c>
      <x:c r="L377" s="39" t="n">
        <x:v>-0.067176454</x:v>
      </x:c>
      <x:c r="M377" s="39" t="n">
        <x:v>-0.0453247885</x:v>
      </x:c>
      <x:c r="N377" s="39" t="n">
        <x:v>-0.1212708963</x:v>
      </x:c>
      <x:c r="O377" s="39" t="n">
        <x:v>0.0319517002</x:v>
      </x:c>
      <x:c r="P377" s="39" t="n">
        <x:v>-0.1207052073</x:v>
      </x:c>
      <x:c r="Q377" s="39" t="n">
        <x:v>-0.0279872738</x:v>
      </x:c>
      <x:c r="R377" s="39" t="n">
        <x:v>-0.1711357375</x:v>
      </x:c>
      <x:c r="S377" s="39" t="n">
        <x:v>-0.1245257636</x:v>
      </x:c>
      <x:c r="T377" s="39" t="n">
        <x:v>-0.0083996782</x:v>
      </x:c>
      <x:c r="U377" s="39" t="n">
        <x:v>-0.2604496475</x:v>
      </x:c>
      <x:c r="V377" s="39" t="n">
        <x:v>0.0456470137</x:v>
      </x:c>
      <x:c r="W377" s="39" t="n">
        <x:v>0.0399023044</x:v>
      </x:c>
      <x:c r="X377" s="39" t="n">
        <x:v>-0.003660575</x:v>
      </x:c>
      <x:c r="Y377" s="39" t="n">
        <x:v>-0.0534661399</x:v>
      </x:c>
      <x:c r="Z377" s="39" t="n">
        <x:v>0.0044059164</x:v>
      </x:c>
      <x:c r="AA377" s="39" t="n">
        <x:v>0.0320206841</x:v>
      </x:c>
      <x:c r="AB377" s="39" t="n">
        <x:v>0.0007015412</x:v>
      </x:c>
      <x:c r="AC377" s="39" t="n">
        <x:v>-0.0662659323</x:v>
      </x:c>
      <x:c r="AD377" s="39" t="n">
        <x:v>0.0123127262</x:v>
      </x:c>
      <x:c r="AE377" s="39" t="n">
        <x:v>-0.0770138709</x:v>
      </x:c>
      <x:c r="AF377" s="39" t="n">
        <x:v>0.0704067929</x:v>
      </x:c>
      <x:c r="AG377" s="39" t="n">
        <x:v>0.0004311746</x:v>
      </x:c>
      <x:c r="AH377" s="39" t="n">
        <x:v>-0.0001049691</x:v>
      </x:c>
      <x:c r="AI377" s="39" t="n">
        <x:v>-0.1720802865</x:v>
      </x:c>
      <x:c r="AJ377" s="39" t="n">
        <x:v>0.0659878645</x:v>
      </x:c>
      <x:c r="AK377" s="39" t="n">
        <x:v>-0.0298332254</x:v>
      </x:c>
      <x:c r="AL377" s="39" t="n">
        <x:v>-0.1083726153</x:v>
      </x:c>
      <x:c r="AM377" s="39" t="n">
        <x:v>0.0024613847</x:v>
      </x:c>
      <x:c r="AN377" s="39" t="n">
        <x:v>-0.0187807467</x:v>
      </x:c>
      <x:c r="AO377" s="39" t="n">
        <x:v>0.0280885489</x:v>
      </x:c>
      <x:c r="AP377" s="39" t="n">
        <x:v>0.0770265419</x:v>
      </x:c>
      <x:c r="AQ377" s="39" t="n">
        <x:v>0.0107223618</x:v>
      </x:c>
      <x:c r="AR377" s="39" t="n">
        <x:v>-0.000741113</x:v>
      </x:c>
      <x:c r="AS377" s="39" t="n">
        <x:v>0.0054191629</x:v>
      </x:c>
    </x:row>
    <x:row r="378" ht="19" customHeight="1">
      <x:c r="A378" s="30" t="str">
        <x:v>Primary sector</x:v>
      </x:c>
      <x:c r="B378" s="40" t="d">
        <x:v>2024-07-15T00:00:00.000Z</x:v>
      </x:c>
      <x:c r="C378" s="39" t="n">
        <x:v>-0.1791150408</x:v>
      </x:c>
      <x:c r="D378" s="39" t="n">
        <x:v>0.0804336666</x:v>
      </x:c>
      <x:c r="E378" s="39" t="n">
        <x:v>0.0511831267</x:v>
      </x:c>
      <x:c r="F378" s="39" t="n">
        <x:v>0.0213239516</x:v>
      </x:c>
      <x:c r="G378" s="39" t="n">
        <x:v>-0.0665106816</x:v>
      </x:c>
      <x:c r="H378" s="39" t="n">
        <x:v>-0.2227218581</x:v>
      </x:c>
      <x:c r="I378" s="39" t="n">
        <x:v>-0.0723424716</x:v>
      </x:c>
      <x:c r="J378" s="39" t="n">
        <x:v>-0.1019880014</x:v>
      </x:c>
      <x:c r="K378" s="39" t="n">
        <x:v>0.0461713672</x:v>
      </x:c>
      <x:c r="L378" s="39" t="n">
        <x:v>-0.0715405996</x:v>
      </x:c>
      <x:c r="M378" s="39" t="n">
        <x:v>-0.0437922594</x:v>
      </x:c>
      <x:c r="N378" s="39" t="n">
        <x:v>-0.0323674153</x:v>
      </x:c>
      <x:c r="O378" s="39" t="n">
        <x:v>0.0358487654</x:v>
      </x:c>
      <x:c r="P378" s="39" t="n">
        <x:v>-0.0120352982</x:v>
      </x:c>
      <x:c r="Q378" s="39" t="n">
        <x:v>0.0367381862</x:v>
      </x:c>
      <x:c r="R378" s="39" t="n">
        <x:v>0.0653017909</x:v>
      </x:c>
      <x:c r="S378" s="39" t="n">
        <x:v>0.0277610634</x:v>
      </x:c>
      <x:c r="T378" s="39" t="n">
        <x:v>-0.0063109249</x:v>
      </x:c>
      <x:c r="U378" s="39" t="n">
        <x:v>-0.115893519</x:v>
      </x:c>
      <x:c r="V378" s="39" t="n">
        <x:v>0.0309645434</x:v>
      </x:c>
      <x:c r="W378" s="39" t="n">
        <x:v>-0.0921127957</x:v>
      </x:c>
      <x:c r="X378" s="39" t="n">
        <x:v>0.0583234197</x:v>
      </x:c>
      <x:c r="Y378" s="39" t="n">
        <x:v>-0.1482075048</x:v>
      </x:c>
      <x:c r="Z378" s="39" t="n">
        <x:v>0.093356484</x:v>
      </x:c>
      <x:c r="AA378" s="39" t="n">
        <x:v>0.023381866</x:v>
      </x:c>
      <x:c r="AB378" s="39" t="n">
        <x:v>-0.0942006076</x:v>
      </x:c>
      <x:c r="AC378" s="39" t="n">
        <x:v>0.2328782741</x:v>
      </x:c>
      <x:c r="AD378" s="39" t="n">
        <x:v>-0.0080969241</x:v>
      </x:c>
      <x:c r="AE378" s="39" t="n">
        <x:v>0.1600329064</x:v>
      </x:c>
      <x:c r="AF378" s="39" t="n">
        <x:v>0.0115929365</x:v>
      </x:c>
      <x:c r="AG378" s="39" t="n">
        <x:v>0.0096441913</x:v>
      </x:c>
      <x:c r="AH378" s="39" t="n">
        <x:v>0.0400290093</x:v>
      </x:c>
      <x:c r="AI378" s="39" t="n">
        <x:v>0.0403778286</x:v>
      </x:c>
      <x:c r="AJ378" s="39" t="n">
        <x:v>-0.0667280857</x:v>
      </x:c>
      <x:c r="AK378" s="39" t="n">
        <x:v>-0.0294522378</x:v>
      </x:c>
      <x:c r="AL378" s="39" t="n">
        <x:v>0.0439143347</x:v>
      </x:c>
      <x:c r="AM378" s="39" t="n">
        <x:v>-0.0196186149</x:v>
      </x:c>
      <x:c r="AN378" s="39" t="n">
        <x:v>-0.0310084928</x:v>
      </x:c>
      <x:c r="AO378" s="39" t="n">
        <x:v>-0.0331021638</x:v>
      </x:c>
      <x:c r="AP378" s="39" t="n">
        <x:v>0.0004771935</x:v>
      </x:c>
      <x:c r="AQ378" s="39" t="n">
        <x:v>0.02272154</x:v>
      </x:c>
      <x:c r="AR378" s="39" t="n">
        <x:v>0.0238916164</x:v>
      </x:c>
      <x:c r="AS378" s="39" t="n">
        <x:v>0.0378474839</x:v>
      </x:c>
    </x:row>
    <x:row r="379" ht="19" customHeight="1">
      <x:c r="A379" s="30" t="str">
        <x:v>Primary sector</x:v>
      </x:c>
      <x:c r="B379" s="40" t="d">
        <x:v>2024-08-12T00:00:00.000Z</x:v>
      </x:c>
      <x:c r="C379" s="39" t="n">
        <x:v>-0.0305294255</x:v>
      </x:c>
      <x:c r="D379" s="39" t="n">
        <x:v>0.0416861759</x:v>
      </x:c>
      <x:c r="E379" s="39" t="n">
        <x:v>-0.0101381677</x:v>
      </x:c>
      <x:c r="F379" s="39" t="n">
        <x:v>0.0106261851</x:v>
      </x:c>
      <x:c r="G379" s="39" t="n">
        <x:v>-0.0777522107</x:v>
      </x:c>
      <x:c r="H379" s="39" t="n">
        <x:v>-0.0009940567</x:v>
      </x:c>
      <x:c r="I379" s="39" t="n">
        <x:v>-0.0093402872</x:v>
      </x:c>
      <x:c r="J379" s="39" t="n">
        <x:v>0.0473388619</x:v>
      </x:c>
      <x:c r="K379" s="39" t="n">
        <x:v>-0.1112014045</x:v>
      </x:c>
      <x:c r="L379" s="39" t="n">
        <x:v>0.0396886576</x:v>
      </x:c>
      <x:c r="M379" s="39" t="n">
        <x:v>0.1283736096</x:v>
      </x:c>
      <x:c r="N379" s="39" t="n">
        <x:v>-0.0868662492</x:v>
      </x:c>
      <x:c r="O379" s="39" t="n">
        <x:v>0.0203135509</x:v>
      </x:c>
      <x:c r="P379" s="39" t="n">
        <x:v>-0.104547218</x:v>
      </x:c>
      <x:c r="Q379" s="39" t="n">
        <x:v>-0.001377415</x:v>
      </x:c>
      <x:c r="R379" s="39" t="n">
        <x:v>0.1647972426</x:v>
      </x:c>
      <x:c r="S379" s="39" t="n">
        <x:v>0.0412947859</x:v>
      </x:c>
      <x:c r="T379" s="39" t="n">
        <x:v>0.0279482719</x:v>
      </x:c>
      <x:c r="U379" s="39" t="n">
        <x:v>-0.3882307879</x:v>
      </x:c>
      <x:c r="V379" s="39" t="n">
        <x:v>0.1894846812</x:v>
      </x:c>
      <x:c r="W379" s="39" t="n">
        <x:v>0.0586768022</x:v>
      </x:c>
      <x:c r="X379" s="39" t="n">
        <x:v>-0.0117097331</x:v>
      </x:c>
      <x:c r="Y379" s="39" t="n">
        <x:v>-0.0720524571</x:v>
      </x:c>
      <x:c r="Z379" s="39" t="n">
        <x:v>0.0712967334</x:v>
      </x:c>
      <x:c r="AA379" s="39" t="n">
        <x:v>0.0644993126</x:v>
      </x:c>
      <x:c r="AB379" s="39" t="n">
        <x:v>-0.1314184606</x:v>
      </x:c>
      <x:c r="AC379" s="39" t="n">
        <x:v>0.3091501058</x:v>
      </x:c>
      <x:c r="AD379" s="39" t="n">
        <x:v>-0.0281461597</x:v>
      </x:c>
      <x:c r="AE379" s="39" t="n">
        <x:v>-0.2974770461</x:v>
      </x:c>
      <x:c r="AF379" s="39" t="n">
        <x:v>-0.1181637376</x:v>
      </x:c>
      <x:c r="AG379" s="39" t="n">
        <x:v>0.003121616</x:v>
      </x:c>
      <x:c r="AH379" s="39" t="n">
        <x:v>0.0198107518</x:v>
      </x:c>
      <x:c r="AI379" s="39" t="n">
        <x:v>-0.0105630931</x:v>
      </x:c>
      <x:c r="AJ379" s="39" t="n">
        <x:v>0.0177565178</x:v>
      </x:c>
      <x:c r="AK379" s="39" t="n">
        <x:v>0.0460680109</x:v>
      </x:c>
      <x:c r="AL379" s="39" t="n">
        <x:v>0.1244686515</x:v>
      </x:c>
      <x:c r="AM379" s="39" t="n">
        <x:v>-0.0517138429</x:v>
      </x:c>
      <x:c r="AN379" s="39" t="n">
        <x:v>-0.1196961333</x:v>
      </x:c>
      <x:c r="AO379" s="39" t="n">
        <x:v>0.0176898043</x:v>
      </x:c>
      <x:c r="AP379" s="39" t="n">
        <x:v>0.0188197343</x:v>
      </x:c>
      <x:c r="AQ379" s="39" t="n">
        <x:v>0.0321637662</x:v>
      </x:c>
      <x:c r="AR379" s="39" t="n">
        <x:v>-0.0075176221</x:v>
      </x:c>
      <x:c r="AS379" s="39" t="n">
        <x:v>0.0110070534</x:v>
      </x:c>
    </x:row>
    <x:row r="380" ht="19" customHeight="1">
      <x:c r="A380" s="30" t="str">
        <x:v>Primary sector</x:v>
      </x:c>
      <x:c r="B380" s="40" t="d">
        <x:v>2024-09-09T00:00:00.000Z</x:v>
      </x:c>
      <x:c r="C380" s="39" t="n">
        <x:v>0.0154647046</x:v>
      </x:c>
      <x:c r="D380" s="39" t="n">
        <x:v>-0.0161281834</x:v>
      </x:c>
      <x:c r="E380" s="39" t="n">
        <x:v>0.0172687127</x:v>
      </x:c>
      <x:c r="F380" s="39" t="n">
        <x:v>0.0240194888</x:v>
      </x:c>
      <x:c r="G380" s="39" t="n">
        <x:v>0.0103840351</x:v>
      </x:c>
      <x:c r="H380" s="39" t="n">
        <x:v>0.045044387</x:v>
      </x:c>
      <x:c r="I380" s="39" t="n">
        <x:v>-0.0032639605</x:v>
      </x:c>
      <x:c r="J380" s="39" t="n">
        <x:v>-0.0160900188</x:v>
      </x:c>
      <x:c r="K380" s="39" t="n">
        <x:v>-0.0458705281</x:v>
      </x:c>
      <x:c r="L380" s="39" t="n">
        <x:v>-0.0592392017</x:v>
      </x:c>
      <x:c r="M380" s="39" t="n">
        <x:v>-0.0508182516</x:v>
      </x:c>
      <x:c r="N380" s="39" t="n">
        <x:v>-0.0505761491</x:v>
      </x:c>
      <x:c r="O380" s="39" t="n">
        <x:v>-0.029518979</x:v>
      </x:c>
      <x:c r="P380" s="39" t="n">
        <x:v>0.0266230042</x:v>
      </x:c>
      <x:c r="Q380" s="39" t="n">
        <x:v>-0.1975698891</x:v>
      </x:c>
      <x:c r="R380" s="39" t="n">
        <x:v>0.122255434</x:v>
      </x:c>
      <x:c r="S380" s="39" t="n">
        <x:v>0.0445246703</x:v>
      </x:c>
      <x:c r="T380" s="39" t="n">
        <x:v>-0.0845251275</x:v>
      </x:c>
      <x:c r="U380" s="39" t="n">
        <x:v>-0.3005378621</x:v>
      </x:c>
      <x:c r="V380" s="39" t="n">
        <x:v>-0.0305246553</x:v>
      </x:c>
      <x:c r="W380" s="39" t="n">
        <x:v>0.0339866786</x:v>
      </x:c>
      <x:c r="X380" s="39" t="n">
        <x:v>-0.0009167138</x:v>
      </x:c>
      <x:c r="Y380" s="39" t="n">
        <x:v>-0.1908490448</x:v>
      </x:c>
      <x:c r="Z380" s="39" t="n">
        <x:v>0.0416068727</x:v>
      </x:c>
      <x:c r="AA380" s="39" t="n">
        <x:v>0.0776197061</x:v>
      </x:c>
      <x:c r="AB380" s="39" t="n">
        <x:v>0.2928947642</x:v>
      </x:c>
      <x:c r="AC380" s="39" t="n">
        <x:v>0.0278243068</x:v>
      </x:c>
      <x:c r="AD380" s="39" t="n">
        <x:v>-0.005354655</x:v>
      </x:c>
      <x:c r="AE380" s="39" t="n">
        <x:v>-0.0281115608</x:v>
      </x:c>
      <x:c r="AF380" s="39" t="n">
        <x:v>-0.0983117026</x:v>
      </x:c>
      <x:c r="AG380" s="39" t="n">
        <x:v>-0.1838180819</x:v>
      </x:c>
      <x:c r="AH380" s="39" t="n">
        <x:v>-0.065742883</x:v>
      </x:c>
      <x:c r="AI380" s="39" t="n">
        <x:v>0.0587015632</x:v>
      </x:c>
      <x:c r="AJ380" s="39" t="n">
        <x:v>-0.0458045381</x:v>
      </x:c>
      <x:c r="AK380" s="39" t="n">
        <x:v>0.0273305734</x:v>
      </x:c>
      <x:c r="AL380" s="39" t="n">
        <x:v>0.0650769863</x:v>
      </x:c>
      <x:c r="AM380" s="39" t="n">
        <x:v>0.028588819</x:v>
      </x:c>
      <x:c r="AN380" s="39" t="n">
        <x:v>-0.0658082076</x:v>
      </x:c>
      <x:c r="AO380" s="39" t="n">
        <x:v>0.0153916956</x:v>
      </x:c>
      <x:c r="AP380" s="39" t="n">
        <x:v>0.0219161784</x:v>
      </x:c>
      <x:c r="AQ380" s="39" t="n">
        <x:v>-0.0082402693</x:v>
      </x:c>
      <x:c r="AR380" s="39" t="n">
        <x:v>0.0218244847</x:v>
      </x:c>
      <x:c r="AS380" s="39" t="n">
        <x:v>-0.0089473681</x:v>
      </x:c>
    </x:row>
    <x:row r="381" ht="19" customHeight="1">
      <x:c r="A381" s="30" t="str">
        <x:v>Primary sector</x:v>
      </x:c>
      <x:c r="B381" s="40" t="d">
        <x:v>2024-10-07T00:00:00.000Z</x:v>
      </x:c>
      <x:c r="C381" s="39" t="n">
        <x:v>0.3967137226</x:v>
      </x:c>
      <x:c r="D381" s="39" t="n">
        <x:v>-0.0687166017</x:v>
      </x:c>
      <x:c r="E381" s="39" t="n">
        <x:v>-0.0871246561</x:v>
      </x:c>
      <x:c r="F381" s="39" t="n">
        <x:v>0.008114467</x:v>
      </x:c>
      <x:c r="G381" s="39" t="n">
        <x:v>0.0026471152</x:v>
      </x:c>
      <x:c r="H381" s="39" t="n">
        <x:v>0.0322875019</x:v>
      </x:c>
      <x:c r="I381" s="39" t="n">
        <x:v>-0.0261152142</x:v>
      </x:c>
      <x:c r="J381" s="39" t="n">
        <x:v>0.0915222713</x:v>
      </x:c>
      <x:c r="K381" s="39" t="n">
        <x:v>0.0164946361</x:v>
      </x:c>
      <x:c r="L381" s="39" t="n">
        <x:v>-0.0689804959</x:v>
      </x:c>
      <x:c r="M381" s="39" t="n">
        <x:v>0.1112110838</x:v>
      </x:c>
      <x:c r="N381" s="39" t="n">
        <x:v>0.0650800887</x:v>
      </x:c>
      <x:c r="O381" s="39" t="n">
        <x:v>-0.0283884359</x:v>
      </x:c>
      <x:c r="P381" s="39" t="n">
        <x:v>-0.1040530792</x:v>
      </x:c>
      <x:c r="Q381" s="39" t="n">
        <x:v>0.0950659371</x:v>
      </x:c>
      <x:c r="R381" s="39" t="n">
        <x:v>0.0394944655</x:v>
      </x:c>
      <x:c r="S381" s="39" t="n">
        <x:v>0.0173984623</x:v>
      </x:c>
      <x:c r="T381" s="39" t="n">
        <x:v>0.1370026002</x:v>
      </x:c>
      <x:c r="U381" s="39" t="n">
        <x:v>-0.1858522364</x:v>
      </x:c>
      <x:c r="V381" s="39" t="n">
        <x:v>0.0604714286</x:v>
      </x:c>
      <x:c r="W381" s="39" t="n">
        <x:v>-0.0106910019</x:v>
      </x:c>
      <x:c r="X381" s="39" t="n">
        <x:v>0.0326973194</x:v>
      </x:c>
      <x:c r="Y381" s="39" t="n">
        <x:v>0.0848954156</x:v>
      </x:c>
      <x:c r="Z381" s="39" t="n">
        <x:v>-0.034040697</x:v>
      </x:c>
      <x:c r="AA381" s="39" t="n">
        <x:v>-0.0365485996</x:v>
      </x:c>
      <x:c r="AB381" s="39" t="n">
        <x:v>-0.007744049</x:v>
      </x:c>
      <x:c r="AC381" s="39" t="n">
        <x:v>0.1457463055</x:v>
      </x:c>
      <x:c r="AD381" s="39" t="n">
        <x:v>0.0041859213</x:v>
      </x:c>
      <x:c r="AE381" s="39" t="n">
        <x:v>-0.0417771343</x:v>
      </x:c>
      <x:c r="AF381" s="39" t="n">
        <x:v>0.1653422046</x:v>
      </x:c>
      <x:c r="AG381" s="39" t="n">
        <x:v>-0.0938698222</x:v>
      </x:c>
      <x:c r="AH381" s="39" t="n">
        <x:v>-0.0520063464</x:v>
      </x:c>
      <x:c r="AI381" s="39" t="n">
        <x:v>0.0134668923</x:v>
      </x:c>
      <x:c r="AJ381" s="39" t="n">
        <x:v>0.0196961027</x:v>
      </x:c>
      <x:c r="AK381" s="39" t="n">
        <x:v>-0.0233039274</x:v>
      </x:c>
      <x:c r="AL381" s="39" t="n">
        <x:v>0.0075993428</x:v>
      </x:c>
      <x:c r="AM381" s="39" t="n">
        <x:v>-0.0871321214</x:v>
      </x:c>
      <x:c r="AN381" s="39" t="n">
        <x:v>-0.0284292045</x:v>
      </x:c>
      <x:c r="AO381" s="39" t="n">
        <x:v>-0.0412062141</x:v>
      </x:c>
      <x:c r="AP381" s="39" t="n">
        <x:v>0.0731791247</x:v>
      </x:c>
      <x:c r="AQ381" s="39" t="n">
        <x:v>-0.0120728513</x:v>
      </x:c>
      <x:c r="AR381" s="39" t="n">
        <x:v>-0.0106777372</x:v>
      </x:c>
      <x:c r="AS381" s="39" t="n">
        <x:v>0.0012182994</x:v>
      </x:c>
    </x:row>
    <x:row r="382" ht="19" customHeight="1">
      <x:c r="A382" s="30" t="str">
        <x:v>Primary sector</x:v>
      </x:c>
      <x:c r="B382" s="40" t="d">
        <x:v>2024-11-04T00:00:00.000Z</x:v>
      </x:c>
      <x:c r="C382" s="39" t="n">
        <x:v>0.1093563228</x:v>
      </x:c>
      <x:c r="D382" s="39" t="n">
        <x:v>-0.0697439329</x:v>
      </x:c>
      <x:c r="E382" s="39" t="n">
        <x:v>0.0228863384</x:v>
      </x:c>
      <x:c r="F382" s="39" t="n">
        <x:v>0.1513617427</x:v>
      </x:c>
      <x:c r="G382" s="39" t="n">
        <x:v>0.0446663781</x:v>
      </x:c>
      <x:c r="H382" s="39" t="n">
        <x:v>-0.0190340443</x:v>
      </x:c>
      <x:c r="I382" s="39" t="n">
        <x:v>-0.0075370658</x:v>
      </x:c>
      <x:c r="J382" s="39" t="n">
        <x:v>0.0980771552</x:v>
      </x:c>
      <x:c r="K382" s="39" t="n">
        <x:v>-0.0277093227</x:v>
      </x:c>
      <x:c r="L382" s="39" t="n">
        <x:v>-0.0748371953</x:v>
      </x:c>
      <x:c r="M382" s="39" t="n">
        <x:v>-0.0363660387</x:v>
      </x:c>
      <x:c r="N382" s="39" t="n">
        <x:v>0.065157258</x:v>
      </x:c>
      <x:c r="O382" s="39" t="n">
        <x:v>0.0737702199</x:v>
      </x:c>
      <x:c r="P382" s="39" t="n">
        <x:v>0.1133771312</x:v>
      </x:c>
      <x:c r="Q382" s="39" t="n">
        <x:v>-0.0272980559</x:v>
      </x:c>
      <x:c r="R382" s="39" t="n">
        <x:v>-0.1673735418</x:v>
      </x:c>
      <x:c r="S382" s="39" t="n">
        <x:v>0.0420856413</x:v>
      </x:c>
      <x:c r="T382" s="39" t="n">
        <x:v>-0.0901560479</x:v>
      </x:c>
      <x:c r="U382" s="39" t="n">
        <x:v>-0.1492450704</x:v>
      </x:c>
      <x:c r="V382" s="39" t="n">
        <x:v>0.3511355887</x:v>
      </x:c>
      <x:c r="W382" s="39" t="n">
        <x:v>0.0353373037</x:v>
      </x:c>
      <x:c r="X382" s="39" t="n">
        <x:v>0.0768554134</x:v>
      </x:c>
      <x:c r="Y382" s="39" t="n">
        <x:v>0.0885318508</x:v>
      </x:c>
      <x:c r="Z382" s="39" t="n">
        <x:v>-0.1071705938</x:v>
      </x:c>
      <x:c r="AA382" s="39" t="n">
        <x:v>-0.0025996829</x:v>
      </x:c>
      <x:c r="AB382" s="39" t="n">
        <x:v>-0.0428846767</x:v>
      </x:c>
      <x:c r="AC382" s="39" t="n">
        <x:v>0.5286848908</x:v>
      </x:c>
      <x:c r="AD382" s="39" t="n">
        <x:v>0.0267542599</x:v>
      </x:c>
      <x:c r="AE382" s="39" t="n">
        <x:v>0.039556987</x:v>
      </x:c>
      <x:c r="AF382" s="39" t="n">
        <x:v>0.0421560418</x:v>
      </x:c>
      <x:c r="AG382" s="39" t="n">
        <x:v>0.0494201749</x:v>
      </x:c>
      <x:c r="AH382" s="39" t="n">
        <x:v>-0.2387784781</x:v>
      </x:c>
      <x:c r="AI382" s="39" t="n">
        <x:v>-0.120806894</x:v>
      </x:c>
      <x:c r="AJ382" s="39" t="n">
        <x:v>-0.1055305793</x:v>
      </x:c>
      <x:c r="AK382" s="39" t="n">
        <x:v>0.1376108725</x:v>
      </x:c>
      <x:c r="AL382" s="39" t="n">
        <x:v>0.0605690495</x:v>
      </x:c>
      <x:c r="AM382" s="39" t="n">
        <x:v>-0.0186295118</x:v>
      </x:c>
      <x:c r="AN382" s="39" t="n">
        <x:v>0.0619852677</x:v>
      </x:c>
      <x:c r="AO382" s="39" t="n">
        <x:v>0.0909175726</x:v>
      </x:c>
      <x:c r="AP382" s="39" t="n">
        <x:v>-0.0580681952</x:v>
      </x:c>
      <x:c r="AQ382" s="39" t="n">
        <x:v>-0.0588294641</x:v>
      </x:c>
      <x:c r="AR382" s="39" t="n">
        <x:v>0.0115948245</x:v>
      </x:c>
      <x:c r="AS382" s="39" t="n">
        <x:v>-0.006360702</x:v>
      </x:c>
    </x:row>
    <x:row r="383" ht="19" customHeight="1">
      <x:c r="A383" s="30" t="str">
        <x:v>Primary sector</x:v>
      </x:c>
      <x:c r="B383" s="40" t="d">
        <x:v>2024-12-02T00:00:00.000Z</x:v>
      </x:c>
      <x:c r="C383" s="39" t="n">
        <x:v>0.1132529758</x:v>
      </x:c>
      <x:c r="D383" s="39" t="n">
        <x:v>0.1946769754</x:v>
      </x:c>
      <x:c r="E383" s="39" t="n">
        <x:v>0.0171061928</x:v>
      </x:c>
      <x:c r="F383" s="39" t="n">
        <x:v>0.0158924618</x:v>
      </x:c>
      <x:c r="G383" s="39" t="n">
        <x:v>0.207539085</x:v>
      </x:c>
      <x:c r="H383" s="39" t="n">
        <x:v>0.1188527252</x:v>
      </x:c>
      <x:c r="I383" s="39" t="n">
        <x:v>0.0005498737</x:v>
      </x:c>
      <x:c r="J383" s="39" t="n">
        <x:v>0.109891469</x:v>
      </x:c>
      <x:c r="K383" s="39" t="n">
        <x:v>-0.0533665445</x:v>
      </x:c>
      <x:c r="L383" s="39" t="n">
        <x:v>-0.0039376125</x:v>
      </x:c>
      <x:c r="M383" s="39" t="n">
        <x:v>0.0854184767</x:v>
      </x:c>
      <x:c r="N383" s="39" t="n">
        <x:v>0.0501696478</x:v>
      </x:c>
      <x:c r="O383" s="39" t="n">
        <x:v>0.1017331567</x:v>
      </x:c>
      <x:c r="P383" s="39" t="n">
        <x:v>0.0591414787</x:v>
      </x:c>
      <x:c r="Q383" s="39" t="n">
        <x:v>0.1019512264</x:v>
      </x:c>
      <x:c r="R383" s="39" t="n">
        <x:v>0.0396968749</x:v>
      </x:c>
      <x:c r="S383" s="39" t="n">
        <x:v>0.0904545213</x:v>
      </x:c>
      <x:c r="T383" s="39" t="n">
        <x:v>0.2217679219</x:v>
      </x:c>
      <x:c r="U383" s="39" t="n">
        <x:v>0.0691204665</x:v>
      </x:c>
      <x:c r="V383" s="39" t="n">
        <x:v>0.1783039563</x:v>
      </x:c>
      <x:c r="W383" s="39" t="n">
        <x:v>0.1355044851</x:v>
      </x:c>
      <x:c r="X383" s="39" t="n">
        <x:v>-0.0115741205</x:v>
      </x:c>
      <x:c r="Y383" s="39" t="n">
        <x:v>-0.0831676027</x:v>
      </x:c>
      <x:c r="Z383" s="39" t="n">
        <x:v>0.0290535948</x:v>
      </x:c>
      <x:c r="AA383" s="39" t="n">
        <x:v>-0.0528251199</x:v>
      </x:c>
      <x:c r="AB383" s="39" t="n">
        <x:v>-0.3547935408</x:v>
      </x:c>
      <x:c r="AC383" s="39" t="n">
        <x:v>-0.0913185509</x:v>
      </x:c>
      <x:c r="AD383" s="39" t="n">
        <x:v>0.0558991462</x:v>
      </x:c>
      <x:c r="AE383" s="39" t="n">
        <x:v>-0.0345763639</x:v>
      </x:c>
      <x:c r="AF383" s="39" t="n">
        <x:v>0.0735013963</x:v>
      </x:c>
      <x:c r="AG383" s="39" t="n">
        <x:v>0.0945983529</x:v>
      </x:c>
      <x:c r="AH383" s="39" t="n">
        <x:v>-0.0013563971</x:v>
      </x:c>
      <x:c r="AI383" s="39" t="n">
        <x:v>-0.0377271377</x:v>
      </x:c>
      <x:c r="AJ383" s="39" t="n">
        <x:v>0.0489906306</x:v>
      </x:c>
      <x:c r="AK383" s="39" t="n">
        <x:v>-0.0218518461</x:v>
      </x:c>
      <x:c r="AL383" s="39" t="n">
        <x:v>-0.0897470223</x:v>
      </x:c>
      <x:c r="AM383" s="39" t="n">
        <x:v>0.044923842</x:v>
      </x:c>
      <x:c r="AN383" s="39" t="n">
        <x:v>-0.0439946472</x:v>
      </x:c>
      <x:c r="AO383" s="39" t="n">
        <x:v>0.0660168065</x:v>
      </x:c>
      <x:c r="AP383" s="39" t="n">
        <x:v>0.051224096</x:v>
      </x:c>
      <x:c r="AQ383" s="39" t="n">
        <x:v>-0.0070383682</x:v>
      </x:c>
      <x:c r="AR383" s="39" t="n">
        <x:v>0.0299326151</x:v>
      </x:c>
      <x:c r="AS383" s="39" t="n">
        <x:v>0.0214658483</x:v>
      </x:c>
    </x:row>
    <x:row r="384" ht="19" customHeight="1">
      <x:c r="A384" s="30" t="str">
        <x:v>Primary sector</x:v>
      </x:c>
      <x:c r="B384" s="40" t="d">
        <x:v>2024-12-30T00:00:00.000Z</x:v>
      </x:c>
      <x:c r="C384" s="39" t="n">
        <x:v>0.05439899</x:v>
      </x:c>
      <x:c r="D384" s="39" t="n">
        <x:v>-0.007000327</x:v>
      </x:c>
      <x:c r="E384" s="39" t="n">
        <x:v>-0.0039039639</x:v>
      </x:c>
      <x:c r="F384" s="39" t="n">
        <x:v>0.0349713174</x:v>
      </x:c>
      <x:c r="G384" s="39" t="n">
        <x:v>0.0259585759</x:v>
      </x:c>
      <x:c r="H384" s="39" t="n">
        <x:v>-0.0530113037</x:v>
      </x:c>
      <x:c r="I384" s="39" t="n">
        <x:v>0.0352368146</x:v>
      </x:c>
      <x:c r="J384" s="39" t="n">
        <x:v>-0.045954161</x:v>
      </x:c>
      <x:c r="K384" s="39" t="n">
        <x:v>-0.0225493123</x:v>
      </x:c>
      <x:c r="L384" s="39" t="n">
        <x:v>-0.0256321169</x:v>
      </x:c>
      <x:c r="M384" s="39" t="n">
        <x:v>0.0116781058</x:v>
      </x:c>
      <x:c r="N384" s="39" t="n">
        <x:v>0.079076344</x:v>
      </x:c>
      <x:c r="O384" s="39" t="n">
        <x:v>-0.0326496563</x:v>
      </x:c>
      <x:c r="P384" s="39" t="n">
        <x:v>-0.0898880483</x:v>
      </x:c>
      <x:c r="Q384" s="39" t="n">
        <x:v>0.1020135914</x:v>
      </x:c>
      <x:c r="R384" s="39" t="n">
        <x:v>-0.1473880504</x:v>
      </x:c>
      <x:c r="S384" s="39" t="n">
        <x:v>0.0092079313</x:v>
      </x:c>
      <x:c r="T384" s="39" t="n">
        <x:v>0.0448582566</x:v>
      </x:c>
      <x:c r="U384" s="39" t="n">
        <x:v>0.0484892726</x:v>
      </x:c>
      <x:c r="V384" s="39" t="n">
        <x:v>-0.0863746843</x:v>
      </x:c>
      <x:c r="W384" s="39" t="n">
        <x:v>-0.0286956942</x:v>
      </x:c>
      <x:c r="X384" s="39" t="n">
        <x:v>-0.1030249585</x:v>
      </x:c>
      <x:c r="Y384" s="39" t="n">
        <x:v>-0.1030852366</x:v>
      </x:c>
      <x:c r="Z384" s="39" t="n">
        <x:v>0.0518823172</x:v>
      </x:c>
      <x:c r="AA384" s="39" t="n">
        <x:v>-0.0525661941</x:v>
      </x:c>
      <x:c r="AB384" s="39" t="n">
        <x:v>-0.0645102998</x:v>
      </x:c>
      <x:c r="AC384" s="39" t="n">
        <x:v>-0.0791742678</x:v>
      </x:c>
      <x:c r="AD384" s="39" t="n">
        <x:v>0.0169633172</x:v>
      </x:c>
      <x:c r="AE384" s="39" t="n">
        <x:v>0.015131857</x:v>
      </x:c>
      <x:c r="AF384" s="39" t="n">
        <x:v>-0.1065467721</x:v>
      </x:c>
      <x:c r="AG384" s="39" t="n">
        <x:v>0.2300149316</x:v>
      </x:c>
      <x:c r="AH384" s="39" t="n">
        <x:v>0.0705600641</x:v>
      </x:c>
      <x:c r="AI384" s="39" t="n">
        <x:v>-0.0578147809</x:v>
      </x:c>
      <x:c r="AJ384" s="39" t="n">
        <x:v>-0.0353936949</x:v>
      </x:c>
      <x:c r="AK384" s="39" t="n">
        <x:v>0.0220962445</x:v>
      </x:c>
      <x:c r="AL384" s="39" t="n">
        <x:v>0.0747052226</x:v>
      </x:c>
      <x:c r="AM384" s="39" t="n">
        <x:v>-0.0196361354</x:v>
      </x:c>
      <x:c r="AN384" s="39" t="n">
        <x:v>0.1838441545</x:v>
      </x:c>
      <x:c r="AO384" s="39" t="n">
        <x:v>-0.0386611126</x:v>
      </x:c>
      <x:c r="AP384" s="39" t="n">
        <x:v>-0.0738765829</x:v>
      </x:c>
      <x:c r="AQ384" s="39" t="n">
        <x:v>0.0474206564</x:v>
      </x:c>
      <x:c r="AR384" s="39" t="n">
        <x:v>-0.0084605031</x:v>
      </x:c>
      <x:c r="AS384" s="39" t="n">
        <x:v>-0.018230334</x:v>
      </x:c>
    </x:row>
    <x:row r="385" ht="19" customHeight="1">
      <x:c r="A385" s="30" t="str">
        <x:v>Primary sector</x:v>
      </x:c>
      <x:c r="B385" s="40" t="d">
        <x:v>2025-01-27T00:00:00.000Z</x:v>
      </x:c>
      <x:c r="C385" s="39" t="n">
        <x:v>0.0055577846</x:v>
      </x:c>
      <x:c r="D385" s="39" t="n">
        <x:v>-0.0276914131</x:v>
      </x:c>
      <x:c r="E385" s="39" t="n">
        <x:v>0.0679827204</x:v>
      </x:c>
      <x:c r="F385" s="39" t="n">
        <x:v>0.0501598008</x:v>
      </x:c>
      <x:c r="G385" s="39" t="n">
        <x:v>-0.0082893437</x:v>
      </x:c>
      <x:c r="H385" s="39" t="n">
        <x:v>-0.0472149938</x:v>
      </x:c>
      <x:c r="I385" s="39" t="n">
        <x:v>0.032339244</x:v>
      </x:c>
      <x:c r="J385" s="39" t="n">
        <x:v>-0.1208319343</x:v>
      </x:c>
      <x:c r="K385" s="39" t="n">
        <x:v>0.1299422914</x:v>
      </x:c>
      <x:c r="L385" s="39" t="n">
        <x:v>0.082844572</x:v>
      </x:c>
      <x:c r="M385" s="39" t="n">
        <x:v>0.0016666339</x:v>
      </x:c>
      <x:c r="N385" s="39" t="n">
        <x:v>0.0867344801</x:v>
      </x:c>
      <x:c r="O385" s="39" t="n">
        <x:v>0.1237636691</x:v>
      </x:c>
      <x:c r="P385" s="39" t="n">
        <x:v>0.0990165135</x:v>
      </x:c>
      <x:c r="Q385" s="39" t="n">
        <x:v>-0.1255596843</x:v>
      </x:c>
      <x:c r="R385" s="39" t="n">
        <x:v>0.2868524783</x:v>
      </x:c>
      <x:c r="S385" s="39" t="n">
        <x:v>0.0217630841</x:v>
      </x:c>
      <x:c r="T385" s="39" t="n">
        <x:v>0.2026598309</x:v>
      </x:c>
      <x:c r="U385" s="39" t="n">
        <x:v>-0.1234125454</x:v>
      </x:c>
      <x:c r="V385" s="39" t="n">
        <x:v>0.0262482587</x:v>
      </x:c>
      <x:c r="W385" s="39" t="n">
        <x:v>0.0703482099</x:v>
      </x:c>
      <x:c r="X385" s="39" t="n">
        <x:v>-0.172195033</x:v>
      </x:c>
      <x:c r="Y385" s="39" t="n">
        <x:v>0.0940616232</x:v>
      </x:c>
      <x:c r="Z385" s="39" t="n">
        <x:v>0.0828463022</x:v>
      </x:c>
      <x:c r="AA385" s="39" t="n">
        <x:v>0.0021655316</x:v>
      </x:c>
      <x:c r="AB385" s="39" t="n">
        <x:v>-0.5340220164</x:v>
      </x:c>
      <x:c r="AC385" s="39" t="n">
        <x:v>-0.0992587309</x:v>
      </x:c>
      <x:c r="AD385" s="39" t="n">
        <x:v>0.0053199972</x:v>
      </x:c>
      <x:c r="AE385" s="39" t="n">
        <x:v>-0.0089500523</x:v>
      </x:c>
      <x:c r="AF385" s="39" t="n">
        <x:v>-0.0067373107</x:v>
      </x:c>
      <x:c r="AG385" s="39" t="n">
        <x:v>0.0203295609</x:v>
      </x:c>
      <x:c r="AH385" s="39" t="n">
        <x:v>0.0206624121</x:v>
      </x:c>
      <x:c r="AI385" s="39" t="n">
        <x:v>0.0062530837</x:v>
      </x:c>
      <x:c r="AJ385" s="39" t="n">
        <x:v>-0.0623151529</x:v>
      </x:c>
      <x:c r="AK385" s="39" t="n">
        <x:v>0.0670669543</x:v>
      </x:c>
      <x:c r="AL385" s="39" t="n">
        <x:v>0.091095611</x:v>
      </x:c>
      <x:c r="AM385" s="39" t="n">
        <x:v>-0.0246528178</x:v>
      </x:c>
      <x:c r="AN385" s="39" t="n">
        <x:v>0.0165167937</x:v>
      </x:c>
      <x:c r="AO385" s="39" t="n">
        <x:v>0.0631153477</x:v>
      </x:c>
      <x:c r="AP385" s="39" t="n">
        <x:v>0.0472495541</x:v>
      </x:c>
      <x:c r="AQ385" s="39" t="n">
        <x:v>0.0187541051</x:v>
      </x:c>
      <x:c r="AR385" s="39" t="n">
        <x:v>-0.004545676</x:v>
      </x:c>
      <x:c r="AS385" s="39" t="n">
        <x:v>0.0007104687</x:v>
      </x:c>
    </x:row>
    <x:row r="386" ht="19" customHeight="1">
      <x:c r="A386" s="30" t="str">
        <x:v>Primary sector</x:v>
      </x:c>
      <x:c r="B386" s="40" t="d">
        <x:v>2025-02-24T00:00:00.000Z</x:v>
      </x:c>
      <x:c r="C386" s="39" t="n">
        <x:v>-0.3057093634</x:v>
      </x:c>
      <x:c r="D386" s="39" t="n">
        <x:v>-0.138743942</x:v>
      </x:c>
      <x:c r="E386" s="39" t="n">
        <x:v>0.0814934506</x:v>
      </x:c>
      <x:c r="F386" s="39" t="n">
        <x:v>0.0743436631</x:v>
      </x:c>
      <x:c r="G386" s="39" t="n">
        <x:v>0.0408085719</x:v>
      </x:c>
      <x:c r="H386" s="39" t="n">
        <x:v>-0.0385818155</x:v>
      </x:c>
      <x:c r="I386" s="39" t="n">
        <x:v>-0.0375859027</x:v>
      </x:c>
      <x:c r="J386" s="39" t="n">
        <x:v>-0.234959454</x:v>
      </x:c>
      <x:c r="K386" s="39" t="n">
        <x:v>0.0763306192</x:v>
      </x:c>
      <x:c r="L386" s="39" t="n">
        <x:v>-0.0824574633</x:v>
      </x:c>
      <x:c r="M386" s="39" t="n">
        <x:v>-0.1965767189</x:v>
      </x:c>
      <x:c r="N386" s="39" t="n">
        <x:v>-0.0197763944</x:v>
      </x:c>
      <x:c r="O386" s="39" t="n">
        <x:v>0.0012663567</x:v>
      </x:c>
      <x:c r="P386" s="39" t="n">
        <x:v>0.0172586892</x:v>
      </x:c>
      <x:c r="Q386" s="39" t="n">
        <x:v>0.2182121769</x:v>
      </x:c>
      <x:c r="R386" s="39" t="n">
        <x:v>0.074918413</x:v>
      </x:c>
      <x:c r="S386" s="39" t="n">
        <x:v>0.0896239213</x:v>
      </x:c>
      <x:c r="T386" s="39" t="n">
        <x:v>0.0737687624</x:v>
      </x:c>
      <x:c r="U386" s="39" t="n">
        <x:v>-0.2972061987</x:v>
      </x:c>
      <x:c r="V386" s="39" t="n">
        <x:v>-0.2504049591</x:v>
      </x:c>
      <x:c r="W386" s="39" t="n">
        <x:v>0.015429574</x:v>
      </x:c>
      <x:c r="X386" s="39" t="n">
        <x:v>0.0856441404</x:v>
      </x:c>
      <x:c r="Y386" s="39" t="n">
        <x:v>0.0556916213</x:v>
      </x:c>
      <x:c r="Z386" s="39" t="n">
        <x:v>0.0019150066</x:v>
      </x:c>
      <x:c r="AA386" s="39" t="n">
        <x:v>0.1502944397</x:v>
      </x:c>
      <x:c r="AB386" s="39" t="n">
        <x:v>-0.3621159912</x:v>
      </x:c>
      <x:c r="AC386" s="39" t="n">
        <x:v>0.0673139448</x:v>
      </x:c>
      <x:c r="AD386" s="39" t="n">
        <x:v>0.003852948</x:v>
      </x:c>
      <x:c r="AE386" s="39" t="n">
        <x:v>0.030398548</x:v>
      </x:c>
      <x:c r="AF386" s="39" t="n">
        <x:v>-0.071882744</x:v>
      </x:c>
      <x:c r="AG386" s="39" t="n">
        <x:v>0.0179209962</x:v>
      </x:c>
      <x:c r="AH386" s="39" t="n">
        <x:v>-0.1405738759</x:v>
      </x:c>
      <x:c r="AI386" s="39" t="n">
        <x:v>-0.1333156608</x:v>
      </x:c>
      <x:c r="AJ386" s="39" t="n">
        <x:v>0.1179886518</x:v>
      </x:c>
      <x:c r="AK386" s="39" t="n">
        <x:v>0.0880409797</x:v>
      </x:c>
      <x:c r="AL386" s="39" t="n">
        <x:v>0.0800212577</x:v>
      </x:c>
      <x:c r="AM386" s="39" t="n">
        <x:v>-0.0237029542</x:v>
      </x:c>
      <x:c r="AN386" s="39" t="n">
        <x:v>-0.2182097403</x:v>
      </x:c>
      <x:c r="AO386" s="39" t="n">
        <x:v>0.0513773572</x:v>
      </x:c>
      <x:c r="AP386" s="39" t="n">
        <x:v>0.0178160706</x:v>
      </x:c>
      <x:c r="AQ386" s="39" t="n">
        <x:v>0.0809703596</x:v>
      </x:c>
      <x:c r="AR386" s="39" t="n">
        <x:v>0.079122142</x:v>
      </x:c>
      <x:c r="AS386" s="39" t="n">
        <x:v>0.1020052682</x:v>
      </x:c>
    </x:row>
    <x:row r="387" ht="19" customHeight="1">
      <x:c r="A387" s="30" t="str">
        <x:v>Primary sector</x:v>
      </x:c>
      <x:c r="B387" s="40" t="d">
        <x:v>2025-03-24T00:00:00.000Z</x:v>
      </x:c>
      <x:c r="C387" s="39" t="n">
        <x:v>-0.0861997428</x:v>
      </x:c>
      <x:c r="D387" s="39" t="n">
        <x:v>-0.1276957237</x:v>
      </x:c>
      <x:c r="E387" s="39" t="n">
        <x:v>-0.0254966196</x:v>
      </x:c>
      <x:c r="F387" s="39" t="n">
        <x:v>-0.0429000458</x:v>
      </x:c>
      <x:c r="G387" s="39" t="n">
        <x:v>-0.1069303053</x:v>
      </x:c>
      <x:c r="H387" s="39" t="n">
        <x:v>-0.0533978503</x:v>
      </x:c>
      <x:c r="I387" s="39" t="n">
        <x:v>0.030548563</x:v>
      </x:c>
      <x:c r="J387" s="39" t="n">
        <x:v>-0.1253997419</x:v>
      </x:c>
      <x:c r="K387" s="39" t="n">
        <x:v>-0.13527555</x:v>
      </x:c>
      <x:c r="L387" s="39" t="n">
        <x:v>-0.0222300467</x:v>
      </x:c>
      <x:c r="M387" s="39" t="n">
        <x:v>-0.1366114627</x:v>
      </x:c>
      <x:c r="N387" s="39" t="n">
        <x:v>-0.1012028037</x:v>
      </x:c>
      <x:c r="O387" s="39" t="n">
        <x:v>-0.072564167</x:v>
      </x:c>
      <x:c r="P387" s="39" t="n">
        <x:v>-0.1948994232</x:v>
      </x:c>
      <x:c r="Q387" s="39" t="n">
        <x:v>-0.0400900327</x:v>
      </x:c>
      <x:c r="R387" s="39" t="n">
        <x:v>-0.1887560408</x:v>
      </x:c>
      <x:c r="S387" s="39" t="n">
        <x:v>0.0204305588</x:v>
      </x:c>
      <x:c r="T387" s="39" t="n">
        <x:v>-0.1982668846</x:v>
      </x:c>
      <x:c r="U387" s="39" t="n">
        <x:v>-0.0414462756</x:v>
      </x:c>
      <x:c r="V387" s="39" t="n">
        <x:v>0.0656225374</x:v>
      </x:c>
      <x:c r="W387" s="39" t="n">
        <x:v>0.0312325304</x:v>
      </x:c>
      <x:c r="X387" s="39" t="n">
        <x:v>0.0146328729</x:v>
      </x:c>
      <x:c r="Y387" s="39" t="n">
        <x:v>-0.0389700154</x:v>
      </x:c>
      <x:c r="Z387" s="39" t="n">
        <x:v>0.0557063399</x:v>
      </x:c>
      <x:c r="AA387" s="39" t="n">
        <x:v>0.0005015999</x:v>
      </x:c>
      <x:c r="AB387" s="39" t="n">
        <x:v>0.2627401875</x:v>
      </x:c>
      <x:c r="AC387" s="39" t="n">
        <x:v>-0.1740584809</x:v>
      </x:c>
      <x:c r="AD387" s="39" t="n">
        <x:v>-0.0308052794</x:v>
      </x:c>
      <x:c r="AE387" s="39" t="n">
        <x:v>0.0595256924</x:v>
      </x:c>
      <x:c r="AF387" s="39" t="n">
        <x:v>-0.20022984</x:v>
      </x:c>
      <x:c r="AG387" s="39" t="n">
        <x:v>0.0046306312</x:v>
      </x:c>
      <x:c r="AH387" s="39" t="n">
        <x:v>0.1115648077</x:v>
      </x:c>
      <x:c r="AI387" s="39" t="n">
        <x:v>0.1551986498</x:v>
      </x:c>
      <x:c r="AJ387" s="39" t="n">
        <x:v>-0.1326226547</x:v>
      </x:c>
      <x:c r="AK387" s="39" t="n">
        <x:v>-0.0379342122</x:v>
      </x:c>
      <x:c r="AL387" s="39" t="n">
        <x:v>0.1436670968</x:v>
      </x:c>
      <x:c r="AM387" s="39" t="n">
        <x:v>0.0539191117</x:v>
      </x:c>
      <x:c r="AN387" s="39" t="n">
        <x:v>-0.0593429698</x:v>
      </x:c>
      <x:c r="AO387" s="39" t="n">
        <x:v>-0.1381990817</x:v>
      </x:c>
      <x:c r="AP387" s="39" t="n">
        <x:v>-0.068413071</x:v>
      </x:c>
      <x:c r="AQ387" s="39" t="n">
        <x:v>-0.0263040021</x:v>
      </x:c>
      <x:c r="AR387" s="39" t="n">
        <x:v>-0.0440393035</x:v>
      </x:c>
      <x:c r="AS387" s="39" t="n">
        <x:v>0.0315494222</x:v>
      </x:c>
    </x:row>
    <x:row r="388" ht="19" customHeight="1">
      <x:c r="A388" s="30" t="str">
        <x:v>Primary sector</x:v>
      </x:c>
      <x:c r="B388" s="40" t="d">
        <x:v>2025-04-21T00:00:00.000Z</x:v>
      </x:c>
      <x:c r="C388" s="39" t="n">
        <x:v>0.0751643219</x:v>
      </x:c>
      <x:c r="D388" s="39" t="n">
        <x:v>0.125462116</x:v>
      </x:c>
      <x:c r="E388" s="39" t="n">
        <x:v>-0.0339516152</x:v>
      </x:c>
      <x:c r="F388" s="39" t="n">
        <x:v>-0.0087537859</x:v>
      </x:c>
      <x:c r="G388" s="39" t="n">
        <x:v>-0.0979257</x:v>
      </x:c>
      <x:c r="H388" s="39" t="n">
        <x:v>0.0281207472</x:v>
      </x:c>
      <x:c r="I388" s="39" t="n">
        <x:v>-0.0215104962</x:v>
      </x:c>
      <x:c r="J388" s="39" t="n">
        <x:v>0.2125475731</x:v>
      </x:c>
      <x:c r="K388" s="39" t="n">
        <x:v>-0.20707496</x:v>
      </x:c>
      <x:c r="L388" s="39" t="n">
        <x:v>-0.012938914</x:v>
      </x:c>
      <x:c r="M388" s="39" t="n">
        <x:v>0.0020464192</x:v>
      </x:c>
      <x:c r="N388" s="39" t="n">
        <x:v>0.0099308941</x:v>
      </x:c>
      <x:c r="O388" s="39" t="n">
        <x:v>0.0030092863</x:v>
      </x:c>
      <x:c r="P388" s="39" t="n">
        <x:v>-0.1235327523</x:v>
      </x:c>
      <x:c r="Q388" s="39" t="n">
        <x:v>0.0437762525</x:v>
      </x:c>
      <x:c r="R388" s="39" t="n">
        <x:v>-0.1978692894</x:v>
      </x:c>
      <x:c r="S388" s="39" t="n">
        <x:v>-0.0095175212</x:v>
      </x:c>
      <x:c r="T388" s="39" t="n">
        <x:v>0.0673297785</x:v>
      </x:c>
      <x:c r="U388" s="39" t="n">
        <x:v>-0.1961537234</x:v>
      </x:c>
      <x:c r="V388" s="39" t="n">
        <x:v>0.1646996968</x:v>
      </x:c>
      <x:c r="W388" s="39" t="n">
        <x:v>0.2413243373</x:v>
      </x:c>
      <x:c r="X388" s="39" t="n">
        <x:v>-0.1047684047</x:v>
      </x:c>
      <x:c r="Y388" s="39" t="n">
        <x:v>-0.2681422137</x:v>
      </x:c>
      <x:c r="Z388" s="39" t="n">
        <x:v>0.0716162761</x:v>
      </x:c>
      <x:c r="AA388" s="39" t="n">
        <x:v>-0.0583286401</x:v>
      </x:c>
      <x:c r="AB388" s="39" t="n">
        <x:v>-0.3445785976</x:v>
      </x:c>
      <x:c r="AC388" s="39" t="n">
        <x:v>0.1540466112</x:v>
      </x:c>
      <x:c r="AD388" s="39" t="n">
        <x:v>-0.0707524212</x:v>
      </x:c>
      <x:c r="AE388" s="39" t="n">
        <x:v>-0.002840291</x:v>
      </x:c>
      <x:c r="AF388" s="39" t="n">
        <x:v>-0.0007825695</x:v>
      </x:c>
      <x:c r="AG388" s="39" t="n">
        <x:v>0.0051937471</x:v>
      </x:c>
      <x:c r="AH388" s="39" t="n">
        <x:v>0.0723410348</x:v>
      </x:c>
      <x:c r="AI388" s="39" t="n">
        <x:v>-0.1917941376</x:v>
      </x:c>
      <x:c r="AJ388" s="39" t="n">
        <x:v>0.1574635828</x:v>
      </x:c>
      <x:c r="AK388" s="39" t="n">
        <x:v>-0.0838489116</x:v>
      </x:c>
      <x:c r="AL388" s="39" t="n">
        <x:v>-0.119425082</x:v>
      </x:c>
      <x:c r="AM388" s="39" t="n">
        <x:v>0.054359965</x:v>
      </x:c>
      <x:c r="AN388" s="39" t="n">
        <x:v>0.0511049089</x:v>
      </x:c>
      <x:c r="AO388" s="39" t="n">
        <x:v>0.039221313</x:v>
      </x:c>
      <x:c r="AP388" s="39" t="n">
        <x:v>-0.0231688555</x:v>
      </x:c>
      <x:c r="AQ388" s="39" t="n">
        <x:v>-0.0111181874</x:v>
      </x:c>
      <x:c r="AR388" s="39" t="n">
        <x:v>-0.0454154643</x:v>
      </x:c>
      <x:c r="AS388" s="39" t="n">
        <x:v>0.0050543298</x:v>
      </x:c>
    </x:row>
    <x:row r="389" ht="19" customHeight="1">
      <x:c r="A389" s="30" t="str">
        <x:v>Primary sector</x:v>
      </x:c>
      <x:c r="B389" s="40" t="d">
        <x:v>2025-05-19T00:00:00.000Z</x:v>
      </x:c>
      <x:c r="C389" s="39" t="n">
        <x:v>0.1945111027</x:v>
      </x:c>
      <x:c r="D389" s="39" t="n">
        <x:v>0.0276154718</x:v>
      </x:c>
      <x:c r="E389" s="39" t="n">
        <x:v>-0.0833596289</x:v>
      </x:c>
      <x:c r="F389" s="39" t="n">
        <x:v>-0.0694937476</x:v>
      </x:c>
      <x:c r="G389" s="39" t="n">
        <x:v>0.1750706252</x:v>
      </x:c>
      <x:c r="H389" s="39" t="n">
        <x:v>-0.0908699293</x:v>
      </x:c>
      <x:c r="I389" s="39" t="n">
        <x:v>-0.0296437613</x:v>
      </x:c>
      <x:c r="J389" s="39" t="n">
        <x:v>0.047857395</x:v>
      </x:c>
      <x:c r="K389" s="39" t="n">
        <x:v>0.106730383</x:v>
      </x:c>
      <x:c r="L389" s="39" t="n">
        <x:v>0.1628147901</x:v>
      </x:c>
      <x:c r="M389" s="39" t="n">
        <x:v>0.185077892</x:v>
      </x:c>
      <x:c r="N389" s="39" t="n">
        <x:v>0.1423909769</x:v>
      </x:c>
      <x:c r="O389" s="39" t="n">
        <x:v>0.0180523981</x:v>
      </x:c>
      <x:c r="P389" s="39" t="n">
        <x:v>0.0699112504</x:v>
      </x:c>
      <x:c r="Q389" s="39" t="n">
        <x:v>-0.010521758</x:v>
      </x:c>
      <x:c r="R389" s="39" t="n">
        <x:v>-0.2668997921</x:v>
      </x:c>
      <x:c r="S389" s="39" t="n">
        <x:v>0.0671201255</x:v>
      </x:c>
      <x:c r="T389" s="39" t="n">
        <x:v>0.2449962455</x:v>
      </x:c>
      <x:c r="U389" s="39" t="n">
        <x:v>-0.0308217333</x:v>
      </x:c>
      <x:c r="V389" s="39" t="n">
        <x:v>0.0982482778</x:v>
      </x:c>
      <x:c r="W389" s="39" t="n">
        <x:v>0.0111150541</x:v>
      </x:c>
      <x:c r="X389" s="39" t="n">
        <x:v>-0.0226873279</x:v>
      </x:c>
      <x:c r="Y389" s="39" t="n">
        <x:v>0.0007102238</x:v>
      </x:c>
      <x:c r="Z389" s="39" t="n">
        <x:v>-0.0764756106</x:v>
      </x:c>
      <x:c r="AA389" s="39" t="n">
        <x:v>0.0353816474</x:v>
      </x:c>
      <x:c r="AB389" s="39" t="n">
        <x:v>-0.0154367933</x:v>
      </x:c>
      <x:c r="AC389" s="39" t="n">
        <x:v>-0.2284385637</x:v>
      </x:c>
      <x:c r="AD389" s="39" t="n">
        <x:v>0.0204765672</x:v>
      </x:c>
      <x:c r="AE389" s="39" t="n">
        <x:v>-0.0396804789</x:v>
      </x:c>
      <x:c r="AF389" s="39" t="n">
        <x:v>-0.025291147</x:v>
      </x:c>
      <x:c r="AG389" s="39" t="n">
        <x:v>0.0757542395</x:v>
      </x:c>
      <x:c r="AH389" s="39" t="n">
        <x:v>-0.0733861778</x:v>
      </x:c>
      <x:c r="AI389" s="39" t="n">
        <x:v>-0.0477383885</x:v>
      </x:c>
      <x:c r="AJ389" s="39" t="n">
        <x:v>-0.179423462</x:v>
      </x:c>
      <x:c r="AK389" s="39" t="n">
        <x:v>0.0042619402</x:v>
      </x:c>
      <x:c r="AL389" s="39" t="n">
        <x:v>0.0101180201</x:v>
      </x:c>
      <x:c r="AM389" s="39" t="n">
        <x:v>0.0961112171</x:v>
      </x:c>
      <x:c r="AN389" s="39" t="n">
        <x:v>-0.0621405995</x:v>
      </x:c>
      <x:c r="AO389" s="39" t="n">
        <x:v>0.0004621531</x:v>
      </x:c>
      <x:c r="AP389" s="39" t="n">
        <x:v>-0.0480436936</x:v>
      </x:c>
      <x:c r="AQ389" s="39" t="n">
        <x:v>-0.0200351562</x:v>
      </x:c>
      <x:c r="AR389" s="39" t="n">
        <x:v>0.0764342826</x:v>
      </x:c>
      <x:c r="AS389" s="39" t="n">
        <x:v>-0.102056611</x:v>
      </x:c>
    </x:row>
    <x:row r="390" ht="19" customHeight="1">
      <x:c r="A390" s="30" t="str">
        <x:v>Primary sector</x:v>
      </x:c>
      <x:c r="B390" s="40" t="d">
        <x:v>2025-06-16T00:00:00.000Z</x:v>
      </x:c>
      <x:c r="C390" s="39" t="n">
        <x:v>0.1749927783</x:v>
      </x:c>
      <x:c r="D390" s="39" t="n">
        <x:v>-0.0863969073</x:v>
      </x:c>
      <x:c r="E390" s="39" t="n">
        <x:v>-0.0021038055</x:v>
      </x:c>
      <x:c r="F390" s="39" t="n">
        <x:v>-0.0328283284</x:v>
      </x:c>
      <x:c r="G390" s="39" t="n">
        <x:v>0.0678287065</x:v>
      </x:c>
      <x:c r="H390" s="39" t="n">
        <x:v>0.0605733587</x:v>
      </x:c>
      <x:c r="I390" s="39" t="n">
        <x:v>0.0449697503</x:v>
      </x:c>
      <x:c r="J390" s="39" t="n">
        <x:v>0.0159230816</x:v>
      </x:c>
      <x:c r="K390" s="39" t="n">
        <x:v>0.0362271661</x:v>
      </x:c>
      <x:c r="L390" s="39" t="n">
        <x:v>-0.0180920195</x:v>
      </x:c>
      <x:c r="M390" s="39" t="n">
        <x:v>0.1685268986</x:v>
      </x:c>
      <x:c r="N390" s="39" t="n">
        <x:v>-0.0366716216</x:v>
      </x:c>
      <x:c r="O390" s="39" t="n">
        <x:v>-0.0051166033</x:v>
      </x:c>
      <x:c r="P390" s="39" t="n">
        <x:v>0.0821633293</x:v>
      </x:c>
      <x:c r="Q390" s="39" t="n">
        <x:v>0.0837571729</x:v>
      </x:c>
      <x:c r="R390" s="39" t="n">
        <x:v>-0.1497017863</x:v>
      </x:c>
      <x:c r="S390" s="39" t="n">
        <x:v>-0.053553174</x:v>
      </x:c>
      <x:c r="T390" s="39" t="n">
        <x:v>0.0994179828</x:v>
      </x:c>
      <x:c r="U390" s="39" t="n">
        <x:v>-0.0120851355</x:v>
      </x:c>
      <x:c r="V390" s="39" t="n">
        <x:v>0.0661075199</x:v>
      </x:c>
      <x:c r="W390" s="39" t="n">
        <x:v>0.0153913604</x:v>
      </x:c>
      <x:c r="X390" s="39" t="n">
        <x:v>0.0034344062</x:v>
      </x:c>
      <x:c r="Y390" s="39" t="n">
        <x:v>0.2318899625</x:v>
      </x:c>
      <x:c r="Z390" s="39" t="n">
        <x:v>0.1188580952</x:v>
      </x:c>
      <x:c r="AA390" s="39" t="n">
        <x:v>-0.0805191988</x:v>
      </x:c>
      <x:c r="AB390" s="39" t="n">
        <x:v>0.0529140202</x:v>
      </x:c>
      <x:c r="AC390" s="39" t="n">
        <x:v>0.3178954142</x:v>
      </x:c>
      <x:c r="AD390" s="39" t="n">
        <x:v>-0.0393038484</x:v>
      </x:c>
      <x:c r="AE390" s="39" t="n">
        <x:v>0.0172532288</x:v>
      </x:c>
      <x:c r="AF390" s="39" t="n">
        <x:v>-0.0415890942</x:v>
      </x:c>
      <x:c r="AG390" s="39" t="n">
        <x:v>-0.0325643412</x:v>
      </x:c>
      <x:c r="AH390" s="39" t="n">
        <x:v>0.0861597456</x:v>
      </x:c>
      <x:c r="AI390" s="39" t="n">
        <x:v>0.0506957085</x:v>
      </x:c>
      <x:c r="AJ390" s="39" t="n">
        <x:v>0.0483383253</x:v>
      </x:c>
      <x:c r="AK390" s="39" t="n">
        <x:v>-0.0211909829</x:v>
      </x:c>
      <x:c r="AL390" s="39" t="n">
        <x:v>-0.1384289545</x:v>
      </x:c>
      <x:c r="AM390" s="39" t="n">
        <x:v>0.0237063708</x:v>
      </x:c>
      <x:c r="AN390" s="39" t="n">
        <x:v>-0.0617128225</x:v>
      </x:c>
      <x:c r="AO390" s="39" t="n">
        <x:v>-0.0457363234</x:v>
      </x:c>
      <x:c r="AP390" s="39" t="n">
        <x:v>-0.0366668222</x:v>
      </x:c>
      <x:c r="AQ390" s="39" t="n">
        <x:v>-0.0336804214</x:v>
      </x:c>
      <x:c r="AR390" s="39" t="n">
        <x:v>-0.0287837044</x:v>
      </x:c>
      <x:c r="AS390" s="39" t="n">
        <x:v>-0.0535652348</x:v>
      </x:c>
    </x:row>
    <x:row r="391" ht="19" customHeight="1">
      <x:c r="A391" s="30" t="str">
        <x:v>Primary sector</x:v>
      </x:c>
      <x:c r="B391" s="40" t="d">
        <x:v>2025-07-14T00:00:00.000Z</x:v>
      </x:c>
      <x:c r="C391" s="39" t="n">
        <x:v>-0.0567580943</x:v>
      </x:c>
      <x:c r="D391" s="39" t="n">
        <x:v>-0.1807040064</x:v>
      </x:c>
      <x:c r="E391" s="39" t="n">
        <x:v>0.0242423574</x:v>
      </x:c>
      <x:c r="F391" s="39" t="n">
        <x:v>0.027110745</x:v>
      </x:c>
      <x:c r="G391" s="39" t="n">
        <x:v>-0.0168138991</x:v>
      </x:c>
      <x:c r="H391" s="39" t="n">
        <x:v>-0.0200720725</x:v>
      </x:c>
      <x:c r="I391" s="39" t="n">
        <x:v>-0.0013877798</x:v>
      </x:c>
      <x:c r="J391" s="39" t="n">
        <x:v>-0.0139536581</x:v>
      </x:c>
      <x:c r="K391" s="39" t="n">
        <x:v>-0.0117253197</x:v>
      </x:c>
      <x:c r="L391" s="39" t="n">
        <x:v>0.0732634619</x:v>
      </x:c>
      <x:c r="M391" s="39" t="n">
        <x:v>-0.0984278248</x:v>
      </x:c>
      <x:c r="N391" s="39" t="n">
        <x:v>0.0109178815</x:v>
      </x:c>
      <x:c r="O391" s="39" t="n">
        <x:v>-0.0272385847</x:v>
      </x:c>
      <x:c r="P391" s="39" t="n">
        <x:v>0.008135691</x:v>
      </x:c>
      <x:c r="Q391" s="39" t="n">
        <x:v>-0.080839134</x:v>
      </x:c>
      <x:c r="R391" s="39" t="n">
        <x:v>-0.0273562638</x:v>
      </x:c>
      <x:c r="S391" s="39" t="n">
        <x:v>-0.0094333379</x:v>
      </x:c>
      <x:c r="T391" s="39" t="n">
        <x:v>0.0134328317</x:v>
      </x:c>
      <x:c r="U391" s="39" t="n">
        <x:v>0.250253884</x:v>
      </x:c>
      <x:c r="V391" s="39" t="n">
        <x:v>-0.1500871159</x:v>
      </x:c>
      <x:c r="W391" s="39" t="n">
        <x:v>-0.0749017607</x:v>
      </x:c>
      <x:c r="X391" s="39" t="n">
        <x:v>0.0156233048</x:v>
      </x:c>
      <x:c r="Y391" s="39" t="n">
        <x:v>-0.2836210512</x:v>
      </x:c>
      <x:c r="Z391" s="39" t="n">
        <x:v>-0.0517252828</x:v>
      </x:c>
      <x:c r="AA391" s="39" t="n">
        <x:v>-0.1101172294</x:v>
      </x:c>
      <x:c r="AB391" s="39" t="n">
        <x:v>0.2252375311</x:v>
      </x:c>
      <x:c r="AC391" s="39" t="n">
        <x:v>0.2542463055</x:v>
      </x:c>
      <x:c r="AD391" s="39" t="n">
        <x:v>-0.0324328183</x:v>
      </x:c>
      <x:c r="AE391" s="39" t="n">
        <x:v>-0.0133159221</x:v>
      </x:c>
      <x:c r="AF391" s="39" t="n">
        <x:v>0.104237125</x:v>
      </x:c>
      <x:c r="AG391" s="39" t="n">
        <x:v>0.1216356569</x:v>
      </x:c>
      <x:c r="AH391" s="39" t="n">
        <x:v>0.0876419944</x:v>
      </x:c>
      <x:c r="AI391" s="39" t="n">
        <x:v>0.0760031151</x:v>
      </x:c>
      <x:c r="AJ391" s="39" t="n">
        <x:v>0.0161954405</x:v>
      </x:c>
      <x:c r="AK391" s="39" t="n">
        <x:v>0.0500134968</x:v>
      </x:c>
      <x:c r="AL391" s="39" t="n">
        <x:v>-0.1941557448</x:v>
      </x:c>
      <x:c r="AM391" s="39" t="n">
        <x:v>-0.0061505975</x:v>
      </x:c>
      <x:c r="AN391" s="39" t="n">
        <x:v>0.0544057256</x:v>
      </x:c>
      <x:c r="AO391" s="39" t="n">
        <x:v>-0.0772522513</x:v>
      </x:c>
      <x:c r="AP391" s="39" t="n">
        <x:v>-0.0168506969</x:v>
      </x:c>
      <x:c r="AQ391" s="39" t="n">
        <x:v>0.015721331</x:v>
      </x:c>
      <x:c r="AR391" s="39" t="n">
        <x:v>0.1445086641</x:v>
      </x:c>
      <x:c r="AS391" s="39" t="n">
        <x:v>-0.0614650873</x:v>
      </x:c>
    </x:row>
    <x:row r="392" ht="19" customHeight="1">
      <x:c r="A392" s="30" t="str">
        <x:v>Primary sector</x:v>
      </x:c>
      <x:c r="B392" s="40" t="d">
        <x:v>2025-08-11T00:00:00.000Z</x:v>
      </x:c>
      <x:c r="C392" s="39" t="n">
        <x:v>-0.030941174</x:v>
      </x:c>
      <x:c r="D392" s="39" t="n">
        <x:v>-0.1139883549</x:v>
      </x:c>
      <x:c r="E392" s="39" t="n">
        <x:v>0.0512857598</x:v>
      </x:c>
      <x:c r="F392" s="39" t="n">
        <x:v>0.0161450765</x:v>
      </x:c>
      <x:c r="G392" s="39" t="n">
        <x:v>-0.1025736433</x:v>
      </x:c>
      <x:c r="H392" s="39" t="n">
        <x:v>-0.2903778518</x:v>
      </x:c>
      <x:c r="I392" s="39" t="n">
        <x:v>-0.0244472779</x:v>
      </x:c>
      <x:c r="J392" s="39" t="n">
        <x:v>0.2502990741</x:v>
      </x:c>
      <x:c r="K392" s="39" t="n">
        <x:v>0.0028096824</x:v>
      </x:c>
      <x:c r="L392" s="39" t="n">
        <x:v>-0.0836669993</x:v>
      </x:c>
      <x:c r="M392" s="39" t="n">
        <x:v>-0.0864162778</x:v>
      </x:c>
      <x:c r="N392" s="39" t="n">
        <x:v>-0.040904326</x:v>
      </x:c>
      <x:c r="O392" s="39" t="n">
        <x:v>0.0581163014</x:v>
      </x:c>
      <x:c r="P392" s="39" t="n">
        <x:v>0.1331175599</x:v>
      </x:c>
      <x:c r="Q392" s="39" t="n">
        <x:v>0.1798334475</x:v>
      </x:c>
      <x:c r="R392" s="39" t="n">
        <x:v>0.0715403436</x:v>
      </x:c>
      <x:c r="S392" s="39" t="n">
        <x:v>-0.0127502966</x:v>
      </x:c>
      <x:c r="T392" s="39" t="n">
        <x:v>-0.0315042708</x:v>
      </x:c>
      <x:c r="U392" s="39" t="n">
        <x:v>-0.1418385597</x:v>
      </x:c>
      <x:c r="V392" s="39" t="n">
        <x:v>0.0147194712</x:v>
      </x:c>
      <x:c r="W392" s="39" t="n">
        <x:v>-0.0376128473</x:v>
      </x:c>
      <x:c r="X392" s="39" t="n">
        <x:v>-0.0697901869</x:v>
      </x:c>
      <x:c r="Y392" s="39" t="n">
        <x:v>0.0729978733</x:v>
      </x:c>
      <x:c r="Z392" s="39" t="n">
        <x:v>0.2698010788</x:v>
      </x:c>
      <x:c r="AA392" s="39" t="n">
        <x:v>0.0045263037</x:v>
      </x:c>
      <x:c r="AB392" s="39" t="n">
        <x:v>0.0616900373</x:v>
      </x:c>
      <x:c r="AC392" s="39" t="n">
        <x:v>-0.2680296632</x:v>
      </x:c>
      <x:c r="AD392" s="39" t="n">
        <x:v>-0.0127787618</x:v>
      </x:c>
      <x:c r="AE392" s="39" t="n">
        <x:v>0.0340598459</x:v>
      </x:c>
      <x:c r="AF392" s="39" t="n">
        <x:v>-0.0241319417</x:v>
      </x:c>
      <x:c r="AG392" s="39" t="n">
        <x:v>0.0488626993</x:v>
      </x:c>
      <x:c r="AH392" s="39" t="n">
        <x:v>0.1084915986</x:v>
      </x:c>
      <x:c r="AI392" s="39" t="n">
        <x:v>0.1735546725</x:v>
      </x:c>
      <x:c r="AJ392" s="39" t="n">
        <x:v>-0.2007850492</x:v>
      </x:c>
      <x:c r="AK392" s="39" t="n">
        <x:v>0.0554139636</x:v>
      </x:c>
      <x:c r="AL392" s="39" t="n">
        <x:v>-0.1591629825</x:v>
      </x:c>
      <x:c r="AM392" s="39" t="n">
        <x:v>-0.0037553002</x:v>
      </x:c>
      <x:c r="AN392" s="39" t="n">
        <x:v>0.0712167275</x:v>
      </x:c>
      <x:c r="AO392" s="39" t="n">
        <x:v>0.0131003901</x:v>
      </x:c>
      <x:c r="AP392" s="39" t="n">
        <x:v>0.1274850795</x:v>
      </x:c>
      <x:c r="AQ392" s="39" t="n">
        <x:v>-0.0070285498</x:v>
      </x:c>
      <x:c r="AR392" s="39" t="n">
        <x:v>0.0718489009</x:v>
      </x:c>
      <x:c r="AS392" s="39" t="n">
        <x:v>0.0144915495</x:v>
      </x:c>
    </x:row>
    <x:row r="393" ht="19" customHeight="1">
      <x:c r="A393" s="30" t="str">
        <x:v>Primary sector</x:v>
      </x:c>
      <x:c r="B393" s="40" t="d">
        <x:v>2025-09-08T00:00:00.000Z</x:v>
      </x:c>
      <x:c r="C393" s="39" t="n">
        <x:v>0.0519979931</x:v>
      </x:c>
      <x:c r="D393" s="39" t="n">
        <x:v>-0.2776455688</x:v>
      </x:c>
      <x:c r="E393" s="39" t="n">
        <x:v>-0.0431238458</x:v>
      </x:c>
      <x:c r="F393" s="39" t="n">
        <x:v>0.0129461899</x:v>
      </x:c>
      <x:c r="G393" s="39" t="n">
        <x:v>-0.050924334</x:v>
      </x:c>
      <x:c r="H393" s="39" t="n">
        <x:v>-0.2309725616</x:v>
      </x:c>
      <x:c r="I393" s="39" t="n">
        <x:v>-0.0859600124</x:v>
      </x:c>
      <x:c r="J393" s="39" t="n">
        <x:v>0.0531682744</x:v>
      </x:c>
      <x:c r="K393" s="39" t="n">
        <x:v>0.3068425768</x:v>
      </x:c>
      <x:c r="L393" s="39" t="n">
        <x:v>0.1210619816</x:v>
      </x:c>
      <x:c r="M393" s="39" t="n">
        <x:v>-0.0144950239</x:v>
      </x:c>
      <x:c r="N393" s="39" t="n">
        <x:v>-0.0206915822</x:v>
      </x:c>
      <x:c r="O393" s="39" t="n">
        <x:v>0.0017295261</x:v>
      </x:c>
      <x:c r="P393" s="39" t="n">
        <x:v>0.300222187</x:v>
      </x:c>
      <x:c r="Q393" s="39" t="n">
        <x:v>-0.0392460783</x:v>
      </x:c>
      <x:c r="R393" s="39" t="n">
        <x:v>0.1844202285</x:v>
      </x:c>
      <x:c r="S393" s="39" t="n">
        <x:v>-0.0732573133</x:v>
      </x:c>
      <x:c r="T393" s="39" t="n">
        <x:v>0.0839881683</x:v>
      </x:c>
      <x:c r="U393" s="39" t="n">
        <x:v>-0.2964175109</x:v>
      </x:c>
      <x:c r="V393" s="39" t="n">
        <x:v>-0.008831637</x:v>
      </x:c>
      <x:c r="W393" s="39" t="n">
        <x:v>-0.1343637718</x:v>
      </x:c>
      <x:c r="X393" s="39" t="n">
        <x:v>-0.088930766</x:v>
      </x:c>
      <x:c r="Y393" s="39" t="n">
        <x:v>0.2928323385</x:v>
      </x:c>
      <x:c r="Z393" s="39" t="n">
        <x:v>0.1090115526</x:v>
      </x:c>
      <x:c r="AA393" s="39" t="n">
        <x:v>-0.0147333691</x:v>
      </x:c>
      <x:c r="AB393" s="39" t="n">
        <x:v>-0.0285635761</x:v>
      </x:c>
      <x:c r="AC393" s="39" t="n">
        <x:v>-0.0771977133</x:v>
      </x:c>
      <x:c r="AD393" s="39" t="n">
        <x:v>0.0482696788</x:v>
      </x:c>
      <x:c r="AE393" s="39" t="n">
        <x:v>-0.0508644333</x:v>
      </x:c>
      <x:c r="AF393" s="39" t="n">
        <x:v>0.185964021</x:v>
      </x:c>
      <x:c r="AG393" s="39" t="n">
        <x:v>-0.1673662186</x:v>
      </x:c>
      <x:c r="AH393" s="39" t="n">
        <x:v>0.0280007383</x:v>
      </x:c>
      <x:c r="AI393" s="39" t="n">
        <x:v>-0.2158813363</x:v>
      </x:c>
      <x:c r="AJ393" s="39" t="n">
        <x:v>0.0665989524</x:v>
      </x:c>
      <x:c r="AK393" s="39" t="n">
        <x:v>-0.0130839671</x:v>
      </x:c>
      <x:c r="AL393" s="39" t="n">
        <x:v>0.088723252</x:v>
      </x:c>
      <x:c r="AM393" s="39" t="n">
        <x:v>-0.0536918357</x:v>
      </x:c>
      <x:c r="AN393" s="39" t="n">
        <x:v>0.1405711164</x:v>
      </x:c>
      <x:c r="AO393" s="39" t="n">
        <x:v>-0.0176544288</x:v>
      </x:c>
      <x:c r="AP393" s="39" t="n">
        <x:v>0.0346481442</x:v>
      </x:c>
      <x:c r="AQ393" s="39" t="n">
        <x:v>-0.0523637539</x:v>
      </x:c>
      <x:c r="AR393" s="39" t="n">
        <x:v>-0.0046671257</x:v>
      </x:c>
      <x:c r="AS393" s="39" t="n">
        <x:v>0.0175075484</x:v>
      </x:c>
    </x:row>
    <x:row r="394" ht="19" customHeight="1">
      <x:c r="A394" s="30" t="str">
        <x:v>Primary sector</x:v>
      </x:c>
      <x:c r="B394" s="40" t="d">
        <x:v>2025-10-06T00:00:00.000Z</x:v>
      </x:c>
      <x:c r="C394" s="39" t="n">
        <x:v>-0.1613835613</x:v>
      </x:c>
      <x:c r="D394" s="39" t="n">
        <x:v>0.077475164</x:v>
      </x:c>
      <x:c r="E394" s="39" t="n">
        <x:v>0.0181730049</x:v>
      </x:c>
      <x:c r="F394" s="39" t="n">
        <x:v>-0.0125606216</x:v>
      </x:c>
      <x:c r="G394" s="39" t="n">
        <x:v>-0.0287295894</x:v>
      </x:c>
      <x:c r="H394" s="39" t="n">
        <x:v>0.0944229972</x:v>
      </x:c>
      <x:c r="I394" s="39" t="n">
        <x:v>-0.0095422299</x:v>
      </x:c>
      <x:c r="J394" s="39" t="n">
        <x:v>0.1135687529</x:v>
      </x:c>
      <x:c r="K394" s="39" t="n">
        <x:v>0.0559162795</x:v>
      </x:c>
      <x:c r="L394" s="39" t="n">
        <x:v>0.0578138141</x:v>
      </x:c>
      <x:c r="M394" s="39" t="n">
        <x:v>0.0355461503</x:v>
      </x:c>
      <x:c r="N394" s="39" t="n">
        <x:v>0.1203683917</x:v>
      </x:c>
      <x:c r="O394" s="39" t="n">
        <x:v>-0.0434796574</x:v>
      </x:c>
      <x:c r="P394" s="39" t="n">
        <x:v>0.1216779696</x:v>
      </x:c>
      <x:c r="Q394" s="39" t="n">
        <x:v>0.0890588806</x:v>
      </x:c>
      <x:c r="R394" s="39" t="n">
        <x:v>-0.052393091</x:v>
      </x:c>
      <x:c r="S394" s="39" t="n">
        <x:v>0.0423034925</x:v>
      </x:c>
      <x:c r="T394" s="39" t="n">
        <x:v>-0.0605310939</x:v>
      </x:c>
      <x:c r="U394" s="39" t="n">
        <x:v>0.2070180289</x:v>
      </x:c>
      <x:c r="V394" s="39" t="n">
        <x:v>-0.0965649834</x:v>
      </x:c>
      <x:c r="W394" s="39" t="n">
        <x:v>0.0989340325</x:v>
      </x:c>
      <x:c r="X394" s="39" t="n">
        <x:v>-0.0735154415</x:v>
      </x:c>
      <x:c r="Y394" s="39" t="n">
        <x:v>0.0911468062</x:v>
      </x:c>
      <x:c r="Z394" s="39" t="n">
        <x:v>0.1712984485</x:v>
      </x:c>
      <x:c r="AA394" s="39" t="n">
        <x:v>-0.0346299033</x:v>
      </x:c>
      <x:c r="AB394" s="39" t="n">
        <x:v>0.6679653481</x:v>
      </x:c>
      <x:c r="AC394" s="39" t="n">
        <x:v>-0.2475974334</x:v>
      </x:c>
      <x:c r="AD394" s="39" t="n">
        <x:v>-0.0312250831</x:v>
      </x:c>
      <x:c r="AE394" s="39" t="n">
        <x:v>0.0241394559</x:v>
      </x:c>
      <x:c r="AF394" s="39" t="n">
        <x:v>-0.0800178498</x:v>
      </x:c>
      <x:c r="AG394" s="39" t="n">
        <x:v>0.0089205446</x:v>
      </x:c>
      <x:c r="AH394" s="39" t="n">
        <x:v>0.0596893369</x:v>
      </x:c>
      <x:c r="AI394" s="39" t="n">
        <x:v>0.3246186132</x:v>
      </x:c>
      <x:c r="AJ394" s="39" t="n">
        <x:v>0.0566705823</x:v>
      </x:c>
      <x:c r="AK394" s="39" t="n">
        <x:v>0.0105845744</x:v>
      </x:c>
      <x:c r="AL394" s="39" t="n">
        <x:v>0.1644579074</x:v>
      </x:c>
      <x:c r="AM394" s="39" t="n">
        <x:v>-0.0024304888</x:v>
      </x:c>
      <x:c r="AN394" s="39" t="n">
        <x:v>0.0227563274</x:v>
      </x:c>
      <x:c r="AO394" s="39" t="n">
        <x:v>-0.0309242869</x:v>
      </x:c>
      <x:c r="AP394" s="39" t="n">
        <x:v>-0.1145879284</x:v>
      </x:c>
      <x:c r="AQ394" s="39" t="n">
        <x:v>0.0429585461</x:v>
      </x:c>
      <x:c r="AR394" s="39" t="n">
        <x:v>0.045427525</x:v>
      </x:c>
      <x:c r="AS394" s="39" t="n">
        <x:v>0.0066940113</x:v>
      </x:c>
    </x:row>
    <x:row r="395" ht="19" customHeight="1">
      <x:c r="A395" s="30" t="str">
        <x:v>Primary sector</x:v>
      </x:c>
      <x:c r="B395" s="40" t="d">
        <x:v>2025-11-03T00:00:00.000Z</x:v>
      </x:c>
      <x:c r="C395" s="39" t="n">
        <x:v>-0.0785745478</x:v>
      </x:c>
      <x:c r="D395" s="39" t="n">
        <x:v>0.2840438484</x:v>
      </x:c>
      <x:c r="E395" s="39" t="n">
        <x:v>0.0762418959</x:v>
      </x:c>
      <x:c r="F395" s="39" t="n">
        <x:v>0.0296267245</x:v>
      </x:c>
      <x:c r="G395" s="39" t="n">
        <x:v>0.0229838273</x:v>
      </x:c>
      <x:c r="H395" s="39" t="n">
        <x:v>-0.3893271628</x:v>
      </x:c>
      <x:c r="I395" s="39" t="n">
        <x:v>0.1173582615</x:v>
      </x:c>
      <x:c r="J395" s="39" t="n">
        <x:v>0.1637441202</x:v>
      </x:c>
      <x:c r="K395" s="39" t="n">
        <x:v>0.3095222274</x:v>
      </x:c>
      <x:c r="L395" s="39" t="n">
        <x:v>0.0548814818</x:v>
      </x:c>
      <x:c r="M395" s="39" t="n">
        <x:v>-0.0685954598</x:v>
      </x:c>
      <x:c r="N395" s="39" t="n">
        <x:v>-0.0282845818</x:v>
      </x:c>
      <x:c r="O395" s="39" t="n">
        <x:v>-0.2499622871</x:v>
      </x:c>
      <x:c r="P395" s="39" t="n">
        <x:v>0.4439193118</x:v>
      </x:c>
      <x:c r="Q395" s="39" t="n">
        <x:v>-0.1028099594</x:v>
      </x:c>
      <x:c r="R395" s="39" t="n">
        <x:v>0.3590820851</x:v>
      </x:c>
      <x:c r="S395" s="39" t="n">
        <x:v>0.0226002792</x:v>
      </x:c>
      <x:c r="T395" s="39" t="n">
        <x:v>0.0568854681</x:v>
      </x:c>
      <x:c r="U395" s="39" t="n">
        <x:v>-0.1097998472</x:v>
      </x:c>
      <x:c r="V395" s="39" t="n">
        <x:v>-0.2636567672</x:v>
      </x:c>
      <x:c r="W395" s="39" t="n">
        <x:v>-0.1312569469</x:v>
      </x:c>
      <x:c r="X395" s="39" t="n">
        <x:v>-0.0465322651</x:v>
      </x:c>
      <x:c r="Y395" s="39" t="n">
        <x:v>0.3373619185</x:v>
      </x:c>
      <x:c r="Z395" s="39" t="n">
        <x:v>0.0150424042</x:v>
      </x:c>
      <x:c r="AA395" s="39" t="n">
        <x:v>-0.152340161</x:v>
      </x:c>
      <x:c r="AB395" s="39" t="n">
        <x:v>0.1586859505</x:v>
      </x:c>
      <x:c r="AC395" s="39" t="n">
        <x:v>-0.3620805183</x:v>
      </x:c>
      <x:c r="AD395" s="39" t="n">
        <x:v>0.0229355866</x:v>
      </x:c>
      <x:c r="AE395" s="39" t="n">
        <x:v>0.2106510857</x:v>
      </x:c>
      <x:c r="AF395" s="39" t="n">
        <x:v>-0.1126288693</x:v>
      </x:c>
      <x:c r="AG395" s="39" t="n">
        <x:v>-0.1131881583</x:v>
      </x:c>
      <x:c r="AH395" s="39" t="n">
        <x:v>0.1497784368</x:v>
      </x:c>
      <x:c r="AI395" s="39" t="n">
        <x:v>0.0669620183</x:v>
      </x:c>
      <x:c r="AJ395" s="39" t="n">
        <x:v>0.0845723372</x:v>
      </x:c>
      <x:c r="AK395" s="39" t="n">
        <x:v>0.1834432669</x:v>
      </x:c>
      <x:c r="AL395" s="39" t="n">
        <x:v>0.330876105</x:v>
      </x:c>
      <x:c r="AM395" s="39" t="n">
        <x:v>-0.0843135507</x:v>
      </x:c>
      <x:c r="AN395" s="39" t="n">
        <x:v>0.2267202285</x:v>
      </x:c>
      <x:c r="AO395" s="39" t="n">
        <x:v>-0.000656973</x:v>
      </x:c>
      <x:c r="AP395" s="39" t="n">
        <x:v>-0.03502558</x:v>
      </x:c>
      <x:c r="AQ395" s="39" t="n">
        <x:v>0.1085365477</x:v>
      </x:c>
      <x:c r="AR395" s="39" t="n">
        <x:v>-0.0561679217</x:v>
      </x:c>
      <x:c r="AS395" s="39" t="n">
        <x:v>0.0264241219</x:v>
      </x:c>
    </x:row>
    <x:row r="396" ht="19" customHeight="1">
      <x:c r="A396" s="30" t="str">
        <x:v>Primary sector</x:v>
      </x:c>
      <x:c r="B396" s="40" t="d">
        <x:v>2025-12-01T00:00:00.000Z</x:v>
      </x:c>
      <x:c r="C396" s="39" t="n">
        <x:v>-0.1905957823</x:v>
      </x:c>
      <x:c r="D396" s="39" t="n">
        <x:v>0.0250530545</x:v>
      </x:c>
      <x:c r="E396" s="39" t="n">
        <x:v>-0.0128440093</x:v>
      </x:c>
      <x:c r="F396" s="39" t="n">
        <x:v>0.0055324847</x:v>
      </x:c>
      <x:c r="G396" s="39" t="n">
        <x:v>-0.1441511382</x:v>
      </x:c>
      <x:c r="H396" s="39" t="n">
        <x:v>0.1054941073</x:v>
      </x:c>
      <x:c r="I396" s="39" t="n">
        <x:v>-0.1237266596</x:v>
      </x:c>
      <x:c r="J396" s="39" t="n">
        <x:v>-0.0466606</x:v>
      </x:c>
      <x:c r="K396" s="39" t="n">
        <x:v>-0.0624403364</x:v>
      </x:c>
      <x:c r="L396" s="39" t="n">
        <x:v>-0.0583342373</x:v>
      </x:c>
      <x:c r="M396" s="39" t="n">
        <x:v>-0.0832876893</x:v>
      </x:c>
      <x:c r="N396" s="39" t="n">
        <x:v>0.0379365952</x:v>
      </x:c>
      <x:c r="O396" s="39" t="n">
        <x:v>0.0794735744</x:v>
      </x:c>
      <x:c r="P396" s="39" t="n">
        <x:v>-0.0393354864</x:v>
      </x:c>
      <x:c r="Q396" s="39" t="n">
        <x:v>0.0151016209</x:v>
      </x:c>
      <x:c r="R396" s="39" t="n">
        <x:v>-0.0386266144</x:v>
      </x:c>
      <x:c r="S396" s="39" t="n">
        <x:v>-0.0629993725</x:v>
      </x:c>
      <x:c r="T396" s="39" t="n">
        <x:v>-0.2676104199</x:v>
      </x:c>
      <x:c r="U396" s="39" t="n">
        <x:v>0.054105693</x:v>
      </x:c>
      <x:c r="V396" s="39" t="n">
        <x:v>-0.1442136917</x:v>
      </x:c>
      <x:c r="W396" s="39" t="n">
        <x:v>-0.2078786064</x:v>
      </x:c>
      <x:c r="X396" s="39" t="n">
        <x:v>-0.0880282783</x:v>
      </x:c>
      <x:c r="Y396" s="39" t="n">
        <x:v>-0.1057083809</x:v>
      </x:c>
      <x:c r="Z396" s="39" t="n">
        <x:v>-0.0339566165</x:v>
      </x:c>
      <x:c r="AA396" s="39" t="n">
        <x:v>0.022318569</x:v>
      </x:c>
      <x:c r="AB396" s="39" t="n">
        <x:v>0.1589202227</x:v>
      </x:c>
      <x:c r="AC396" s="39" t="n">
        <x:v>0.2422186108</x:v>
      </x:c>
      <x:c r="AD396" s="39" t="n">
        <x:v>-0.0924505402</x:v>
      </x:c>
      <x:c r="AE396" s="39" t="n">
        <x:v>-0.1170122952</x:v>
      </x:c>
      <x:c r="AF396" s="39" t="n">
        <x:v>-0.0365053175</x:v>
      </x:c>
      <x:c r="AG396" s="39" t="n">
        <x:v>-0.0281700443</x:v>
      </x:c>
      <x:c r="AH396" s="39" t="n">
        <x:v>-0.0677819315</x:v>
      </x:c>
      <x:c r="AI396" s="39" t="n">
        <x:v>-0.1794788582</x:v>
      </x:c>
      <x:c r="AJ396" s="39" t="n">
        <x:v>0.025833228</x:v>
      </x:c>
      <x:c r="AK396" s="39" t="n">
        <x:v>0.0640420638</x:v>
      </x:c>
      <x:c r="AL396" s="39" t="n">
        <x:v>-0.1826850138</x:v>
      </x:c>
      <x:c r="AM396" s="39" t="n">
        <x:v>-0.0666594554</x:v>
      </x:c>
      <x:c r="AN396" s="39" t="n">
        <x:v>0.1003204097</x:v>
      </x:c>
      <x:c r="AO396" s="39" t="n">
        <x:v>-0.1077806795</x:v>
      </x:c>
      <x:c r="AP396" s="39" t="n">
        <x:v>-0.100969573</x:v>
      </x:c>
      <x:c r="AQ396" s="39" t="n">
        <x:v>-0.0649904362</x:v>
      </x:c>
      <x:c r="AR396" s="39" t="n">
        <x:v>0.0395076127</x:v>
      </x:c>
      <x:c r="AS396" s="39" t="n">
        <x:v>-0.0189596535</x:v>
      </x:c>
    </x:row>
    <x:row r="397" ht="19" customHeight="1">
      <x:c r="A397" s="30" t="str">
        <x:v>Primary sector</x:v>
      </x:c>
      <x:c r="B397" s="40" t="d">
        <x:v>2025-12-29T00:00:00.000Z</x:v>
      </x:c>
      <x:c r="C397" s="39" t="n">
        <x:v>-0.0312296009</x:v>
      </x:c>
      <x:c r="D397" s="39" t="n">
        <x:v>-0.0862888391</x:v>
      </x:c>
      <x:c r="E397" s="39" t="n">
        <x:v>-0.0432923948</x:v>
      </x:c>
      <x:c r="F397" s="39" t="n">
        <x:v>-0.0201445153</x:v>
      </x:c>
      <x:c r="G397" s="39" t="n">
        <x:v>0.1030715892</x:v>
      </x:c>
      <x:c r="H397" s="39" t="n">
        <x:v>0.1481672027</x:v>
      </x:c>
      <x:c r="I397" s="39" t="n">
        <x:v>-0.0010692517</x:v>
      </x:c>
      <x:c r="J397" s="39" t="n">
        <x:v>-0.0723449115</x:v>
      </x:c>
      <x:c r="K397" s="39" t="n">
        <x:v>0.0362541051</x:v>
      </x:c>
      <x:c r="L397" s="39" t="n">
        <x:v>-0.0876024758</x:v>
      </x:c>
      <x:c r="M397" s="39" t="n">
        <x:v>-0.0243453816</x:v>
      </x:c>
      <x:c r="N397" s="39" t="n">
        <x:v>-0.0471503216</x:v>
      </x:c>
      <x:c r="O397" s="39" t="n">
        <x:v>-0.0134266946</x:v>
      </x:c>
      <x:c r="P397" s="39" t="n">
        <x:v>0.1609918822</x:v>
      </x:c>
      <x:c r="Q397" s="39" t="n">
        <x:v>0.0333421562</x:v>
      </x:c>
      <x:c r="R397" s="39" t="n">
        <x:v>0.064391238</x:v>
      </x:c>
      <x:c r="S397" s="39" t="n">
        <x:v>-0.0081081224</x:v>
      </x:c>
      <x:c r="T397" s="39" t="n">
        <x:v>-0.043693026</x:v>
      </x:c>
      <x:c r="U397" s="39" t="n">
        <x:v>0.1213644592</x:v>
      </x:c>
      <x:c r="V397" s="39" t="n">
        <x:v>-0.0277964462</x:v>
      </x:c>
      <x:c r="W397" s="39" t="n">
        <x:v>-0.1406121722</x:v>
      </x:c>
      <x:c r="X397" s="39" t="n">
        <x:v>0.1031206095</x:v>
      </x:c>
      <x:c r="Y397" s="39" t="n">
        <x:v>0.421871039</x:v>
      </x:c>
      <x:c r="Z397" s="39" t="n">
        <x:v>0.0882993272</x:v>
      </x:c>
      <x:c r="AA397" s="39" t="n">
        <x:v>-0.0116831834</x:v>
      </x:c>
      <x:c r="AB397" s="39" t="n">
        <x:v>-0.135480298</x:v>
      </x:c>
      <x:c r="AC397" s="39" t="n">
        <x:v>-0.0562985674</x:v>
      </x:c>
      <x:c r="AD397" s="39" t="n">
        <x:v>-0.0208227849</x:v>
      </x:c>
      <x:c r="AE397" s="39" t="n">
        <x:v>0.0173106841</x:v>
      </x:c>
      <x:c r="AF397" s="39" t="n">
        <x:v>0.0726075826</x:v>
      </x:c>
      <x:c r="AG397" s="39" t="n">
        <x:v>0.1503773639</x:v>
      </x:c>
      <x:c r="AH397" s="39" t="n">
        <x:v>0.1427969406</x:v>
      </x:c>
      <x:c r="AI397" s="39" t="n">
        <x:v>0.0701433996</x:v>
      </x:c>
      <x:c r="AJ397" s="39" t="n">
        <x:v>0.04357771</x:v>
      </x:c>
      <x:c r="AK397" s="39" t="n">
        <x:v>-0.1610286653</x:v>
      </x:c>
      <x:c r="AL397" s="39" t="n">
        <x:v>0.1243956851</x:v>
      </x:c>
      <x:c r="AM397" s="39" t="n">
        <x:v>-0.0165354754</x:v>
      </x:c>
      <x:c r="AN397" s="39" t="n">
        <x:v>-0.0469326908</x:v>
      </x:c>
      <x:c r="AO397" s="39" t="n">
        <x:v>-0.0810838763</x:v>
      </x:c>
      <x:c r="AP397" s="39" t="n">
        <x:v>-0.0361097353</x:v>
      </x:c>
      <x:c r="AQ397" s="39" t="n">
        <x:v>-0.0354869091</x:v>
      </x:c>
      <x:c r="AR397" s="39" t="n">
        <x:v>-0.0067639429</x:v>
      </x:c>
      <x:c r="AS397" s="39" t="n">
        <x:v>-0.054348662</x:v>
      </x:c>
    </x:row>
    <x:row r="398" ht="19" customHeight="1">
      <x:c r="A398" s="30" t="str">
        <x:v>Primary sector</x:v>
      </x:c>
      <x:c r="B398" s="40" t="d">
        <x:v>2026-01-26T00:00:00.000Z</x:v>
      </x:c>
      <x:c r="C398" s="39" t="n">
        <x:v>-0.0919207995</x:v>
      </x:c>
      <x:c r="D398" s="39" t="n">
        <x:v>0.146525056</x:v>
      </x:c>
      <x:c r="E398" s="39" t="n">
        <x:v>-0.0020734548</x:v>
      </x:c>
      <x:c r="F398" s="39" t="n">
        <x:v>0.0223955241</x:v>
      </x:c>
      <x:c r="G398" s="39" t="n">
        <x:v>-0.0603605736</x:v>
      </x:c>
      <x:c r="H398" s="39" t="n">
        <x:v>-0.0221236072</x:v>
      </x:c>
      <x:c r="I398" s="39" t="n">
        <x:v>0.0413210919</x:v>
      </x:c>
      <x:c r="J398" s="39" t="n">
        <x:v>0.0089987882</x:v>
      </x:c>
      <x:c r="K398" s="39" t="n">
        <x:v>0.4729746437</x:v>
      </x:c>
      <x:c r="L398" s="39" t="n">
        <x:v>-0.0697378494</x:v>
      </x:c>
      <x:c r="M398" s="39" t="n">
        <x:v>0.1666748988</x:v>
      </x:c>
      <x:c r="N398" s="39" t="n">
        <x:v>0.0497887041</x:v>
      </x:c>
      <x:c r="O398" s="39" t="n">
        <x:v>-0.0602028481</x:v>
      </x:c>
      <x:c r="P398" s="39" t="n">
        <x:v>0.3453365574</x:v>
      </x:c>
      <x:c r="Q398" s="39" t="n">
        <x:v>0.067559878</x:v>
      </x:c>
      <x:c r="R398" s="39" t="n">
        <x:v>0.2247489811</x:v>
      </x:c>
      <x:c r="S398" s="39" t="n">
        <x:v>0.0432862749</x:v>
      </x:c>
      <x:c r="T398" s="39" t="n">
        <x:v>-0.1836852627</x:v>
      </x:c>
      <x:c r="U398" s="39" t="n">
        <x:v>0.3916382151</x:v>
      </x:c>
      <x:c r="V398" s="39" t="n">
        <x:v>-0.3308901665</x:v>
      </x:c>
      <x:c r="W398" s="39" t="n">
        <x:v>-0.1698596621</x:v>
      </x:c>
      <x:c r="X398" s="39" t="n">
        <x:v>0.0220000763</x:v>
      </x:c>
      <x:c r="Y398" s="39" t="n">
        <x:v>0.3111020735</x:v>
      </x:c>
      <x:c r="Z398" s="39" t="n">
        <x:v>-0.1026167442</x:v>
      </x:c>
      <x:c r="AA398" s="39" t="n">
        <x:v>-0.0104611403</x:v>
      </x:c>
      <x:c r="AB398" s="39" t="n">
        <x:v>0.2421789588</x:v>
      </x:c>
      <x:c r="AC398" s="39" t="n">
        <x:v>-0.1342509366</x:v>
      </x:c>
      <x:c r="AD398" s="39" t="n">
        <x:v>-0.0371288627</x:v>
      </x:c>
      <x:c r="AE398" s="39" t="n">
        <x:v>-0.0855936034</x:v>
      </x:c>
      <x:c r="AF398" s="39" t="n">
        <x:v>-0.1728500256</x:v>
      </x:c>
      <x:c r="AG398" s="39" t="n">
        <x:v>-0.1055900555</x:v>
      </x:c>
      <x:c r="AH398" s="39" t="n">
        <x:v>0.1260879015</x:v>
      </x:c>
      <x:c r="AI398" s="39" t="n">
        <x:v>0.0275880243</x:v>
      </x:c>
      <x:c r="AJ398" s="39" t="n">
        <x:v>-0.0640026764</x:v>
      </x:c>
      <x:c r="AK398" s="39" t="n">
        <x:v>-0.1110202764</x:v>
      </x:c>
      <x:c r="AL398" s="39" t="n">
        <x:v>0.0002997046</x:v>
      </x:c>
      <x:c r="AM398" s="39" t="n">
        <x:v>-0.1491953298</x:v>
      </x:c>
      <x:c r="AN398" s="39" t="n">
        <x:v>-0.0033099926</x:v>
      </x:c>
      <x:c r="AO398" s="39" t="n">
        <x:v>0.0217544154</x:v>
      </x:c>
      <x:c r="AP398" s="39" t="n">
        <x:v>0.046506442</x:v>
      </x:c>
      <x:c r="AQ398" s="39" t="n">
        <x:v>-0.0379612919</x:v>
      </x:c>
      <x:c r="AR398" s="39" t="n">
        <x:v>0.1091850658</x:v>
      </x:c>
      <x:c r="AS398" s="39" t="n">
        <x:v>-0.0681407303</x:v>
      </x:c>
    </x:row>
    <x:row r="399" ht="19" customHeight="1">
      <x:c r="A399" s="30" t="str">
        <x:v>Primary sector</x:v>
      </x:c>
      <x:c r="B399" s="40" t="d">
        <x:v>2026-02-23T00:00:00.000Z</x:v>
      </x:c>
      <x:c r="C399" s="39" t="n">
        <x:v>0.0250324713</x:v>
      </x:c>
      <x:c r="D399" s="39" t="n">
        <x:v>-0.2161776453</x:v>
      </x:c>
      <x:c r="E399" s="39" t="n">
        <x:v>-0.0021539712</x:v>
      </x:c>
      <x:c r="F399" s="39" t="n">
        <x:v>0.028747487</x:v>
      </x:c>
      <x:c r="G399" s="39" t="n">
        <x:v>-0.0888654635</x:v>
      </x:c>
      <x:c r="H399" s="39" t="n">
        <x:v>-0.0643519871</x:v>
      </x:c>
      <x:c r="I399" s="39" t="n">
        <x:v>-0.1326377192</x:v>
      </x:c>
      <x:c r="J399" s="39" t="n">
        <x:v>0.1940453024</x:v>
      </x:c>
      <x:c r="K399" s="39" t="n">
        <x:v>0.0717934778</x:v>
      </x:c>
      <x:c r="L399" s="39" t="n">
        <x:v>0.0227578339</x:v>
      </x:c>
      <x:c r="M399" s="39" t="n">
        <x:v>0.003269299</x:v>
      </x:c>
      <x:c r="N399" s="39" t="n">
        <x:v>0.0348372974</x:v>
      </x:c>
      <x:c r="O399" s="39" t="n">
        <x:v>-0.016002295</x:v>
      </x:c>
      <x:c r="P399" s="39" t="n">
        <x:v>0.1965710961</x:v>
      </x:c>
      <x:c r="Q399" s="39" t="n">
        <x:v>0.0325738716</x:v>
      </x:c>
      <x:c r="R399" s="39" t="n">
        <x:v>0.1243956662</x:v>
      </x:c>
      <x:c r="S399" s="39" t="n">
        <x:v>0.1108733069</x:v>
      </x:c>
      <x:c r="T399" s="39" t="n">
        <x:v>-0.0321311802</x:v>
      </x:c>
      <x:c r="U399" s="39" t="n">
        <x:v>0.1866657207</x:v>
      </x:c>
      <x:c r="V399" s="39" t="n">
        <x:v>0.0122958632</x:v>
      </x:c>
      <x:c r="W399" s="39" t="n">
        <x:v>0.2502481668</x:v>
      </x:c>
      <x:c r="X399" s="39" t="n">
        <x:v>0.0376686465</x:v>
      </x:c>
      <x:c r="Y399" s="39" t="n">
        <x:v>0.007958315</x:v>
      </x:c>
      <x:c r="Z399" s="39" t="n">
        <x:v>0.0317064202</x:v>
      </x:c>
      <x:c r="AA399" s="39" t="n">
        <x:v>0.0627686482</x:v>
      </x:c>
      <x:c r="AB399" s="39" t="n">
        <x:v>0.0268475371</x:v>
      </x:c>
      <x:c r="AC399" s="39" t="n">
        <x:v>-0.3896950684</x:v>
      </x:c>
      <x:c r="AD399" s="39" t="n">
        <x:v>0.0130174451</x:v>
      </x:c>
      <x:c r="AE399" s="39" t="n">
        <x:v>0.0032409693</x:v>
      </x:c>
      <x:c r="AF399" s="39" t="n">
        <x:v>0.0438753201</x:v>
      </x:c>
      <x:c r="AG399" s="39" t="n">
        <x:v>-0.130783076</x:v>
      </x:c>
      <x:c r="AH399" s="39" t="n">
        <x:v>-0.076049361</x:v>
      </x:c>
      <x:c r="AI399" s="39" t="n">
        <x:v>-0.1851108365</x:v>
      </x:c>
      <x:c r="AJ399" s="39" t="n">
        <x:v>-0.0682940136</x:v>
      </x:c>
      <x:c r="AK399" s="39" t="n">
        <x:v>0.0068155427</x:v>
      </x:c>
      <x:c r="AL399" s="39" t="n">
        <x:v>0.3415354362</x:v>
      </x:c>
      <x:c r="AM399" s="39" t="n">
        <x:v>-0.09763919</x:v>
      </x:c>
      <x:c r="AN399" s="39" t="n">
        <x:v>-0.1394167998</x:v>
      </x:c>
      <x:c r="AO399" s="39" t="n">
        <x:v>0.0128307662</x:v>
      </x:c>
      <x:c r="AP399" s="39" t="n">
        <x:v>0.0336113578</x:v>
      </x:c>
      <x:c r="AQ399" s="39" t="n">
        <x:v>-0.0130038649</x:v>
      </x:c>
      <x:c r="AR399" s="39" t="n">
        <x:v>0.0539065165</x:v>
      </x:c>
      <x:c r="AS399" s="39" t="n">
        <x:v>0.0759916219</x:v>
      </x:c>
    </x:row>
    <x:row r="400" ht="19" customHeight="1">
      <x:c r="A400" s="30" t="str">
        <x:v>Primary sector</x:v>
      </x:c>
      <x:c r="B400" s="40" t="d">
        <x:v>2026-03-23T00:00:00.000Z</x:v>
      </x:c>
      <x:c r="C400" s="39" t="n">
        <x:v>-0.0456497283</x:v>
      </x:c>
      <x:c r="D400" s="39" t="n">
        <x:v>0.2180701134</x:v>
      </x:c>
      <x:c r="E400" s="39" t="n">
        <x:v>0.0164767659</x:v>
      </x:c>
      <x:c r="F400" s="39" t="n">
        <x:v>0.0850561341</x:v>
      </x:c>
      <x:c r="G400" s="39" t="n">
        <x:v>-0.0083832787</x:v>
      </x:c>
      <x:c r="H400" s="39" t="n">
        <x:v>-0.1495418716</x:v>
      </x:c>
      <x:c r="I400" s="39" t="n">
        <x:v>0.1274786704</x:v>
      </x:c>
      <x:c r="J400" s="39" t="n">
        <x:v>0.1511894384</x:v>
      </x:c>
      <x:c r="K400" s="39" t="n">
        <x:v>0.0690219557</x:v>
      </x:c>
      <x:c r="L400" s="39" t="n">
        <x:v>0.1282718052</x:v>
      </x:c>
      <x:c r="M400" s="39" t="n">
        <x:v>0.4190470846</x:v>
      </x:c>
      <x:c r="N400" s="39" t="n">
        <x:v>0.0230336333</x:v>
      </x:c>
      <x:c r="O400" s="39" t="n">
        <x:v>-0.080104386</x:v>
      </x:c>
      <x:c r="P400" s="39" t="n">
        <x:v>0.0430703618</x:v>
      </x:c>
      <x:c r="Q400" s="39" t="n">
        <x:v>-0.0161210697</x:v>
      </x:c>
      <x:c r="R400" s="39" t="n">
        <x:v>0.5792666008</x:v>
      </x:c>
      <x:c r="S400" s="39" t="n">
        <x:v>-0.0770120832</x:v>
      </x:c>
      <x:c r="T400" s="39" t="n">
        <x:v>0.3964571954</x:v>
      </x:c>
      <x:c r="U400" s="39" t="n">
        <x:v>0.0809478119</x:v>
      </x:c>
      <x:c r="V400" s="39" t="n">
        <x:v>-0.1661348429</x:v>
      </x:c>
      <x:c r="W400" s="39" t="n">
        <x:v>0.1257232792</x:v>
      </x:c>
      <x:c r="X400" s="39" t="n">
        <x:v>-0.0109396614</x:v>
      </x:c>
      <x:c r="Y400" s="39" t="n">
        <x:v>-0.1516744763</x:v>
      </x:c>
      <x:c r="Z400" s="39" t="n">
        <x:v>-0.2104378279</x:v>
      </x:c>
      <x:c r="AA400" s="39" t="n">
        <x:v>-0.0842276698</x:v>
      </x:c>
      <x:c r="AB400" s="39" t="n">
        <x:v>0.3134036166</x:v>
      </x:c>
      <x:c r="AC400" s="39" t="n">
        <x:v>0.2234887312</x:v>
      </x:c>
      <x:c r="AD400" s="39" t="n">
        <x:v>-0.0761638792</x:v>
      </x:c>
      <x:c r="AE400" s="39" t="n">
        <x:v>-0.1265998912</x:v>
      </x:c>
      <x:c r="AF400" s="39" t="n">
        <x:v>0.2247149579</x:v>
      </x:c>
      <x:c r="AG400" s="39" t="n">
        <x:v>-0.0711887406</x:v>
      </x:c>
      <x:c r="AH400" s="39" t="n">
        <x:v>-0.1568591548</x:v>
      </x:c>
      <x:c r="AI400" s="39" t="n">
        <x:v>0.1418175222</x:v>
      </x:c>
      <x:c r="AJ400" s="39" t="n">
        <x:v>-0.0912321732</x:v>
      </x:c>
      <x:c r="AK400" s="39" t="n">
        <x:v>0.0255774991</x:v>
      </x:c>
      <x:c r="AL400" s="39" t="n">
        <x:v>0.0633819946</x:v>
      </x:c>
      <x:c r="AM400" s="39" t="n">
        <x:v>-0.0112650372</x:v>
      </x:c>
      <x:c r="AN400" s="39" t="n">
        <x:v>0.0081442686</x:v>
      </x:c>
      <x:c r="AO400" s="39" t="n">
        <x:v>0.101084194</x:v>
      </x:c>
      <x:c r="AP400" s="39" t="n">
        <x:v>-0.1114588771</x:v>
      </x:c>
      <x:c r="AQ400" s="39" t="n">
        <x:v>0.0239507699</x:v>
      </x:c>
      <x:c r="AR400" s="39" t="n">
        <x:v>0.0704646178</x:v>
      </x:c>
      <x:c r="AS400" s="39" t="n">
        <x:v>-0.0648793864</x:v>
      </x:c>
    </x:row>
    <x:row r="401" ht="19" customHeight="1">
      <x:c r="A401" s="30" t="str">
        <x:v>Primary sector</x:v>
      </x:c>
      <x:c r="B401" s="40" t="d">
        <x:v>2026-04-20T00:00:00.000Z</x:v>
      </x:c>
      <x:c r="C401" s="39" t="n">
        <x:v>-0.0827255493</x:v>
      </x:c>
      <x:c r="D401" s="39" t="n">
        <x:v>0.0248973299</x:v>
      </x:c>
      <x:c r="E401" s="39" t="n">
        <x:v>0.0382522156</x:v>
      </x:c>
      <x:c r="F401" s="39" t="n">
        <x:v>0.030572461</x:v>
      </x:c>
      <x:c r="G401" s="39" t="n">
        <x:v>-0.049890178</x:v>
      </x:c>
      <x:c r="H401" s="39" t="n">
        <x:v>0.0050055885</x:v>
      </x:c>
      <x:c r="I401" s="39" t="n">
        <x:v>0.1808951525</x:v>
      </x:c>
      <x:c r="J401" s="39" t="n">
        <x:v>0.0532054949</x:v>
      </x:c>
      <x:c r="K401" s="39" t="n">
        <x:v>0.0442738898</x:v>
      </x:c>
      <x:c r="L401" s="39" t="n">
        <x:v>0.0258388016</x:v>
      </x:c>
      <x:c r="M401" s="39" t="n">
        <x:v>-0.0865692833</x:v>
      </x:c>
      <x:c r="N401" s="39" t="n">
        <x:v>-0.0764855637</x:v>
      </x:c>
      <x:c r="O401" s="39" t="n">
        <x:v>-0.1769802723</x:v>
      </x:c>
      <x:c r="P401" s="39" t="n">
        <x:v>0.0228018873</x:v>
      </x:c>
      <x:c r="Q401" s="39" t="n">
        <x:v>0.025251204</x:v>
      </x:c>
      <x:c r="R401" s="39" t="n">
        <x:v>-0.1860248271</x:v>
      </x:c>
      <x:c r="S401" s="39" t="n">
        <x:v>-0.0934608438</x:v>
      </x:c>
      <x:c r="T401" s="39" t="n">
        <x:v>-0.2519726296</x:v>
      </x:c>
      <x:c r="U401" s="39" t="n">
        <x:v>-0.068525514</x:v>
      </x:c>
      <x:c r="V401" s="39" t="n">
        <x:v>-0.2565277711</x:v>
      </x:c>
      <x:c r="W401" s="39" t="n">
        <x:v>-0.151888032</x:v>
      </x:c>
      <x:c r="X401" s="39" t="n">
        <x:v>-0.0665623913</x:v>
      </x:c>
      <x:c r="Y401" s="39" t="n">
        <x:v>-0.0653435121</x:v>
      </x:c>
      <x:c r="Z401" s="39" t="n">
        <x:v>0.0958325326</x:v>
      </x:c>
      <x:c r="AA401" s="39" t="n">
        <x:v>-0.0165465164</x:v>
      </x:c>
      <x:c r="AB401" s="39" t="n">
        <x:v>0.5584783411</x:v>
      </x:c>
      <x:c r="AC401" s="39" t="n">
        <x:v>0.096396895</x:v>
      </x:c>
      <x:c r="AD401" s="39" t="n">
        <x:v>0.0148866585</x:v>
      </x:c>
      <x:c r="AE401" s="39" t="n">
        <x:v>-0.1279845769</x:v>
      </x:c>
      <x:c r="AF401" s="39" t="n">
        <x:v>-0.0707916144</x:v>
      </x:c>
      <x:c r="AG401" s="39" t="n">
        <x:v>0.0966061321</x:v>
      </x:c>
      <x:c r="AH401" s="39" t="n">
        <x:v>-0.1067279365</x:v>
      </x:c>
      <x:c r="AI401" s="39" t="n">
        <x:v>0.1809081609</x:v>
      </x:c>
      <x:c r="AJ401" s="39" t="n">
        <x:v>0.0180617599</x:v>
      </x:c>
      <x:c r="AK401" s="39" t="n">
        <x:v>-0.0488970917</x:v>
      </x:c>
      <x:c r="AL401" s="39" t="n">
        <x:v>0.140729165</x:v>
      </x:c>
      <x:c r="AM401" s="39" t="n">
        <x:v>0.0049264113</x:v>
      </x:c>
      <x:c r="AN401" s="39" t="n">
        <x:v>0.1141673718</x:v>
      </x:c>
      <x:c r="AO401" s="39" t="n">
        <x:v>-0.0666673003</x:v>
      </x:c>
      <x:c r="AP401" s="39" t="n">
        <x:v>-0.0909997603</x:v>
      </x:c>
      <x:c r="AQ401" s="39" t="n">
        <x:v>-0.013973511</x:v>
      </x:c>
      <x:c r="AR401" s="39" t="n">
        <x:v>-0.0404668364</x:v>
      </x:c>
      <x:c r="AS401" s="39" t="n">
        <x:v>-0.0583859577</x:v>
      </x:c>
    </x:row>
    <x:row r="402" ht="19" customHeight="1">
      <x:c r="A402" s="30" t="str">
        <x:v>Primary sector</x:v>
      </x:c>
      <x:c r="B402" s="40" t="d">
        <x:v>2026-05-18T00:00:00.000Z</x:v>
      </x:c>
      <x:c r="C402" s="39" t="n">
        <x:v>-0.1221704816</x:v>
      </x:c>
      <x:c r="D402" s="39" t="n">
        <x:v>0.0092998468</x:v>
      </x:c>
      <x:c r="E402" s="39" t="n">
        <x:v>0.0180089874</x:v>
      </x:c>
      <x:c r="F402" s="39" t="n">
        <x:v>0.012223025</x:v>
      </x:c>
      <x:c r="G402" s="39" t="n">
        <x:v>-0.0232625424</x:v>
      </x:c>
      <x:c r="H402" s="39" t="n">
        <x:v>-0.0639380653</x:v>
      </x:c>
      <x:c r="I402" s="39" t="n">
        <x:v>-0.0162441914</x:v>
      </x:c>
      <x:c r="J402" s="39" t="n">
        <x:v>0.0237437568</x:v>
      </x:c>
      <x:c r="K402" s="39" t="n">
        <x:v>0.151435223</x:v>
      </x:c>
      <x:c r="L402" s="39" t="n">
        <x:v>-0.0213954703</x:v>
      </x:c>
      <x:c r="M402" s="39" t="n">
        <x:v>0.0851208795</x:v>
      </x:c>
      <x:c r="N402" s="39" t="n">
        <x:v>0.034953299</x:v>
      </x:c>
      <x:c r="O402" s="39" t="n">
        <x:v>0.0614936648</x:v>
      </x:c>
      <x:c r="P402" s="39" t="n">
        <x:v>-0.0768383915</x:v>
      </x:c>
      <x:c r="Q402" s="39" t="n">
        <x:v>0.094388605</x:v>
      </x:c>
      <x:c r="R402" s="39" t="n">
        <x:v>0.484645302</x:v>
      </x:c>
      <x:c r="S402" s="39" t="n">
        <x:v>0.0194134139</x:v>
      </x:c>
      <x:c r="T402" s="39" t="n">
        <x:v>-0.0548434205</x:v>
      </x:c>
      <x:c r="U402" s="39" t="n">
        <x:v>-0.1383655526</x:v>
      </x:c>
      <x:c r="V402" s="39" t="n">
        <x:v>-0.02051098</x:v>
      </x:c>
      <x:c r="W402" s="39" t="n">
        <x:v>-0.0640882595</x:v>
      </x:c>
      <x:c r="X402" s="39" t="n">
        <x:v>-0.0778584972</x:v>
      </x:c>
      <x:c r="Y402" s="39" t="n">
        <x:v>0.2935724039</x:v>
      </x:c>
      <x:c r="Z402" s="39" t="n">
        <x:v>-0.140646634</x:v>
      </x:c>
      <x:c r="AA402" s="39" t="n">
        <x:v>-0.0136155642</x:v>
      </x:c>
      <x:c r="AB402" s="39" t="n">
        <x:v>-0.2292105417</x:v>
      </x:c>
      <x:c r="AC402" s="39" t="n">
        <x:v>-0.3159990507</x:v>
      </x:c>
      <x:c r="AD402" s="39" t="n">
        <x:v>-0.0606894605</x:v>
      </x:c>
      <x:c r="AE402" s="39" t="n">
        <x:v>0.2885278827</x:v>
      </x:c>
      <x:c r="AF402" s="39" t="n">
        <x:v>0.2451273722</x:v>
      </x:c>
      <x:c r="AG402" s="39" t="n">
        <x:v>-0.1092227139</x:v>
      </x:c>
      <x:c r="AH402" s="39" t="n">
        <x:v>-0.113308978</x:v>
      </x:c>
      <x:c r="AI402" s="39" t="n">
        <x:v>0.0629499459</x:v>
      </x:c>
      <x:c r="AJ402" s="39" t="n">
        <x:v>0.2109574726</x:v>
      </x:c>
      <x:c r="AK402" s="39" t="n">
        <x:v>0.0416434657</x:v>
      </x:c>
      <x:c r="AL402" s="39" t="n">
        <x:v>0.4202159913</x:v>
      </x:c>
      <x:c r="AM402" s="39" t="n">
        <x:v>-0.1407561833</x:v>
      </x:c>
      <x:c r="AN402" s="39" t="n">
        <x:v>0.1279755014</x:v>
      </x:c>
      <x:c r="AO402" s="39" t="n">
        <x:v>-0.0104857865</x:v>
      </x:c>
      <x:c r="AP402" s="39" t="n">
        <x:v>-0.1118274448</x:v>
      </x:c>
      <x:c r="AQ402" s="39" t="n">
        <x:v>0.0821510099</x:v>
      </x:c>
      <x:c r="AR402" s="39" t="n">
        <x:v>0.0113068247</x:v>
      </x:c>
      <x:c r="AS402" s="39" t="n">
        <x:v>0.0542329722</x:v>
      </x:c>
    </x:row>
    <x:row r="403" ht="19" customHeight="1">
      <x:c r="A403" s="30" t="str">
        <x:v>Primary sector</x:v>
      </x:c>
      <x:c r="B403" s="40" t="d">
        <x:v>2026-06-15T00:00:00.000Z</x:v>
      </x:c>
      <x:c r="C403" s="39" t="n">
        <x:v>0.0751109634</x:v>
      </x:c>
      <x:c r="D403" s="39" t="n">
        <x:v>-0.0264895788</x:v>
      </x:c>
      <x:c r="E403" s="39" t="n">
        <x:v>-0.0060173546</x:v>
      </x:c>
      <x:c r="F403" s="39" t="n">
        <x:v>-0.0064612812</x:v>
      </x:c>
      <x:c r="G403" s="39" t="n">
        <x:v>0.0917326784</x:v>
      </x:c>
      <x:c r="H403" s="39" t="n">
        <x:v>0.0290607784</x:v>
      </x:c>
      <x:c r="I403" s="39" t="n">
        <x:v>-0.1087601292</x:v>
      </x:c>
      <x:c r="J403" s="39" t="n">
        <x:v>0.0678965144</x:v>
      </x:c>
      <x:c r="K403" s="39" t="n">
        <x:v>0.2475096115</x:v>
      </x:c>
      <x:c r="L403" s="39" t="n">
        <x:v>0.1160502686</x:v>
      </x:c>
      <x:c r="M403" s="39" t="n">
        <x:v>-0.314621343</x:v>
      </x:c>
      <x:c r="N403" s="39" t="n">
        <x:v>-0.1306335913</x:v>
      </x:c>
      <x:c r="O403" s="39" t="n">
        <x:v>0.1051886723</x:v>
      </x:c>
      <x:c r="P403" s="39" t="n">
        <x:v>0.489911972</x:v>
      </x:c>
      <x:c r="Q403" s="39" t="n">
        <x:v>-0.0997367804</x:v>
      </x:c>
      <x:c r="R403" s="39" t="n">
        <x:v>-0.0802460046</x:v>
      </x:c>
      <x:c r="S403" s="39" t="n">
        <x:v>-0.2410870873</x:v>
      </x:c>
      <x:c r="T403" s="39" t="n">
        <x:v>0.022959805</x:v>
      </x:c>
      <x:c r="U403" s="39" t="n">
        <x:v>0.5871482615</x:v>
      </x:c>
      <x:c r="V403" s="39" t="n">
        <x:v>0.0226182579</x:v>
      </x:c>
      <x:c r="W403" s="39" t="n">
        <x:v>-0.1180105254</x:v>
      </x:c>
      <x:c r="X403" s="39" t="n">
        <x:v>-0.0481846357</x:v>
      </x:c>
      <x:c r="Y403" s="39" t="n">
        <x:v>0.4618111925</x:v>
      </x:c>
      <x:c r="Z403" s="39" t="n">
        <x:v>0.0080638467</x:v>
      </x:c>
      <x:c r="AA403" s="39" t="n">
        <x:v>0.0088733134</x:v>
      </x:c>
      <x:c r="AB403" s="39" t="n">
        <x:v>0.2490393382</x:v>
      </x:c>
      <x:c r="AC403" s="39" t="n">
        <x:v>0.1493584268</x:v>
      </x:c>
      <x:c r="AD403" s="39" t="n">
        <x:v>0.1202979123</x:v>
      </x:c>
      <x:c r="AE403" s="39" t="n">
        <x:v>-0.0307886731</x:v>
      </x:c>
      <x:c r="AF403" s="39" t="n">
        <x:v>0.2478603857</x:v>
      </x:c>
      <x:c r="AG403" s="39" t="n">
        <x:v>0.0589492668</x:v>
      </x:c>
      <x:c r="AH403" s="39" t="n">
        <x:v>-0.2031431411</x:v>
      </x:c>
      <x:c r="AI403" s="39" t="n">
        <x:v>0.0074646804</x:v>
      </x:c>
      <x:c r="AJ403" s="39" t="n">
        <x:v>0.0415663967</x:v>
      </x:c>
      <x:c r="AK403" s="39" t="n">
        <x:v>-0.032739436</x:v>
      </x:c>
      <x:c r="AL403" s="39" t="n">
        <x:v>-0.3578748728</x:v>
      </x:c>
      <x:c r="AM403" s="39" t="n">
        <x:v>-0.1945051926</x:v>
      </x:c>
      <x:c r="AN403" s="39" t="n">
        <x:v>0.0173052636</x:v>
      </x:c>
      <x:c r="AO403" s="39" t="n">
        <x:v>-0.0919212318</x:v>
      </x:c>
      <x:c r="AP403" s="39" t="n">
        <x:v>0.1625543216</x:v>
      </x:c>
      <x:c r="AQ403" s="39" t="n">
        <x:v>0.015016413</x:v>
      </x:c>
      <x:c r="AR403" s="39" t="n">
        <x:v>-0.0174218061</x:v>
      </x:c>
      <x:c r="AS403" s="39" t="n">
        <x:v>-0.0028535784</x:v>
      </x:c>
    </x:row>
    <x:row r="404" ht="19" customHeight="1">
      <x:c r="A404" s="30" t="str">
        <x:v>Primary sector</x:v>
      </x:c>
      <x:c r="B404" s="40" t="d">
        <x:v>2026-07-13T00:00:00.000Z</x:v>
      </x:c>
      <x:c r="C404" s="39" t="n">
        <x:v>-0.1080049445</x:v>
      </x:c>
      <x:c r="D404" s="39" t="n">
        <x:v>-0.2425622895</x:v>
      </x:c>
      <x:c r="E404" s="39" t="n">
        <x:v>0.0309393326</x:v>
      </x:c>
      <x:c r="F404" s="39" t="n">
        <x:v>-0.0009321588</x:v>
      </x:c>
      <x:c r="G404" s="39" t="n">
        <x:v>-0.0721787019</x:v>
      </x:c>
      <x:c r="H404" s="39" t="n">
        <x:v>0.1194911031</x:v>
      </x:c>
      <x:c r="I404" s="39" t="n">
        <x:v>0.0469541808</x:v>
      </x:c>
      <x:c r="J404" s="39" t="n">
        <x:v>-0.2736034154</x:v>
      </x:c>
      <x:c r="K404" s="39" t="n">
        <x:v>-0.1844934872</x:v>
      </x:c>
      <x:c r="L404" s="39" t="n">
        <x:v>0.2855558699</x:v>
      </x:c>
      <x:c r="M404" s="39" t="n">
        <x:v>0.2562097306</x:v>
      </x:c>
      <x:c r="N404" s="39" t="n">
        <x:v>0.164398361</x:v>
      </x:c>
      <x:c r="O404" s="39" t="n">
        <x:v>-0.0327847747</x:v>
      </x:c>
      <x:c r="P404" s="39" t="n">
        <x:v>-0.3981577976</x:v>
      </x:c>
      <x:c r="Q404" s="39" t="n">
        <x:v>0.1581678572</x:v>
      </x:c>
      <x:c r="R404" s="39" t="n">
        <x:v>-0.2976383801</x:v>
      </x:c>
      <x:c r="S404" s="39" t="n">
        <x:v>0.0061570756</x:v>
      </x:c>
      <x:c r="T404" s="39" t="n">
        <x:v>0.3699706923</x:v>
      </x:c>
      <x:c r="U404" s="39" t="n">
        <x:v>-0.1028402639</x:v>
      </x:c>
      <x:c r="V404" s="39" t="n">
        <x:v>0.310304024</x:v>
      </x:c>
      <x:c r="W404" s="39" t="n">
        <x:v>-0.2078835566</x:v>
      </x:c>
      <x:c r="X404" s="39" t="n">
        <x:v>0.1049502519</x:v>
      </x:c>
      <x:c r="Y404" s="39" t="n">
        <x:v>-0.1439514444</x:v>
      </x:c>
      <x:c r="Z404" s="39" t="n">
        <x:v>-0.2124177202</x:v>
      </x:c>
      <x:c r="AA404" s="39" t="n">
        <x:v>-0.0313882662</x:v>
      </x:c>
      <x:c r="AB404" s="39" t="n">
        <x:v>0.4780127164</x:v>
      </x:c>
      <x:c r="AC404" s="39" t="n">
        <x:v>-0.2598994846</x:v>
      </x:c>
      <x:c r="AD404" s="39" t="n">
        <x:v>-0.0411756551</x:v>
      </x:c>
      <x:c r="AE404" s="39" t="n">
        <x:v>0.045372025</x:v>
      </x:c>
      <x:c r="AF404" s="39" t="n">
        <x:v>0.1001077452</x:v>
      </x:c>
      <x:c r="AG404" s="39" t="n">
        <x:v>-0.0358372308</x:v>
      </x:c>
      <x:c r="AH404" s="39" t="n">
        <x:v>-0.093772898</x:v>
      </x:c>
      <x:c r="AI404" s="39" t="n">
        <x:v>0.2594015417</x:v>
      </x:c>
      <x:c r="AJ404" s="39" t="n">
        <x:v>-0.0823886906</x:v>
      </x:c>
      <x:c r="AK404" s="39" t="n">
        <x:v>0.1877223908</x:v>
      </x:c>
      <x:c r="AL404" s="39" t="n">
        <x:v>-0.2703078306</x:v>
      </x:c>
      <x:c r="AM404" s="39" t="n">
        <x:v>0.1269793883</x:v>
      </x:c>
      <x:c r="AN404" s="39" t="n">
        <x:v>-0.107141093</x:v>
      </x:c>
      <x:c r="AO404" s="39" t="n">
        <x:v>-0.0448324342</x:v>
      </x:c>
      <x:c r="AP404" s="39" t="n">
        <x:v>0.0440494644</x:v>
      </x:c>
      <x:c r="AQ404" s="39" t="n">
        <x:v>-0.0017896776</x:v>
      </x:c>
      <x:c r="AR404" s="39" t="n">
        <x:v>0.0264427273</x:v>
      </x:c>
      <x:c r="AS404" s="39" t="n">
        <x:v>-0.0399704163</x:v>
      </x:c>
    </x:row>
    <x:row r="405" ht="19" customHeight="1">
      <x:c r="A405" s="30" t="str">
        <x:v>Primary sector</x:v>
      </x:c>
      <x:c r="B405" s="40" t="d">
        <x:v>2026-08-10T00:00:00.000Z</x:v>
      </x:c>
      <x:c r="C405" s="39" t="n">
        <x:v>-0.1219219432</x:v>
      </x:c>
      <x:c r="D405" s="39" t="n">
        <x:v>-0.0271509515</x:v>
      </x:c>
      <x:c r="E405" s="39" t="n">
        <x:v>-0.0414380121</x:v>
      </x:c>
      <x:c r="F405" s="39" t="n">
        <x:v>-0.0471141125</x:v>
      </x:c>
      <x:c r="G405" s="39" t="n">
        <x:v>0.0812439309</x:v>
      </x:c>
      <x:c r="H405" s="39" t="n">
        <x:v>-0.0861353631</x:v>
      </x:c>
      <x:c r="I405" s="39" t="n">
        <x:v>0.0346682885</x:v>
      </x:c>
      <x:c r="J405" s="39" t="n">
        <x:v>-0.054236426</x:v>
      </x:c>
      <x:c r="K405" s="39" t="n">
        <x:v>0.0534213312</x:v>
      </x:c>
      <x:c r="L405" s="39" t="n">
        <x:v>0.0123398957</x:v>
      </x:c>
      <x:c r="M405" s="39" t="n">
        <x:v>-0.0256181655</x:v>
      </x:c>
      <x:c r="N405" s="39" t="n">
        <x:v>-0.0380852726</x:v>
      </x:c>
      <x:c r="O405" s="39" t="n">
        <x:v>-0.0385551595</x:v>
      </x:c>
      <x:c r="P405" s="39" t="n">
        <x:v>-0.141775341</x:v>
      </x:c>
      <x:c r="Q405" s="39" t="n">
        <x:v>-0.1339499332</x:v>
      </x:c>
      <x:c r="R405" s="39" t="n">
        <x:v>-0.0318688173</x:v>
      </x:c>
      <x:c r="S405" s="39" t="n">
        <x:v>0.1384668454</x:v>
      </x:c>
      <x:c r="T405" s="39" t="n">
        <x:v>0.0956080531</x:v>
      </x:c>
      <x:c r="U405" s="39" t="n">
        <x:v>-0.0284942127</x:v>
      </x:c>
      <x:c r="V405" s="39" t="n">
        <x:v>0.2253070459</x:v>
      </x:c>
      <x:c r="W405" s="39" t="n">
        <x:v>0.1717265798</x:v>
      </x:c>
      <x:c r="X405" s="39" t="n">
        <x:v>0.1594078595</x:v>
      </x:c>
      <x:c r="Y405" s="39" t="n">
        <x:v>-0.0274326047</x:v>
      </x:c>
      <x:c r="Z405" s="39" t="n">
        <x:v>0.3657944333</x:v>
      </x:c>
      <x:c r="AA405" s="39" t="n">
        <x:v>-0.0105146532</x:v>
      </x:c>
      <x:c r="AB405" s="39" t="n">
        <x:v>0.2756950629</x:v>
      </x:c>
      <x:c r="AC405" s="39" t="n">
        <x:v>-0.0879544532</x:v>
      </x:c>
      <x:c r="AD405" s="39" t="n">
        <x:v>-0.0743260778</x:v>
      </x:c>
      <x:c r="AE405" s="39" t="n">
        <x:v>-0.0525591347</x:v>
      </x:c>
      <x:c r="AF405" s="39" t="n">
        <x:v>0.271327738</x:v>
      </x:c>
      <x:c r="AG405" s="39" t="n">
        <x:v>0.0479948357</x:v>
      </x:c>
      <x:c r="AH405" s="39" t="n">
        <x:v>0.3032526018</x:v>
      </x:c>
      <x:c r="AI405" s="39" t="n">
        <x:v>-0.2107953261</x:v>
      </x:c>
      <x:c r="AJ405" s="39" t="n">
        <x:v>-0.0853762553</x:v>
      </x:c>
      <x:c r="AK405" s="39" t="n">
        <x:v>-0.0622639149</x:v>
      </x:c>
      <x:c r="AL405" s="39" t="n">
        <x:v>-0.0204637178</x:v>
      </x:c>
      <x:c r="AM405" s="39" t="n">
        <x:v>0.2785543884</x:v>
      </x:c>
      <x:c r="AN405" s="39" t="n">
        <x:v>-0.0928670529</x:v>
      </x:c>
      <x:c r="AO405" s="39" t="n">
        <x:v>-0.0117593913</x:v>
      </x:c>
      <x:c r="AP405" s="39" t="n">
        <x:v>-0.0396130624</x:v>
      </x:c>
      <x:c r="AQ405" s="39" t="n">
        <x:v>0.0971665852</x:v>
      </x:c>
      <x:c r="AR405" s="39" t="n">
        <x:v>-0.0007928189</x:v>
      </x:c>
      <x:c r="AS405" s="39" t="n">
        <x:v>0.011018352</x:v>
      </x:c>
    </x:row>
    <x:row r="406" ht="19" customHeight="1">
      <x:c r="A406" s="30" t="str">
        <x:v>Other sectors</x:v>
      </x:c>
      <x:c r="B406" s="40" t="d">
        <x:v>2020-07-20T00:00:00.000Z</x:v>
      </x:c>
      <x:c r="C406" s="39" t="n">
        <x:v>-0.0319830897</x:v>
      </x:c>
      <x:c r="D406" s="39" t="n">
        <x:v>0.0737330718</x:v>
      </x:c>
      <x:c r="E406" s="39" t="n">
        <x:v>0.0153047294</x:v>
      </x:c>
      <x:c r="F406" s="39" t="n">
        <x:v>0.0093495032</x:v>
      </x:c>
      <x:c r="G406" s="39" t="n">
        <x:v>0.0031390954</x:v>
      </x:c>
      <x:c r="H406" s="39" t="n">
        <x:v>0.0093531824</x:v>
      </x:c>
      <x:c r="I406" s="39" t="n">
        <x:v>0.0272180612</x:v>
      </x:c>
      <x:c r="J406" s="39" t="n">
        <x:v>-0.0733756357</x:v>
      </x:c>
      <x:c r="K406" s="39" t="n">
        <x:v>-0.0169298561</x:v>
      </x:c>
      <x:c r="L406" s="39" t="n">
        <x:v>-0.0134719732</x:v>
      </x:c>
      <x:c r="M406" s="39" t="n">
        <x:v>0.0210394853</x:v>
      </x:c>
      <x:c r="N406" s="39" t="n">
        <x:v>-0.0305603195</x:v>
      </x:c>
      <x:c r="O406" s="39" t="n">
        <x:v>0.0625062848</x:v>
      </x:c>
      <x:c r="P406" s="39" t="n">
        <x:v>-0.0214574969</x:v>
      </x:c>
      <x:c r="Q406" s="39" t="n">
        <x:v>-0.0800359819</x:v>
      </x:c>
      <x:c r="R406" s="39"/>
      <x:c r="S406" s="39" t="n">
        <x:v>-0.0115487663</x:v>
      </x:c>
      <x:c r="T406" s="39" t="n">
        <x:v>-0.0481081376</x:v>
      </x:c>
      <x:c r="U406" s="39" t="n">
        <x:v>0.0442086909</x:v>
      </x:c>
      <x:c r="V406" s="39" t="n">
        <x:v>-0.1358066311</x:v>
      </x:c>
      <x:c r="W406" s="39" t="n">
        <x:v>0.0065175569</x:v>
      </x:c>
      <x:c r="X406" s="39" t="n">
        <x:v>0.0203274865</x:v>
      </x:c>
      <x:c r="Y406" s="39" t="n">
        <x:v>0.0020055533</x:v>
      </x:c>
      <x:c r="Z406" s="39" t="n">
        <x:v>-0.0236104511</x:v>
      </x:c>
      <x:c r="AA406" s="39" t="n">
        <x:v>0.0273826307</x:v>
      </x:c>
      <x:c r="AB406" s="39" t="n">
        <x:v>0.0067812947</x:v>
      </x:c>
      <x:c r="AC406" s="39"/>
      <x:c r="AD406" s="39" t="n">
        <x:v>0.0002560633</x:v>
      </x:c>
      <x:c r="AE406" s="39" t="n">
        <x:v>0.0111874183</x:v>
      </x:c>
      <x:c r="AF406" s="39" t="n">
        <x:v>-0.015587452</x:v>
      </x:c>
      <x:c r="AG406" s="39" t="n">
        <x:v>-0.0429076261</x:v>
      </x:c>
      <x:c r="AH406" s="39" t="n">
        <x:v>-0.0188313016</x:v>
      </x:c>
      <x:c r="AI406" s="39" t="n">
        <x:v>0.1601588673</x:v>
      </x:c>
      <x:c r="AJ406" s="39" t="n">
        <x:v>-0.0514333579</x:v>
      </x:c>
      <x:c r="AK406" s="39" t="n">
        <x:v>-0.029691452</x:v>
      </x:c>
      <x:c r="AL406" s="39" t="n">
        <x:v>-0.0032827357</x:v>
      </x:c>
      <x:c r="AM406" s="39" t="n">
        <x:v>-0.010439269</x:v>
      </x:c>
      <x:c r="AN406" s="39" t="n">
        <x:v>0.0148778288</x:v>
      </x:c>
      <x:c r="AO406" s="39" t="n">
        <x:v>-0.0077415412</x:v>
      </x:c>
      <x:c r="AP406" s="39" t="n">
        <x:v>0.0015211548</x:v>
      </x:c>
      <x:c r="AQ406" s="39" t="n">
        <x:v>0.0209491438</x:v>
      </x:c>
      <x:c r="AR406" s="39" t="n">
        <x:v>-0.0120494242</x:v>
      </x:c>
      <x:c r="AS406" s="39" t="n">
        <x:v>0.0193013016</x:v>
      </x:c>
    </x:row>
    <x:row r="407" ht="19" customHeight="1">
      <x:c r="A407" s="30" t="str">
        <x:v>Other sectors</x:v>
      </x:c>
      <x:c r="B407" s="40" t="d">
        <x:v>2020-08-17T00:00:00.000Z</x:v>
      </x:c>
      <x:c r="C407" s="39" t="n">
        <x:v>-0.0296865636</x:v>
      </x:c>
      <x:c r="D407" s="39" t="n">
        <x:v>-0.1115402895</x:v>
      </x:c>
      <x:c r="E407" s="39" t="n">
        <x:v>-0.0475901546</x:v>
      </x:c>
      <x:c r="F407" s="39" t="n">
        <x:v>-0.0194859186</x:v>
      </x:c>
      <x:c r="G407" s="39" t="n">
        <x:v>0.0235507593</x:v>
      </x:c>
      <x:c r="H407" s="39" t="n">
        <x:v>0.0181265366</x:v>
      </x:c>
      <x:c r="I407" s="39" t="n">
        <x:v>-0.0181014685</x:v>
      </x:c>
      <x:c r="J407" s="39" t="n">
        <x:v>0.0227132708</x:v>
      </x:c>
      <x:c r="K407" s="39" t="n">
        <x:v>-0.1722313159</x:v>
      </x:c>
      <x:c r="L407" s="39" t="n">
        <x:v>-0.0282055293</x:v>
      </x:c>
      <x:c r="M407" s="39" t="n">
        <x:v>0.0577263002</x:v>
      </x:c>
      <x:c r="N407" s="39" t="n">
        <x:v>0.0572200649</x:v>
      </x:c>
      <x:c r="O407" s="39" t="n">
        <x:v>-0.0016343591</x:v>
      </x:c>
      <x:c r="P407" s="39" t="n">
        <x:v>-0.2786214655</x:v>
      </x:c>
      <x:c r="Q407" s="39" t="n">
        <x:v>-0.0083018917</x:v>
      </x:c>
      <x:c r="R407" s="39"/>
      <x:c r="S407" s="39" t="n">
        <x:v>0.0019707658</x:v>
      </x:c>
      <x:c r="T407" s="39" t="n">
        <x:v>-0.0092512039</x:v>
      </x:c>
      <x:c r="U407" s="39" t="n">
        <x:v>-0.0671552654</x:v>
      </x:c>
      <x:c r="V407" s="39" t="n">
        <x:v>-0.0777826829</x:v>
      </x:c>
      <x:c r="W407" s="39" t="n">
        <x:v>-0.0245158806</x:v>
      </x:c>
      <x:c r="X407" s="39" t="n">
        <x:v>-0.0146728572</x:v>
      </x:c>
      <x:c r="Y407" s="39" t="n">
        <x:v>-0.2117262428</x:v>
      </x:c>
      <x:c r="Z407" s="39" t="n">
        <x:v>-0.0409881078</x:v>
      </x:c>
      <x:c r="AA407" s="39" t="n">
        <x:v>0.0194183991</x:v>
      </x:c>
      <x:c r="AB407" s="39" t="n">
        <x:v>-0.1398947898</x:v>
      </x:c>
      <x:c r="AC407" s="39"/>
      <x:c r="AD407" s="39" t="n">
        <x:v>0.0221855892</x:v>
      </x:c>
      <x:c r="AE407" s="39" t="n">
        <x:v>-0.067135853</x:v>
      </x:c>
      <x:c r="AF407" s="39" t="n">
        <x:v>-0.0490974625</x:v>
      </x:c>
      <x:c r="AG407" s="39" t="n">
        <x:v>-0.0641498893</x:v>
      </x:c>
      <x:c r="AH407" s="39" t="n">
        <x:v>-0.081147674</x:v>
      </x:c>
      <x:c r="AI407" s="39" t="n">
        <x:v>-0.0345772023</x:v>
      </x:c>
      <x:c r="AJ407" s="39" t="n">
        <x:v>-0.0708438471</x:v>
      </x:c>
      <x:c r="AK407" s="39" t="n">
        <x:v>0.0224563809</x:v>
      </x:c>
      <x:c r="AL407" s="39" t="n">
        <x:v>0.0280397042</x:v>
      </x:c>
      <x:c r="AM407" s="39" t="n">
        <x:v>-0.0077042297</x:v>
      </x:c>
      <x:c r="AN407" s="39" t="n">
        <x:v>-0.0528464845</x:v>
      </x:c>
      <x:c r="AO407" s="39" t="n">
        <x:v>-0.0140538936</x:v>
      </x:c>
      <x:c r="AP407" s="39" t="n">
        <x:v>0.0012625463</x:v>
      </x:c>
      <x:c r="AQ407" s="39" t="n">
        <x:v>-0.034818743</x:v>
      </x:c>
      <x:c r="AR407" s="39" t="n">
        <x:v>0.0072441142</x:v>
      </x:c>
      <x:c r="AS407" s="39" t="n">
        <x:v>0.0312806649</x:v>
      </x:c>
    </x:row>
    <x:row r="408" ht="19" customHeight="1">
      <x:c r="A408" s="30" t="str">
        <x:v>Other sectors</x:v>
      </x:c>
      <x:c r="B408" s="40" t="d">
        <x:v>2020-09-14T00:00:00.000Z</x:v>
      </x:c>
      <x:c r="C408" s="39" t="n">
        <x:v>-0.0237738334</x:v>
      </x:c>
      <x:c r="D408" s="39" t="n">
        <x:v>-0.1244220497</x:v>
      </x:c>
      <x:c r="E408" s="39" t="n">
        <x:v>-0.005357442</x:v>
      </x:c>
      <x:c r="F408" s="39" t="n">
        <x:v>-0.0157965357</x:v>
      </x:c>
      <x:c r="G408" s="39" t="n">
        <x:v>0.0180187753</x:v>
      </x:c>
      <x:c r="H408" s="39" t="n">
        <x:v>-0.0358770238</x:v>
      </x:c>
      <x:c r="I408" s="39" t="n">
        <x:v>-0.0082267807</x:v>
      </x:c>
      <x:c r="J408" s="39" t="n">
        <x:v>-0.0235508935</x:v>
      </x:c>
      <x:c r="K408" s="39" t="n">
        <x:v>0.089270864</x:v>
      </x:c>
      <x:c r="L408" s="39" t="n">
        <x:v>-0.0010783705</x:v>
      </x:c>
      <x:c r="M408" s="39" t="n">
        <x:v>0.0103066096</x:v>
      </x:c>
      <x:c r="N408" s="39" t="n">
        <x:v>0.0339342958</x:v>
      </x:c>
      <x:c r="O408" s="39" t="n">
        <x:v>-0.0476452041</x:v>
      </x:c>
      <x:c r="P408" s="39" t="n">
        <x:v>0.0191861226</x:v>
      </x:c>
      <x:c r="Q408" s="39" t="n">
        <x:v>0.0208996183</x:v>
      </x:c>
      <x:c r="R408" s="39"/>
      <x:c r="S408" s="39" t="n">
        <x:v>-0.0124966098</x:v>
      </x:c>
      <x:c r="T408" s="39" t="n">
        <x:v>-0.0138897041</x:v>
      </x:c>
      <x:c r="U408" s="39" t="n">
        <x:v>0.0126198426</x:v>
      </x:c>
      <x:c r="V408" s="39" t="n">
        <x:v>-0.0470148503</x:v>
      </x:c>
      <x:c r="W408" s="39" t="n">
        <x:v>0.0122803236</x:v>
      </x:c>
      <x:c r="X408" s="39" t="n">
        <x:v>0.0469154071</x:v>
      </x:c>
      <x:c r="Y408" s="39" t="n">
        <x:v>0.1174986606</x:v>
      </x:c>
      <x:c r="Z408" s="39" t="n">
        <x:v>-0.0721010303</x:v>
      </x:c>
      <x:c r="AA408" s="39" t="n">
        <x:v>0.0158457637</x:v>
      </x:c>
      <x:c r="AB408" s="39" t="n">
        <x:v>-0.0770892553</x:v>
      </x:c>
      <x:c r="AC408" s="39"/>
      <x:c r="AD408" s="39" t="n">
        <x:v>-0.0109079803</x:v>
      </x:c>
      <x:c r="AE408" s="39" t="n">
        <x:v>0.0343342833</x:v>
      </x:c>
      <x:c r="AF408" s="39" t="n">
        <x:v>0.0347990883</x:v>
      </x:c>
      <x:c r="AG408" s="39" t="n">
        <x:v>-0.0522893204</x:v>
      </x:c>
      <x:c r="AH408" s="39" t="n">
        <x:v>-0.0838524385</x:v>
      </x:c>
      <x:c r="AI408" s="39" t="n">
        <x:v>-0.022614631</x:v>
      </x:c>
      <x:c r="AJ408" s="39" t="n">
        <x:v>0.0162064141</x:v>
      </x:c>
      <x:c r="AK408" s="39" t="n">
        <x:v>-0.0184559327</x:v>
      </x:c>
      <x:c r="AL408" s="39" t="n">
        <x:v>-0.0616816996</x:v>
      </x:c>
      <x:c r="AM408" s="39" t="n">
        <x:v>0.0079871577</x:v>
      </x:c>
      <x:c r="AN408" s="39" t="n">
        <x:v>0.0063679711</x:v>
      </x:c>
      <x:c r="AO408" s="39" t="n">
        <x:v>-0.0217368564</x:v>
      </x:c>
      <x:c r="AP408" s="39" t="n">
        <x:v>-0.029693009</x:v>
      </x:c>
      <x:c r="AQ408" s="39" t="n">
        <x:v>0.0388223805</x:v>
      </x:c>
      <x:c r="AR408" s="39" t="n">
        <x:v>-0.0251775377</x:v>
      </x:c>
      <x:c r="AS408" s="39" t="n">
        <x:v>0.0112434367</x:v>
      </x:c>
    </x:row>
    <x:row r="409" ht="19" customHeight="1">
      <x:c r="A409" s="30" t="str">
        <x:v>Other sectors</x:v>
      </x:c>
      <x:c r="B409" s="40" t="d">
        <x:v>2020-10-12T00:00:00.000Z</x:v>
      </x:c>
      <x:c r="C409" s="39" t="n">
        <x:v>-0.0475163774</x:v>
      </x:c>
      <x:c r="D409" s="39" t="n">
        <x:v>0.0011558666</x:v>
      </x:c>
      <x:c r="E409" s="39" t="n">
        <x:v>0.0495884554</x:v>
      </x:c>
      <x:c r="F409" s="39" t="n">
        <x:v>0.0035295668</x:v>
      </x:c>
      <x:c r="G409" s="39" t="n">
        <x:v>0.003037499</x:v>
      </x:c>
      <x:c r="H409" s="39" t="n">
        <x:v>0.0369774313</x:v>
      </x:c>
      <x:c r="I409" s="39" t="n">
        <x:v>0.0038262463</x:v>
      </x:c>
      <x:c r="J409" s="39" t="n">
        <x:v>-0.0192895742</x:v>
      </x:c>
      <x:c r="K409" s="39" t="n">
        <x:v>-0.0322839245</x:v>
      </x:c>
      <x:c r="L409" s="39" t="n">
        <x:v>-0.0574426684</x:v>
      </x:c>
      <x:c r="M409" s="39" t="n">
        <x:v>-0.0429513897</x:v>
      </x:c>
      <x:c r="N409" s="39" t="n">
        <x:v>0.0125250002</x:v>
      </x:c>
      <x:c r="O409" s="39" t="n">
        <x:v>0.0683778347</x:v>
      </x:c>
      <x:c r="P409" s="39" t="n">
        <x:v>-0.0351503316</x:v>
      </x:c>
      <x:c r="Q409" s="39" t="n">
        <x:v>0.0322318576</x:v>
      </x:c>
      <x:c r="R409" s="39"/>
      <x:c r="S409" s="39" t="n">
        <x:v>0.0040265729</x:v>
      </x:c>
      <x:c r="T409" s="39" t="n">
        <x:v>0.2292299432</x:v>
      </x:c>
      <x:c r="U409" s="39" t="n">
        <x:v>0.0834660213</x:v>
      </x:c>
      <x:c r="V409" s="39" t="n">
        <x:v>0.1193941574</x:v>
      </x:c>
      <x:c r="W409" s="39" t="n">
        <x:v>0.0201566423</x:v>
      </x:c>
      <x:c r="X409" s="39" t="n">
        <x:v>0.0508525923</x:v>
      </x:c>
      <x:c r="Y409" s="39" t="n">
        <x:v>-0.0287574173</x:v>
      </x:c>
      <x:c r="Z409" s="39" t="n">
        <x:v>0.0368896713</x:v>
      </x:c>
      <x:c r="AA409" s="39" t="n">
        <x:v>-0.016244774</x:v>
      </x:c>
      <x:c r="AB409" s="39" t="n">
        <x:v>-0.162436428</x:v>
      </x:c>
      <x:c r="AC409" s="39"/>
      <x:c r="AD409" s="39" t="n">
        <x:v>0.0130570201</x:v>
      </x:c>
      <x:c r="AE409" s="39" t="n">
        <x:v>0.0406328113</x:v>
      </x:c>
      <x:c r="AF409" s="39" t="n">
        <x:v>-0.0332763341</x:v>
      </x:c>
      <x:c r="AG409" s="39" t="n">
        <x:v>0.0261567374</x:v>
      </x:c>
      <x:c r="AH409" s="39" t="n">
        <x:v>0.0265587974</x:v>
      </x:c>
      <x:c r="AI409" s="39" t="n">
        <x:v>0.0058646782</x:v>
      </x:c>
      <x:c r="AJ409" s="39" t="n">
        <x:v>-0.0674033682</x:v>
      </x:c>
      <x:c r="AK409" s="39" t="n">
        <x:v>-0.0222011327</x:v>
      </x:c>
      <x:c r="AL409" s="39" t="n">
        <x:v>-0.0230689642</x:v>
      </x:c>
      <x:c r="AM409" s="39" t="n">
        <x:v>0.0152103219</x:v>
      </x:c>
      <x:c r="AN409" s="39" t="n">
        <x:v>0.0117253058</x:v>
      </x:c>
      <x:c r="AO409" s="39" t="n">
        <x:v>0.0496142009</x:v>
      </x:c>
      <x:c r="AP409" s="39" t="n">
        <x:v>0.0230803896</x:v>
      </x:c>
      <x:c r="AQ409" s="39" t="n">
        <x:v>-0.010358397</x:v>
      </x:c>
      <x:c r="AR409" s="39" t="n">
        <x:v>-0.0084991716</x:v>
      </x:c>
      <x:c r="AS409" s="39" t="n">
        <x:v>-0.0133926437</x:v>
      </x:c>
    </x:row>
    <x:row r="410" ht="19" customHeight="1">
      <x:c r="A410" s="30" t="str">
        <x:v>Other sectors</x:v>
      </x:c>
      <x:c r="B410" s="40" t="d">
        <x:v>2020-11-09T00:00:00.000Z</x:v>
      </x:c>
      <x:c r="C410" s="39" t="n">
        <x:v>-0.0058680745</x:v>
      </x:c>
      <x:c r="D410" s="39" t="n">
        <x:v>-0.0346747947</x:v>
      </x:c>
      <x:c r="E410" s="39" t="n">
        <x:v>-0.0338505475</x:v>
      </x:c>
      <x:c r="F410" s="39" t="n">
        <x:v>-0.0064745005</x:v>
      </x:c>
      <x:c r="G410" s="39" t="n">
        <x:v>0.0179889754</x:v>
      </x:c>
      <x:c r="H410" s="39" t="n">
        <x:v>-0.0329029109</x:v>
      </x:c>
      <x:c r="I410" s="39" t="n">
        <x:v>-0.0233016786</x:v>
      </x:c>
      <x:c r="J410" s="39" t="n">
        <x:v>-0.1073323178</x:v>
      </x:c>
      <x:c r="K410" s="39" t="n">
        <x:v>0.0030515769</x:v>
      </x:c>
      <x:c r="L410" s="39" t="n">
        <x:v>0.0476417909</x:v>
      </x:c>
      <x:c r="M410" s="39" t="n">
        <x:v>-0.015726388</x:v>
      </x:c>
      <x:c r="N410" s="39" t="n">
        <x:v>-0.0201781367</x:v>
      </x:c>
      <x:c r="O410" s="39" t="n">
        <x:v>0.0249582021</x:v>
      </x:c>
      <x:c r="P410" s="39" t="n">
        <x:v>0.0196346783</x:v>
      </x:c>
      <x:c r="Q410" s="39" t="n">
        <x:v>0.0058023363</x:v>
      </x:c>
      <x:c r="R410" s="39"/>
      <x:c r="S410" s="39" t="n">
        <x:v>-0.0287425343</x:v>
      </x:c>
      <x:c r="T410" s="39" t="n">
        <x:v>0.017543479</x:v>
      </x:c>
      <x:c r="U410" s="39" t="n">
        <x:v>0.0741901439</x:v>
      </x:c>
      <x:c r="V410" s="39" t="n">
        <x:v>0.0266748582</x:v>
      </x:c>
      <x:c r="W410" s="39" t="n">
        <x:v>-0.0704698535</x:v>
      </x:c>
      <x:c r="X410" s="39" t="n">
        <x:v>-0.002552328</x:v>
      </x:c>
      <x:c r="Y410" s="39" t="n">
        <x:v>0.0336576013</x:v>
      </x:c>
      <x:c r="Z410" s="39" t="n">
        <x:v>-0.0338122322</x:v>
      </x:c>
      <x:c r="AA410" s="39" t="n">
        <x:v>-0.0361381095</x:v>
      </x:c>
      <x:c r="AB410" s="39" t="n">
        <x:v>-0.0122187323</x:v>
      </x:c>
      <x:c r="AC410" s="39"/>
      <x:c r="AD410" s="39" t="n">
        <x:v>-0.0058300362</x:v>
      </x:c>
      <x:c r="AE410" s="39" t="n">
        <x:v>0.0273517763</x:v>
      </x:c>
      <x:c r="AF410" s="39" t="n">
        <x:v>0.0111328786</x:v>
      </x:c>
      <x:c r="AG410" s="39" t="n">
        <x:v>0.045192186</x:v>
      </x:c>
      <x:c r="AH410" s="39" t="n">
        <x:v>0.0217268094</x:v>
      </x:c>
      <x:c r="AI410" s="39" t="n">
        <x:v>-0.005609944</x:v>
      </x:c>
      <x:c r="AJ410" s="39" t="n">
        <x:v>-0.036897028</x:v>
      </x:c>
      <x:c r="AK410" s="39" t="n">
        <x:v>0.055348472</x:v>
      </x:c>
      <x:c r="AL410" s="39" t="n">
        <x:v>-0.0386864861</x:v>
      </x:c>
      <x:c r="AM410" s="39" t="n">
        <x:v>-0.010116003</x:v>
      </x:c>
      <x:c r="AN410" s="39" t="n">
        <x:v>0.0382202247</x:v>
      </x:c>
      <x:c r="AO410" s="39" t="n">
        <x:v>-0.0145357288</x:v>
      </x:c>
      <x:c r="AP410" s="39" t="n">
        <x:v>-0.0382934192</x:v>
      </x:c>
      <x:c r="AQ410" s="39" t="n">
        <x:v>0.0149552001</x:v>
      </x:c>
      <x:c r="AR410" s="39" t="n">
        <x:v>-0.0249789552</x:v>
      </x:c>
      <x:c r="AS410" s="39" t="n">
        <x:v>0.0035612071</x:v>
      </x:c>
    </x:row>
    <x:row r="411" ht="19" customHeight="1">
      <x:c r="A411" s="30" t="str">
        <x:v>Other sectors</x:v>
      </x:c>
      <x:c r="B411" s="40" t="d">
        <x:v>2020-12-07T00:00:00.000Z</x:v>
      </x:c>
      <x:c r="C411" s="39" t="n">
        <x:v>-0.0490822505</x:v>
      </x:c>
      <x:c r="D411" s="39" t="n">
        <x:v>-0.0351104411</x:v>
      </x:c>
      <x:c r="E411" s="39" t="n">
        <x:v>-0.0272346122</x:v>
      </x:c>
      <x:c r="F411" s="39" t="n">
        <x:v>-0.0098151084</x:v>
      </x:c>
      <x:c r="G411" s="39" t="n">
        <x:v>0.0971842611</x:v>
      </x:c>
      <x:c r="H411" s="39" t="n">
        <x:v>0.028307624</x:v>
      </x:c>
      <x:c r="I411" s="39" t="n">
        <x:v>-0.0100889516</x:v>
      </x:c>
      <x:c r="J411" s="39" t="n">
        <x:v>-0.0946790264</x:v>
      </x:c>
      <x:c r="K411" s="39" t="n">
        <x:v>0.0006769713</x:v>
      </x:c>
      <x:c r="L411" s="39" t="n">
        <x:v>-0.0464897766</x:v>
      </x:c>
      <x:c r="M411" s="39" t="n">
        <x:v>0.0428704143</x:v>
      </x:c>
      <x:c r="N411" s="39" t="n">
        <x:v>0.0177302235</x:v>
      </x:c>
      <x:c r="O411" s="39" t="n">
        <x:v>-0.0104129775</x:v>
      </x:c>
      <x:c r="P411" s="39" t="n">
        <x:v>0.0318362133</x:v>
      </x:c>
      <x:c r="Q411" s="39" t="n">
        <x:v>0.0269464069</x:v>
      </x:c>
      <x:c r="R411" s="39"/>
      <x:c r="S411" s="39" t="n">
        <x:v>0.0167307559</x:v>
      </x:c>
      <x:c r="T411" s="39" t="n">
        <x:v>0.0680269748</x:v>
      </x:c>
      <x:c r="U411" s="39" t="n">
        <x:v>0.2784634298</x:v>
      </x:c>
      <x:c r="V411" s="39" t="n">
        <x:v>-0.0236132662</x:v>
      </x:c>
      <x:c r="W411" s="39" t="n">
        <x:v>0.0283012874</x:v>
      </x:c>
      <x:c r="X411" s="39" t="n">
        <x:v>-0.0420431268</x:v>
      </x:c>
      <x:c r="Y411" s="39" t="n">
        <x:v>0.0322922284</x:v>
      </x:c>
      <x:c r="Z411" s="39" t="n">
        <x:v>-0.1552609355</x:v>
      </x:c>
      <x:c r="AA411" s="39" t="n">
        <x:v>-0.0247366632</x:v>
      </x:c>
      <x:c r="AB411" s="39" t="n">
        <x:v>0.0446939502</x:v>
      </x:c>
      <x:c r="AC411" s="39"/>
      <x:c r="AD411" s="39" t="n">
        <x:v>-0.0290564707</x:v>
      </x:c>
      <x:c r="AE411" s="39" t="n">
        <x:v>-0.0259406339</x:v>
      </x:c>
      <x:c r="AF411" s="39" t="n">
        <x:v>0.0294407952</x:v>
      </x:c>
      <x:c r="AG411" s="39" t="n">
        <x:v>0.1001048475</x:v>
      </x:c>
      <x:c r="AH411" s="39" t="n">
        <x:v>-0.0024472607</x:v>
      </x:c>
      <x:c r="AI411" s="39" t="n">
        <x:v>0.007453565</x:v>
      </x:c>
      <x:c r="AJ411" s="39" t="n">
        <x:v>0.0600157204</x:v>
      </x:c>
      <x:c r="AK411" s="39" t="n">
        <x:v>-0.0381373154</x:v>
      </x:c>
      <x:c r="AL411" s="39" t="n">
        <x:v>-0.0176284178</x:v>
      </x:c>
      <x:c r="AM411" s="39" t="n">
        <x:v>-0.0138996918</x:v>
      </x:c>
      <x:c r="AN411" s="39" t="n">
        <x:v>-0.0630511602</x:v>
      </x:c>
      <x:c r="AO411" s="39" t="n">
        <x:v>-0.0122263876</x:v>
      </x:c>
      <x:c r="AP411" s="39" t="n">
        <x:v>-0.0529455979</x:v>
      </x:c>
      <x:c r="AQ411" s="39" t="n">
        <x:v>-0.0146613292</x:v>
      </x:c>
      <x:c r="AR411" s="39" t="n">
        <x:v>0.0033193451</x:v>
      </x:c>
      <x:c r="AS411" s="39" t="n">
        <x:v>-0.0312398938</x:v>
      </x:c>
    </x:row>
    <x:row r="412" ht="19" customHeight="1">
      <x:c r="A412" s="30" t="str">
        <x:v>Other sectors</x:v>
      </x:c>
      <x:c r="B412" s="40" t="d">
        <x:v>2021-01-04T00:00:00.000Z</x:v>
      </x:c>
      <x:c r="C412" s="39" t="n">
        <x:v>0.0686042092</x:v>
      </x:c>
      <x:c r="D412" s="39" t="n">
        <x:v>-0.0406335759</x:v>
      </x:c>
      <x:c r="E412" s="39" t="n">
        <x:v>-0.0457501028</x:v>
      </x:c>
      <x:c r="F412" s="39" t="n">
        <x:v>-0.0562683501</x:v>
      </x:c>
      <x:c r="G412" s="39" t="n">
        <x:v>-0.0189939286</x:v>
      </x:c>
      <x:c r="H412" s="39" t="n">
        <x:v>0.003399269</x:v>
      </x:c>
      <x:c r="I412" s="39" t="n">
        <x:v>-0.0209910933</x:v>
      </x:c>
      <x:c r="J412" s="39" t="n">
        <x:v>-0.015605642</x:v>
      </x:c>
      <x:c r="K412" s="39" t="n">
        <x:v>-0.1265648862</x:v>
      </x:c>
      <x:c r="L412" s="39" t="n">
        <x:v>-0.0380699891</x:v>
      </x:c>
      <x:c r="M412" s="39" t="n">
        <x:v>0.0130762118</x:v>
      </x:c>
      <x:c r="N412" s="39" t="n">
        <x:v>0.0005533352</x:v>
      </x:c>
      <x:c r="O412" s="39" t="n">
        <x:v>0.100266561</x:v>
      </x:c>
      <x:c r="P412" s="39" t="n">
        <x:v>-0.0484520293</x:v>
      </x:c>
      <x:c r="Q412" s="39" t="n">
        <x:v>-0.0589366768</x:v>
      </x:c>
      <x:c r="R412" s="39"/>
      <x:c r="S412" s="39" t="n">
        <x:v>0.0598660429</x:v>
      </x:c>
      <x:c r="T412" s="39" t="n">
        <x:v>-0.113986578</x:v>
      </x:c>
      <x:c r="U412" s="39" t="n">
        <x:v>-0.2517826612</x:v>
      </x:c>
      <x:c r="V412" s="39" t="n">
        <x:v>-0.020083135</x:v>
      </x:c>
      <x:c r="W412" s="39" t="n">
        <x:v>0.0147375226</x:v>
      </x:c>
      <x:c r="X412" s="39" t="n">
        <x:v>0.0089606478</x:v>
      </x:c>
      <x:c r="Y412" s="39" t="n">
        <x:v>-0.005908954</x:v>
      </x:c>
      <x:c r="Z412" s="39" t="n">
        <x:v>-0.0537349717</x:v>
      </x:c>
      <x:c r="AA412" s="39" t="n">
        <x:v>0.003589504</x:v>
      </x:c>
      <x:c r="AB412" s="39" t="n">
        <x:v>-0.0786302129</x:v>
      </x:c>
      <x:c r="AC412" s="39"/>
      <x:c r="AD412" s="39" t="n">
        <x:v>-0.0027463179</x:v>
      </x:c>
      <x:c r="AE412" s="39" t="n">
        <x:v>-0.0727558106</x:v>
      </x:c>
      <x:c r="AF412" s="39" t="n">
        <x:v>-0.1036547413</x:v>
      </x:c>
      <x:c r="AG412" s="39" t="n">
        <x:v>-0.0988357088</x:v>
      </x:c>
      <x:c r="AH412" s="39" t="n">
        <x:v>-0.052199936</x:v>
      </x:c>
      <x:c r="AI412" s="39" t="n">
        <x:v>-0.0578073747</x:v>
      </x:c>
      <x:c r="AJ412" s="39" t="n">
        <x:v>-0.0277743342</x:v>
      </x:c>
      <x:c r="AK412" s="39" t="n">
        <x:v>-0.0396551515</x:v>
      </x:c>
      <x:c r="AL412" s="39" t="n">
        <x:v>-0.0415370697</x:v>
      </x:c>
      <x:c r="AM412" s="39" t="n">
        <x:v>-0.0195519411</x:v>
      </x:c>
      <x:c r="AN412" s="39" t="n">
        <x:v>-0.0197067296</x:v>
      </x:c>
      <x:c r="AO412" s="39" t="n">
        <x:v>-0.0369642102</x:v>
      </x:c>
      <x:c r="AP412" s="39" t="n">
        <x:v>-0.0238552421</x:v>
      </x:c>
      <x:c r="AQ412" s="39" t="n">
        <x:v>-0.0350569585</x:v>
      </x:c>
      <x:c r="AR412" s="39" t="n">
        <x:v>-0.0100623595</x:v>
      </x:c>
      <x:c r="AS412" s="39" t="n">
        <x:v>-0.0253432095</x:v>
      </x:c>
    </x:row>
    <x:row r="413" ht="19" customHeight="1">
      <x:c r="A413" s="30" t="str">
        <x:v>Other sectors</x:v>
      </x:c>
      <x:c r="B413" s="40" t="d">
        <x:v>2021-02-01T00:00:00.000Z</x:v>
      </x:c>
      <x:c r="C413" s="39" t="n">
        <x:v>-0.0419920748</x:v>
      </x:c>
      <x:c r="D413" s="39" t="n">
        <x:v>-0.0557230086</x:v>
      </x:c>
      <x:c r="E413" s="39" t="n">
        <x:v>0.008364157</x:v>
      </x:c>
      <x:c r="F413" s="39" t="n">
        <x:v>-0.0118526495</x:v>
      </x:c>
      <x:c r="G413" s="39" t="n">
        <x:v>0.0094810438</x:v>
      </x:c>
      <x:c r="H413" s="39" t="n">
        <x:v>0.0537397177</x:v>
      </x:c>
      <x:c r="I413" s="39" t="n">
        <x:v>-0.0050242236</x:v>
      </x:c>
      <x:c r="J413" s="39" t="n">
        <x:v>0.0224348379</x:v>
      </x:c>
      <x:c r="K413" s="39" t="n">
        <x:v>0.0521760595</x:v>
      </x:c>
      <x:c r="L413" s="39" t="n">
        <x:v>0.0131359367</x:v>
      </x:c>
      <x:c r="M413" s="39" t="n">
        <x:v>-0.0074875316</x:v>
      </x:c>
      <x:c r="N413" s="39" t="n">
        <x:v>0.0429351334</x:v>
      </x:c>
      <x:c r="O413" s="39" t="n">
        <x:v>0.0559205232</x:v>
      </x:c>
      <x:c r="P413" s="39" t="n">
        <x:v>0.0779049694</x:v>
      </x:c>
      <x:c r="Q413" s="39" t="n">
        <x:v>-0.0591124519</x:v>
      </x:c>
      <x:c r="R413" s="39"/>
      <x:c r="S413" s="39" t="n">
        <x:v>-0.0194685244</x:v>
      </x:c>
      <x:c r="T413" s="39" t="n">
        <x:v>-0.0051969753</x:v>
      </x:c>
      <x:c r="U413" s="39" t="n">
        <x:v>0.3154322583</x:v>
      </x:c>
      <x:c r="V413" s="39" t="n">
        <x:v>0.2037537822</x:v>
      </x:c>
      <x:c r="W413" s="39" t="n">
        <x:v>0.0041778162</x:v>
      </x:c>
      <x:c r="X413" s="39" t="n">
        <x:v>-0.0028864576</x:v>
      </x:c>
      <x:c r="Y413" s="39" t="n">
        <x:v>0.004356629</x:v>
      </x:c>
      <x:c r="Z413" s="39" t="n">
        <x:v>0.0106218671</x:v>
      </x:c>
      <x:c r="AA413" s="39" t="n">
        <x:v>-0.0429554126</x:v>
      </x:c>
      <x:c r="AB413" s="39" t="n">
        <x:v>0.0670413592</x:v>
      </x:c>
      <x:c r="AC413" s="39" t="n">
        <x:v>0.2217847248</x:v>
      </x:c>
      <x:c r="AD413" s="39" t="n">
        <x:v>-0.0133529267</x:v>
      </x:c>
      <x:c r="AE413" s="39" t="n">
        <x:v>0.1615442044</x:v>
      </x:c>
      <x:c r="AF413" s="39" t="n">
        <x:v>0.0837234055</x:v>
      </x:c>
      <x:c r="AG413" s="39" t="n">
        <x:v>0.024566643</x:v>
      </x:c>
      <x:c r="AH413" s="39" t="n">
        <x:v>0.0061762367</x:v>
      </x:c>
      <x:c r="AI413" s="39" t="n">
        <x:v>-0.066426249</x:v>
      </x:c>
      <x:c r="AJ413" s="39" t="n">
        <x:v>0.1079205218</x:v>
      </x:c>
      <x:c r="AK413" s="39" t="n">
        <x:v>-0.0303688798</x:v>
      </x:c>
      <x:c r="AL413" s="39" t="n">
        <x:v>0.0216935306</x:v>
      </x:c>
      <x:c r="AM413" s="39" t="n">
        <x:v>0.0397668483</x:v>
      </x:c>
      <x:c r="AN413" s="39" t="n">
        <x:v>0.0588951605</x:v>
      </x:c>
      <x:c r="AO413" s="39" t="n">
        <x:v>-0.022397514</x:v>
      </x:c>
      <x:c r="AP413" s="39" t="n">
        <x:v>0.0362016611</x:v>
      </x:c>
      <x:c r="AQ413" s="39" t="n">
        <x:v>0.0025367898</x:v>
      </x:c>
      <x:c r="AR413" s="39" t="n">
        <x:v>0.0319614151</x:v>
      </x:c>
      <x:c r="AS413" s="39" t="n">
        <x:v>0.0109150191</x:v>
      </x:c>
    </x:row>
    <x:row r="414" ht="19" customHeight="1">
      <x:c r="A414" s="30" t="str">
        <x:v>Other sectors</x:v>
      </x:c>
      <x:c r="B414" s="40" t="d">
        <x:v>2021-03-01T00:00:00.000Z</x:v>
      </x:c>
      <x:c r="C414" s="39" t="n">
        <x:v>-0.0909662549</x:v>
      </x:c>
      <x:c r="D414" s="39" t="n">
        <x:v>-0.123957175</x:v>
      </x:c>
      <x:c r="E414" s="39" t="n">
        <x:v>0.0141083167</x:v>
      </x:c>
      <x:c r="F414" s="39" t="n">
        <x:v>-0.0148011483</x:v>
      </x:c>
      <x:c r="G414" s="39" t="n">
        <x:v>-0.0060343609</x:v>
      </x:c>
      <x:c r="H414" s="39" t="n">
        <x:v>-0.0128330844</x:v>
      </x:c>
      <x:c r="I414" s="39" t="n">
        <x:v>0.013787687</x:v>
      </x:c>
      <x:c r="J414" s="39" t="n">
        <x:v>0.084209927</x:v>
      </x:c>
      <x:c r="K414" s="39" t="n">
        <x:v>0.0455242455</x:v>
      </x:c>
      <x:c r="L414" s="39" t="n">
        <x:v>-0.0041495003</x:v>
      </x:c>
      <x:c r="M414" s="39" t="n">
        <x:v>-0.0387330034</x:v>
      </x:c>
      <x:c r="N414" s="39" t="n">
        <x:v>-0.0688596067</x:v>
      </x:c>
      <x:c r="O414" s="39" t="n">
        <x:v>-0.0018235733</x:v>
      </x:c>
      <x:c r="P414" s="39" t="n">
        <x:v>0.0401224211</x:v>
      </x:c>
      <x:c r="Q414" s="39" t="n">
        <x:v>-0.0187383014</x:v>
      </x:c>
      <x:c r="R414" s="39"/>
      <x:c r="S414" s="39" t="n">
        <x:v>0.0469654388</x:v>
      </x:c>
      <x:c r="T414" s="39" t="n">
        <x:v>-0.1416586322</x:v>
      </x:c>
      <x:c r="U414" s="39" t="n">
        <x:v>-0.1868041763</x:v>
      </x:c>
      <x:c r="V414" s="39" t="n">
        <x:v>-0.1436881196</x:v>
      </x:c>
      <x:c r="W414" s="39" t="n">
        <x:v>-0.0151968657</x:v>
      </x:c>
      <x:c r="X414" s="39" t="n">
        <x:v>-0.0118617452</x:v>
      </x:c>
      <x:c r="Y414" s="39" t="n">
        <x:v>0.0115775023</x:v>
      </x:c>
      <x:c r="Z414" s="39" t="n">
        <x:v>-0.0779995444</x:v>
      </x:c>
      <x:c r="AA414" s="39" t="n">
        <x:v>-0.0191817174</x:v>
      </x:c>
      <x:c r="AB414" s="39" t="n">
        <x:v>-0.0655025758</x:v>
      </x:c>
      <x:c r="AC414" s="39" t="n">
        <x:v>-0.3031350382</x:v>
      </x:c>
      <x:c r="AD414" s="39" t="n">
        <x:v>0.0065921739</x:v>
      </x:c>
      <x:c r="AE414" s="39" t="n">
        <x:v>0.0466905794</x:v>
      </x:c>
      <x:c r="AF414" s="39" t="n">
        <x:v>0.0007233882</x:v>
      </x:c>
      <x:c r="AG414" s="39" t="n">
        <x:v>0.0575200171</x:v>
      </x:c>
      <x:c r="AH414" s="39" t="n">
        <x:v>0.0208991139</x:v>
      </x:c>
      <x:c r="AI414" s="39" t="n">
        <x:v>-0.0198426657</x:v>
      </x:c>
      <x:c r="AJ414" s="39" t="n">
        <x:v>0.033517244</x:v>
      </x:c>
      <x:c r="AK414" s="39" t="n">
        <x:v>0.0400028985</x:v>
      </x:c>
      <x:c r="AL414" s="39" t="n">
        <x:v>-0.0620574912</x:v>
      </x:c>
      <x:c r="AM414" s="39" t="n">
        <x:v>0.0157100298</x:v>
      </x:c>
      <x:c r="AN414" s="39" t="n">
        <x:v>-0.0071799483</x:v>
      </x:c>
      <x:c r="AO414" s="39" t="n">
        <x:v>-0.0348868284</x:v>
      </x:c>
      <x:c r="AP414" s="39" t="n">
        <x:v>-0.048072336</x:v>
      </x:c>
      <x:c r="AQ414" s="39" t="n">
        <x:v>-0.0016947832</x:v>
      </x:c>
      <x:c r="AR414" s="39" t="n">
        <x:v>-0.0311246804</x:v>
      </x:c>
      <x:c r="AS414" s="39" t="n">
        <x:v>0.0105699277</x:v>
      </x:c>
    </x:row>
    <x:row r="415" ht="19" customHeight="1">
      <x:c r="A415" s="30" t="str">
        <x:v>Other sectors</x:v>
      </x:c>
      <x:c r="B415" s="40" t="d">
        <x:v>2021-03-29T00:00:00.000Z</x:v>
      </x:c>
      <x:c r="C415" s="39" t="n">
        <x:v>-0.0632274564</x:v>
      </x:c>
      <x:c r="D415" s="39" t="n">
        <x:v>-0.0217421086</x:v>
      </x:c>
      <x:c r="E415" s="39" t="n">
        <x:v>0.0075901842</x:v>
      </x:c>
      <x:c r="F415" s="39" t="n">
        <x:v>0.016829161</x:v>
      </x:c>
      <x:c r="G415" s="39" t="n">
        <x:v>0.0019526904</x:v>
      </x:c>
      <x:c r="H415" s="39" t="n">
        <x:v>0.0204075712</x:v>
      </x:c>
      <x:c r="I415" s="39" t="n">
        <x:v>-0.0150494096</x:v>
      </x:c>
      <x:c r="J415" s="39" t="n">
        <x:v>0.0258491752</x:v>
      </x:c>
      <x:c r="K415" s="39" t="n">
        <x:v>0.0119659765</x:v>
      </x:c>
      <x:c r="L415" s="39" t="n">
        <x:v>-0.0104933534</x:v>
      </x:c>
      <x:c r="M415" s="39" t="n">
        <x:v>-0.0187437203</x:v>
      </x:c>
      <x:c r="N415" s="39" t="n">
        <x:v>0.0033031424</x:v>
      </x:c>
      <x:c r="O415" s="39" t="n">
        <x:v>0.02838781</x:v>
      </x:c>
      <x:c r="P415" s="39" t="n">
        <x:v>-0.0178044365</x:v>
      </x:c>
      <x:c r="Q415" s="39" t="n">
        <x:v>-0.0841756045</x:v>
      </x:c>
      <x:c r="R415" s="39"/>
      <x:c r="S415" s="39" t="n">
        <x:v>-0.027712992</x:v>
      </x:c>
      <x:c r="T415" s="39" t="n">
        <x:v>-0.004415601</x:v>
      </x:c>
      <x:c r="U415" s="39" t="n">
        <x:v>0.0236906526</x:v>
      </x:c>
      <x:c r="V415" s="39" t="n">
        <x:v>-0.0703012764</x:v>
      </x:c>
      <x:c r="W415" s="39" t="n">
        <x:v>0.0060786334</x:v>
      </x:c>
      <x:c r="X415" s="39" t="n">
        <x:v>0.0265564656</x:v>
      </x:c>
      <x:c r="Y415" s="39" t="n">
        <x:v>0.0216853331</x:v>
      </x:c>
      <x:c r="Z415" s="39" t="n">
        <x:v>0.0599759407</x:v>
      </x:c>
      <x:c r="AA415" s="39" t="n">
        <x:v>0.0170513347</x:v>
      </x:c>
      <x:c r="AB415" s="39" t="n">
        <x:v>-0.1109653503</x:v>
      </x:c>
      <x:c r="AC415" s="39" t="n">
        <x:v>0.6315461559</x:v>
      </x:c>
      <x:c r="AD415" s="39" t="n">
        <x:v>0.01196614</x:v>
      </x:c>
      <x:c r="AE415" s="39" t="n">
        <x:v>-0.0245376532</x:v>
      </x:c>
      <x:c r="AF415" s="39" t="n">
        <x:v>0.0521010636</x:v>
      </x:c>
      <x:c r="AG415" s="39" t="n">
        <x:v>0.0646264673</x:v>
      </x:c>
      <x:c r="AH415" s="39" t="n">
        <x:v>0.0622475395</x:v>
      </x:c>
      <x:c r="AI415" s="39" t="n">
        <x:v>-0.0059276226</x:v>
      </x:c>
      <x:c r="AJ415" s="39" t="n">
        <x:v>-0.1001058211</x:v>
      </x:c>
      <x:c r="AK415" s="39" t="n">
        <x:v>-0.027771188</x:v>
      </x:c>
      <x:c r="AL415" s="39" t="n">
        <x:v>0.0186832989</x:v>
      </x:c>
      <x:c r="AM415" s="39" t="n">
        <x:v>0.0040224637</x:v>
      </x:c>
      <x:c r="AN415" s="39" t="n">
        <x:v>0.0273223802</x:v>
      </x:c>
      <x:c r="AO415" s="39" t="n">
        <x:v>0.0291869248</x:v>
      </x:c>
      <x:c r="AP415" s="39" t="n">
        <x:v>0.0957739052</x:v>
      </x:c>
      <x:c r="AQ415" s="39" t="n">
        <x:v>0.010964026</x:v>
      </x:c>
      <x:c r="AR415" s="39" t="n">
        <x:v>0.0082392247</x:v>
      </x:c>
      <x:c r="AS415" s="39" t="n">
        <x:v>0.0049685456</x:v>
      </x:c>
    </x:row>
    <x:row r="416" ht="19" customHeight="1">
      <x:c r="A416" s="30" t="str">
        <x:v>Other sectors</x:v>
      </x:c>
      <x:c r="B416" s="40" t="d">
        <x:v>2021-04-26T00:00:00.000Z</x:v>
      </x:c>
      <x:c r="C416" s="39" t="n">
        <x:v>-0.069348735</x:v>
      </x:c>
      <x:c r="D416" s="39" t="n">
        <x:v>-0.0023539555</x:v>
      </x:c>
      <x:c r="E416" s="39" t="n">
        <x:v>-0.0137240773</x:v>
      </x:c>
      <x:c r="F416" s="39" t="n">
        <x:v>0.0258727097</x:v>
      </x:c>
      <x:c r="G416" s="39" t="n">
        <x:v>-0.0314189658</x:v>
      </x:c>
      <x:c r="H416" s="39" t="n">
        <x:v>-0.0086376814</x:v>
      </x:c>
      <x:c r="I416" s="39" t="n">
        <x:v>0.0224989909</x:v>
      </x:c>
      <x:c r="J416" s="39" t="n">
        <x:v>0.0079233332</x:v>
      </x:c>
      <x:c r="K416" s="39" t="n">
        <x:v>0.0597908883</x:v>
      </x:c>
      <x:c r="L416" s="39" t="n">
        <x:v>-0.0075223127</x:v>
      </x:c>
      <x:c r="M416" s="39" t="n">
        <x:v>0.0327188407</x:v>
      </x:c>
      <x:c r="N416" s="39" t="n">
        <x:v>-0.0189256829</x:v>
      </x:c>
      <x:c r="O416" s="39" t="n">
        <x:v>-0.0129233614</x:v>
      </x:c>
      <x:c r="P416" s="39" t="n">
        <x:v>-0.034337278</x:v>
      </x:c>
      <x:c r="Q416" s="39" t="n">
        <x:v>0.0371130893</x:v>
      </x:c>
      <x:c r="R416" s="39" t="n">
        <x:v>0.0160115715</x:v>
      </x:c>
      <x:c r="S416" s="39" t="n">
        <x:v>-0.0206959485</x:v>
      </x:c>
      <x:c r="T416" s="39" t="n">
        <x:v>0.0562725157</x:v>
      </x:c>
      <x:c r="U416" s="39" t="n">
        <x:v>0.1628429586</x:v>
      </x:c>
      <x:c r="V416" s="39" t="n">
        <x:v>-0.0010601473</x:v>
      </x:c>
      <x:c r="W416" s="39" t="n">
        <x:v>-0.053008642</x:v>
      </x:c>
      <x:c r="X416" s="39" t="n">
        <x:v>0.009635791</x:v>
      </x:c>
      <x:c r="Y416" s="39" t="n">
        <x:v>-0.0692211003</x:v>
      </x:c>
      <x:c r="Z416" s="39" t="n">
        <x:v>-0.039282149</x:v>
      </x:c>
      <x:c r="AA416" s="39" t="n">
        <x:v>0.0119738728</x:v>
      </x:c>
      <x:c r="AB416" s="39" t="n">
        <x:v>-0.0672481908</x:v>
      </x:c>
      <x:c r="AC416" s="39" t="n">
        <x:v>-0.1958778288</x:v>
      </x:c>
      <x:c r="AD416" s="39" t="n">
        <x:v>-0.0205310045</x:v>
      </x:c>
      <x:c r="AE416" s="39" t="n">
        <x:v>-0.0771602149</x:v>
      </x:c>
      <x:c r="AF416" s="39" t="n">
        <x:v>0.0068323237</x:v>
      </x:c>
      <x:c r="AG416" s="39" t="n">
        <x:v>-0.0816968158</x:v>
      </x:c>
      <x:c r="AH416" s="39" t="n">
        <x:v>0.0098214606</x:v>
      </x:c>
      <x:c r="AI416" s="39" t="n">
        <x:v>-0.0201965364</x:v>
      </x:c>
      <x:c r="AJ416" s="39" t="n">
        <x:v>-0.0427752451</x:v>
      </x:c>
      <x:c r="AK416" s="39" t="n">
        <x:v>-0.0495982658</x:v>
      </x:c>
      <x:c r="AL416" s="39" t="n">
        <x:v>0.1001290583</x:v>
      </x:c>
      <x:c r="AM416" s="39" t="n">
        <x:v>0.00029739</x:v>
      </x:c>
      <x:c r="AN416" s="39" t="n">
        <x:v>0.0371363681</x:v>
      </x:c>
      <x:c r="AO416" s="39" t="n">
        <x:v>0.0014513941</x:v>
      </x:c>
      <x:c r="AP416" s="39" t="n">
        <x:v>0.0075917104</x:v>
      </x:c>
      <x:c r="AQ416" s="39" t="n">
        <x:v>0.0036095601</x:v>
      </x:c>
      <x:c r="AR416" s="39" t="n">
        <x:v>-0.0295879112</x:v>
      </x:c>
      <x:c r="AS416" s="39" t="n">
        <x:v>0.0123452868</x:v>
      </x:c>
    </x:row>
    <x:row r="417" ht="19" customHeight="1">
      <x:c r="A417" s="30" t="str">
        <x:v>Other sectors</x:v>
      </x:c>
      <x:c r="B417" s="40" t="d">
        <x:v>2021-05-24T00:00:00.000Z</x:v>
      </x:c>
      <x:c r="C417" s="39" t="n">
        <x:v>-0.0216804608</x:v>
      </x:c>
      <x:c r="D417" s="39" t="n">
        <x:v>0.143240425</x:v>
      </x:c>
      <x:c r="E417" s="39" t="n">
        <x:v>-0.0034124476</x:v>
      </x:c>
      <x:c r="F417" s="39" t="n">
        <x:v>-0.0119531231</x:v>
      </x:c>
      <x:c r="G417" s="39" t="n">
        <x:v>-0.027490022</x:v>
      </x:c>
      <x:c r="H417" s="39" t="n">
        <x:v>-0.0338948138</x:v>
      </x:c>
      <x:c r="I417" s="39" t="n">
        <x:v>0.0006761303</x:v>
      </x:c>
      <x:c r="J417" s="39" t="n">
        <x:v>-0.0190787332</x:v>
      </x:c>
      <x:c r="K417" s="39" t="n">
        <x:v>0.0028873287</x:v>
      </x:c>
      <x:c r="L417" s="39" t="n">
        <x:v>0.0120700873</x:v>
      </x:c>
      <x:c r="M417" s="39" t="n">
        <x:v>0.0232619406</x:v>
      </x:c>
      <x:c r="N417" s="39" t="n">
        <x:v>0.010581155</x:v>
      </x:c>
      <x:c r="O417" s="39" t="n">
        <x:v>-0.0161277031</x:v>
      </x:c>
      <x:c r="P417" s="39" t="n">
        <x:v>0.0102071443</x:v>
      </x:c>
      <x:c r="Q417" s="39" t="n">
        <x:v>-0.0655943391</x:v>
      </x:c>
      <x:c r="R417" s="39" t="n">
        <x:v>-0.0189704643</x:v>
      </x:c>
      <x:c r="S417" s="39" t="n">
        <x:v>0.0382327326</x:v>
      </x:c>
      <x:c r="T417" s="39" t="n">
        <x:v>-0.0067388828</x:v>
      </x:c>
      <x:c r="U417" s="39" t="n">
        <x:v>0.0165964009</x:v>
      </x:c>
      <x:c r="V417" s="39" t="n">
        <x:v>-0.0637537852</x:v>
      </x:c>
      <x:c r="W417" s="39" t="n">
        <x:v>0.0045670529</x:v>
      </x:c>
      <x:c r="X417" s="39" t="n">
        <x:v>0.0047844815</x:v>
      </x:c>
      <x:c r="Y417" s="39" t="n">
        <x:v>-0.0504053691</x:v>
      </x:c>
      <x:c r="Z417" s="39" t="n">
        <x:v>0.0676625576</x:v>
      </x:c>
      <x:c r="AA417" s="39" t="n">
        <x:v>-0.0384069842</x:v>
      </x:c>
      <x:c r="AB417" s="39" t="n">
        <x:v>-0.0052885408</x:v>
      </x:c>
      <x:c r="AC417" s="39" t="n">
        <x:v>0.1947215858</x:v>
      </x:c>
      <x:c r="AD417" s="39" t="n">
        <x:v>0.0005257357</x:v>
      </x:c>
      <x:c r="AE417" s="39" t="n">
        <x:v>0.1483219557</x:v>
      </x:c>
      <x:c r="AF417" s="39" t="n">
        <x:v>-0.0285448066</x:v>
      </x:c>
      <x:c r="AG417" s="39" t="n">
        <x:v>0.0327836418</x:v>
      </x:c>
      <x:c r="AH417" s="39" t="n">
        <x:v>-0.0116452923</x:v>
      </x:c>
      <x:c r="AI417" s="39" t="n">
        <x:v>0.0034406064</x:v>
      </x:c>
      <x:c r="AJ417" s="39" t="n">
        <x:v>0.03536547</x:v>
      </x:c>
      <x:c r="AK417" s="39" t="n">
        <x:v>-0.0209802062</x:v>
      </x:c>
      <x:c r="AL417" s="39" t="n">
        <x:v>0.0603009899</x:v>
      </x:c>
      <x:c r="AM417" s="39" t="n">
        <x:v>0.0079660545</x:v>
      </x:c>
      <x:c r="AN417" s="39" t="n">
        <x:v>0.0192505406</x:v>
      </x:c>
      <x:c r="AO417" s="39" t="n">
        <x:v>0.0129199156</x:v>
      </x:c>
      <x:c r="AP417" s="39" t="n">
        <x:v>-0.0036797625</x:v>
      </x:c>
      <x:c r="AQ417" s="39" t="n">
        <x:v>-0.0040439071</x:v>
      </x:c>
      <x:c r="AR417" s="39" t="n">
        <x:v>0.0044691536</x:v>
      </x:c>
      <x:c r="AS417" s="39" t="n">
        <x:v>0.0080589913</x:v>
      </x:c>
    </x:row>
    <x:row r="418" ht="19" customHeight="1">
      <x:c r="A418" s="30" t="str">
        <x:v>Other sectors</x:v>
      </x:c>
      <x:c r="B418" s="40" t="d">
        <x:v>2021-06-21T00:00:00.000Z</x:v>
      </x:c>
      <x:c r="C418" s="39" t="n">
        <x:v>0.0788381586</x:v>
      </x:c>
      <x:c r="D418" s="39" t="n">
        <x:v>-0.0063855953</x:v>
      </x:c>
      <x:c r="E418" s="39" t="n">
        <x:v>-0.0046851828</x:v>
      </x:c>
      <x:c r="F418" s="39" t="n">
        <x:v>-0.0241225364</x:v>
      </x:c>
      <x:c r="G418" s="39" t="n">
        <x:v>0.0276037808</x:v>
      </x:c>
      <x:c r="H418" s="39" t="n">
        <x:v>0.0812356746</x:v>
      </x:c>
      <x:c r="I418" s="39" t="n">
        <x:v>-0.0206841353</x:v>
      </x:c>
      <x:c r="J418" s="39" t="n">
        <x:v>-0.0382793195</x:v>
      </x:c>
      <x:c r="K418" s="39" t="n">
        <x:v>-0.1222747338</x:v>
      </x:c>
      <x:c r="L418" s="39" t="n">
        <x:v>-0.0472070342</x:v>
      </x:c>
      <x:c r="M418" s="39" t="n">
        <x:v>-0.0471919251</x:v>
      </x:c>
      <x:c r="N418" s="39" t="n">
        <x:v>0.02987448</x:v>
      </x:c>
      <x:c r="O418" s="39" t="n">
        <x:v>0.0241307139</x:v>
      </x:c>
      <x:c r="P418" s="39" t="n">
        <x:v>-0.0503300746</x:v>
      </x:c>
      <x:c r="Q418" s="39" t="n">
        <x:v>0.0265363359</x:v>
      </x:c>
      <x:c r="R418" s="39" t="n">
        <x:v>0.0461173907</x:v>
      </x:c>
      <x:c r="S418" s="39" t="n">
        <x:v>-0.003562353</x:v>
      </x:c>
      <x:c r="T418" s="39" t="n">
        <x:v>0.0852640465</x:v>
      </x:c>
      <x:c r="U418" s="39" t="n">
        <x:v>0.1469940535</x:v>
      </x:c>
      <x:c r="V418" s="39" t="n">
        <x:v>0.1387020828</x:v>
      </x:c>
      <x:c r="W418" s="39" t="n">
        <x:v>0.0130817469</x:v>
      </x:c>
      <x:c r="X418" s="39" t="n">
        <x:v>0.0031083523</x:v>
      </x:c>
      <x:c r="Y418" s="39" t="n">
        <x:v>-0.0581462854</x:v>
      </x:c>
      <x:c r="Z418" s="39" t="n">
        <x:v>-0.0452706227</x:v>
      </x:c>
      <x:c r="AA418" s="39" t="n">
        <x:v>-0.0043497071</x:v>
      </x:c>
      <x:c r="AB418" s="39" t="n">
        <x:v>0.0107783577</x:v>
      </x:c>
      <x:c r="AC418" s="39" t="n">
        <x:v>-0.0534056068</x:v>
      </x:c>
      <x:c r="AD418" s="39" t="n">
        <x:v>0.0257917701</x:v>
      </x:c>
      <x:c r="AE418" s="39" t="n">
        <x:v>0.0385049543</x:v>
      </x:c>
      <x:c r="AF418" s="39" t="n">
        <x:v>-0.0540957389</x:v>
      </x:c>
      <x:c r="AG418" s="39" t="n">
        <x:v>0.0459039313</x:v>
      </x:c>
      <x:c r="AH418" s="39" t="n">
        <x:v>0.0274202374</x:v>
      </x:c>
      <x:c r="AI418" s="39" t="n">
        <x:v>-0.0084277641</x:v>
      </x:c>
      <x:c r="AJ418" s="39" t="n">
        <x:v>0.0470151756</x:v>
      </x:c>
      <x:c r="AK418" s="39" t="n">
        <x:v>0.0435129676</x:v>
      </x:c>
      <x:c r="AL418" s="39" t="n">
        <x:v>-0.0103026894</x:v>
      </x:c>
      <x:c r="AM418" s="39" t="n">
        <x:v>0.0058767145</x:v>
      </x:c>
      <x:c r="AN418" s="39" t="n">
        <x:v>-0.0163844552</x:v>
      </x:c>
      <x:c r="AO418" s="39" t="n">
        <x:v>0.0167279744</x:v>
      </x:c>
      <x:c r="AP418" s="39" t="n">
        <x:v>0.010603608</x:v>
      </x:c>
      <x:c r="AQ418" s="39" t="n">
        <x:v>0.0034102728</x:v>
      </x:c>
      <x:c r="AR418" s="39" t="n">
        <x:v>-0.0259662885</x:v>
      </x:c>
      <x:c r="AS418" s="39" t="n">
        <x:v>-0.0170565261</x:v>
      </x:c>
    </x:row>
    <x:row r="419" ht="19" customHeight="1">
      <x:c r="A419" s="30" t="str">
        <x:v>Other sectors</x:v>
      </x:c>
      <x:c r="B419" s="40" t="d">
        <x:v>2021-07-19T00:00:00.000Z</x:v>
      </x:c>
      <x:c r="C419" s="39" t="n">
        <x:v>0.0030429726</x:v>
      </x:c>
      <x:c r="D419" s="39" t="n">
        <x:v>0.1110643529</x:v>
      </x:c>
      <x:c r="E419" s="39" t="n">
        <x:v>0.0044846469</x:v>
      </x:c>
      <x:c r="F419" s="39" t="n">
        <x:v>-0.0164031823</x:v>
      </x:c>
      <x:c r="G419" s="39" t="n">
        <x:v>0.0265815218</x:v>
      </x:c>
      <x:c r="H419" s="39" t="n">
        <x:v>0.1028612117</x:v>
      </x:c>
      <x:c r="I419" s="39" t="n">
        <x:v>0.0095199557</x:v>
      </x:c>
      <x:c r="J419" s="39" t="n">
        <x:v>-0.0654436655</x:v>
      </x:c>
      <x:c r="K419" s="39" t="n">
        <x:v>-0.0238660319</x:v>
      </x:c>
      <x:c r="L419" s="39" t="n">
        <x:v>-0.0722582452</x:v>
      </x:c>
      <x:c r="M419" s="39" t="n">
        <x:v>0.0203958583</x:v>
      </x:c>
      <x:c r="N419" s="39" t="n">
        <x:v>0.0634703527</x:v>
      </x:c>
      <x:c r="O419" s="39" t="n">
        <x:v>0.0211649053</x:v>
      </x:c>
      <x:c r="P419" s="39" t="n">
        <x:v>-0.0985887319</x:v>
      </x:c>
      <x:c r="Q419" s="39" t="n">
        <x:v>-0.1378654776</x:v>
      </x:c>
      <x:c r="R419" s="39" t="n">
        <x:v>0.0586882138</x:v>
      </x:c>
      <x:c r="S419" s="39" t="n">
        <x:v>-0.0040857075</x:v>
      </x:c>
      <x:c r="T419" s="39" t="n">
        <x:v>0.0758821782</x:v>
      </x:c>
      <x:c r="U419" s="39" t="n">
        <x:v>0.3471252618</x:v>
      </x:c>
      <x:c r="V419" s="39" t="n">
        <x:v>0.0255206998</x:v>
      </x:c>
      <x:c r="W419" s="39" t="n">
        <x:v>-0.0489767124</x:v>
      </x:c>
      <x:c r="X419" s="39" t="n">
        <x:v>0.0747543872</x:v>
      </x:c>
      <x:c r="Y419" s="39" t="n">
        <x:v>-0.0954375446</x:v>
      </x:c>
      <x:c r="Z419" s="39" t="n">
        <x:v>0.0350416618</x:v>
      </x:c>
      <x:c r="AA419" s="39" t="n">
        <x:v>-0.0145918748</x:v>
      </x:c>
      <x:c r="AB419" s="39" t="n">
        <x:v>-0.1364733252</x:v>
      </x:c>
      <x:c r="AC419" s="39" t="n">
        <x:v>0.0456162233</x:v>
      </x:c>
      <x:c r="AD419" s="39" t="n">
        <x:v>0.0153733474</x:v>
      </x:c>
      <x:c r="AE419" s="39" t="n">
        <x:v>-0.0410830079</x:v>
      </x:c>
      <x:c r="AF419" s="39" t="n">
        <x:v>-0.0100232639</x:v>
      </x:c>
      <x:c r="AG419" s="39" t="n">
        <x:v>-0.069828362</x:v>
      </x:c>
      <x:c r="AH419" s="39" t="n">
        <x:v>0.0073759035</x:v>
      </x:c>
      <x:c r="AI419" s="39" t="n">
        <x:v>0.0002961476</x:v>
      </x:c>
      <x:c r="AJ419" s="39" t="n">
        <x:v>-0.0238889563</x:v>
      </x:c>
      <x:c r="AK419" s="39" t="n">
        <x:v>0.0184401709</x:v>
      </x:c>
      <x:c r="AL419" s="39" t="n">
        <x:v>0.0355772458</x:v>
      </x:c>
      <x:c r="AM419" s="39" t="n">
        <x:v>0.0254827976</x:v>
      </x:c>
      <x:c r="AN419" s="39" t="n">
        <x:v>0.031780748</x:v>
      </x:c>
      <x:c r="AO419" s="39" t="n">
        <x:v>0.029886099</x:v>
      </x:c>
      <x:c r="AP419" s="39" t="n">
        <x:v>0.053090402</x:v>
      </x:c>
      <x:c r="AQ419" s="39" t="n">
        <x:v>0.0322664405</x:v>
      </x:c>
      <x:c r="AR419" s="39" t="n">
        <x:v>0.0092525742</x:v>
      </x:c>
      <x:c r="AS419" s="39" t="n">
        <x:v>0.0072600336</x:v>
      </x:c>
    </x:row>
    <x:row r="420" ht="19" customHeight="1">
      <x:c r="A420" s="30" t="str">
        <x:v>Other sectors</x:v>
      </x:c>
      <x:c r="B420" s="40" t="d">
        <x:v>2021-08-16T00:00:00.000Z</x:v>
      </x:c>
      <x:c r="C420" s="39" t="n">
        <x:v>-0.0627893351</x:v>
      </x:c>
      <x:c r="D420" s="39" t="n">
        <x:v>0.0435008525</x:v>
      </x:c>
      <x:c r="E420" s="39" t="n">
        <x:v>0.0121722385</x:v>
      </x:c>
      <x:c r="F420" s="39" t="n">
        <x:v>0.0315363813</x:v>
      </x:c>
      <x:c r="G420" s="39" t="n">
        <x:v>0.0294541348</x:v>
      </x:c>
      <x:c r="H420" s="39" t="n">
        <x:v>0.0408002776</x:v>
      </x:c>
      <x:c r="I420" s="39" t="n">
        <x:v>-0.054891753</x:v>
      </x:c>
      <x:c r="J420" s="39" t="n">
        <x:v>0.020000389</x:v>
      </x:c>
      <x:c r="K420" s="39" t="n">
        <x:v>0.0323442903</x:v>
      </x:c>
      <x:c r="L420" s="39" t="n">
        <x:v>0.0090175759</x:v>
      </x:c>
      <x:c r="M420" s="39" t="n">
        <x:v>-0.0080999434</x:v>
      </x:c>
      <x:c r="N420" s="39" t="n">
        <x:v>-0.0021178725</x:v>
      </x:c>
      <x:c r="O420" s="39" t="n">
        <x:v>0.0631588647</x:v>
      </x:c>
      <x:c r="P420" s="39" t="n">
        <x:v>-0.0063702301</x:v>
      </x:c>
      <x:c r="Q420" s="39" t="n">
        <x:v>0.0160477583</x:v>
      </x:c>
      <x:c r="R420" s="39" t="n">
        <x:v>0.0179976772</x:v>
      </x:c>
      <x:c r="S420" s="39" t="n">
        <x:v>-0.028201332</x:v>
      </x:c>
      <x:c r="T420" s="39" t="n">
        <x:v>0.0571142555</x:v>
      </x:c>
      <x:c r="U420" s="39" t="n">
        <x:v>0.1121634697</x:v>
      </x:c>
      <x:c r="V420" s="39" t="n">
        <x:v>0.0358517525</x:v>
      </x:c>
      <x:c r="W420" s="39" t="n">
        <x:v>0.0305277214</x:v>
      </x:c>
      <x:c r="X420" s="39" t="n">
        <x:v>0.06786832</x:v>
      </x:c>
      <x:c r="Y420" s="39" t="n">
        <x:v>-0.0660342746</x:v>
      </x:c>
      <x:c r="Z420" s="39" t="n">
        <x:v>0.0084391429</x:v>
      </x:c>
      <x:c r="AA420" s="39" t="n">
        <x:v>-0.0064567028</x:v>
      </x:c>
      <x:c r="AB420" s="39" t="n">
        <x:v>-0.0554279584</x:v>
      </x:c>
      <x:c r="AC420" s="39" t="n">
        <x:v>0.3674260759</x:v>
      </x:c>
      <x:c r="AD420" s="39" t="n">
        <x:v>0.0242097513</x:v>
      </x:c>
      <x:c r="AE420" s="39" t="n">
        <x:v>-0.0151915542</x:v>
      </x:c>
      <x:c r="AF420" s="39" t="n">
        <x:v>-0.0028837746</x:v>
      </x:c>
      <x:c r="AG420" s="39" t="n">
        <x:v>0.0056169076</x:v>
      </x:c>
      <x:c r="AH420" s="39" t="n">
        <x:v>0.0322937688</x:v>
      </x:c>
      <x:c r="AI420" s="39" t="n">
        <x:v>0.1102300178</x:v>
      </x:c>
      <x:c r="AJ420" s="39" t="n">
        <x:v>0.0246941561</x:v>
      </x:c>
      <x:c r="AK420" s="39" t="n">
        <x:v>-0.0206637168</x:v>
      </x:c>
      <x:c r="AL420" s="39" t="n">
        <x:v>0.032765215</x:v>
      </x:c>
      <x:c r="AM420" s="39" t="n">
        <x:v>0.0261943221</x:v>
      </x:c>
      <x:c r="AN420" s="39" t="n">
        <x:v>0.0587114204</x:v>
      </x:c>
      <x:c r="AO420" s="39" t="n">
        <x:v>0.073223689</x:v>
      </x:c>
      <x:c r="AP420" s="39" t="n">
        <x:v>0.0347921822</x:v>
      </x:c>
      <x:c r="AQ420" s="39" t="n">
        <x:v>-0.0095713852</x:v>
      </x:c>
      <x:c r="AR420" s="39" t="n">
        <x:v>0.0071291108</x:v>
      </x:c>
      <x:c r="AS420" s="39" t="n">
        <x:v>0.0029887257</x:v>
      </x:c>
    </x:row>
    <x:row r="421" ht="19" customHeight="1">
      <x:c r="A421" s="30" t="str">
        <x:v>Other sectors</x:v>
      </x:c>
      <x:c r="B421" s="40" t="d">
        <x:v>2021-09-13T00:00:00.000Z</x:v>
      </x:c>
      <x:c r="C421" s="39" t="n">
        <x:v>-0.0079464479</x:v>
      </x:c>
      <x:c r="D421" s="39" t="n">
        <x:v>-0.0241820358</x:v>
      </x:c>
      <x:c r="E421" s="39" t="n">
        <x:v>-0.0426389977</x:v>
      </x:c>
      <x:c r="F421" s="39" t="n">
        <x:v>0.0036580968</x:v>
      </x:c>
      <x:c r="G421" s="39" t="n">
        <x:v>0.0233338974</x:v>
      </x:c>
      <x:c r="H421" s="39" t="n">
        <x:v>-0.007806794</x:v>
      </x:c>
      <x:c r="I421" s="39" t="n">
        <x:v>0.0176845635</x:v>
      </x:c>
      <x:c r="J421" s="39" t="n">
        <x:v>-0.0895233332</x:v>
      </x:c>
      <x:c r="K421" s="39" t="n">
        <x:v>-0.1074040853</x:v>
      </x:c>
      <x:c r="L421" s="39" t="n">
        <x:v>-0.006171588</x:v>
      </x:c>
      <x:c r="M421" s="39" t="n">
        <x:v>0.0047224991</x:v>
      </x:c>
      <x:c r="N421" s="39" t="n">
        <x:v>0.0242715729</x:v>
      </x:c>
      <x:c r="O421" s="39" t="n">
        <x:v>-0.042452683</x:v>
      </x:c>
      <x:c r="P421" s="39" t="n">
        <x:v>-0.0481737733</x:v>
      </x:c>
      <x:c r="Q421" s="39" t="n">
        <x:v>0.1948443977</x:v>
      </x:c>
      <x:c r="R421" s="39" t="n">
        <x:v>0.2651825543</x:v>
      </x:c>
      <x:c r="S421" s="39" t="n">
        <x:v>-0.0487815337</x:v>
      </x:c>
      <x:c r="T421" s="39" t="n">
        <x:v>-0.0217427548</x:v>
      </x:c>
      <x:c r="U421" s="39" t="n">
        <x:v>0.0536906077</x:v>
      </x:c>
      <x:c r="V421" s="39" t="n">
        <x:v>-0.0676364175</x:v>
      </x:c>
      <x:c r="W421" s="39" t="n">
        <x:v>0.07223333</x:v>
      </x:c>
      <x:c r="X421" s="39" t="n">
        <x:v>-0.0484862727</x:v>
      </x:c>
      <x:c r="Y421" s="39" t="n">
        <x:v>0.0226141396</x:v>
      </x:c>
      <x:c r="Z421" s="39" t="n">
        <x:v>-0.0635260338</x:v>
      </x:c>
      <x:c r="AA421" s="39" t="n">
        <x:v>-0.0339752381</x:v>
      </x:c>
      <x:c r="AB421" s="39" t="n">
        <x:v>0.0258614799</x:v>
      </x:c>
      <x:c r="AC421" s="39" t="n">
        <x:v>0.3148718404</x:v>
      </x:c>
      <x:c r="AD421" s="39" t="n">
        <x:v>0.0045869611</x:v>
      </x:c>
      <x:c r="AE421" s="39" t="n">
        <x:v>0.0071274386</x:v>
      </x:c>
      <x:c r="AF421" s="39" t="n">
        <x:v>-0.0542647964</x:v>
      </x:c>
      <x:c r="AG421" s="39" t="n">
        <x:v>-0.0056672866</x:v>
      </x:c>
      <x:c r="AH421" s="39" t="n">
        <x:v>-0.0476827427</x:v>
      </x:c>
      <x:c r="AI421" s="39" t="n">
        <x:v>-0.0351631961</x:v>
      </x:c>
      <x:c r="AJ421" s="39" t="n">
        <x:v>-0.1060780303</x:v>
      </x:c>
      <x:c r="AK421" s="39" t="n">
        <x:v>-0.031529462</x:v>
      </x:c>
      <x:c r="AL421" s="39" t="n">
        <x:v>-0.0645061548</x:v>
      </x:c>
      <x:c r="AM421" s="39" t="n">
        <x:v>-0.0128548838</x:v>
      </x:c>
      <x:c r="AN421" s="39" t="n">
        <x:v>-0.0237956358</x:v>
      </x:c>
      <x:c r="AO421" s="39" t="n">
        <x:v>-0.0258745648</x:v>
      </x:c>
      <x:c r="AP421" s="39" t="n">
        <x:v>-0.0003442601</x:v>
      </x:c>
      <x:c r="AQ421" s="39" t="n">
        <x:v>-0.0222291042</x:v>
      </x:c>
      <x:c r="AR421" s="39" t="n">
        <x:v>-0.0536698878</x:v>
      </x:c>
      <x:c r="AS421" s="39" t="n">
        <x:v>-0.0288444355</x:v>
      </x:c>
    </x:row>
    <x:row r="422" ht="19" customHeight="1">
      <x:c r="A422" s="30" t="str">
        <x:v>Other sectors</x:v>
      </x:c>
      <x:c r="B422" s="40" t="d">
        <x:v>2021-10-11T00:00:00.000Z</x:v>
      </x:c>
      <x:c r="C422" s="39" t="n">
        <x:v>0.0249567983</x:v>
      </x:c>
      <x:c r="D422" s="39" t="n">
        <x:v>0.0971487906</x:v>
      </x:c>
      <x:c r="E422" s="39" t="n">
        <x:v>-0.0112335221</x:v>
      </x:c>
      <x:c r="F422" s="39" t="n">
        <x:v>-0.0617667011</x:v>
      </x:c>
      <x:c r="G422" s="39" t="n">
        <x:v>-0.0481084961</x:v>
      </x:c>
      <x:c r="H422" s="39" t="n">
        <x:v>-0.016020591</x:v>
      </x:c>
      <x:c r="I422" s="39" t="n">
        <x:v>-0.0129552604</x:v>
      </x:c>
      <x:c r="J422" s="39" t="n">
        <x:v>0.0469189064</x:v>
      </x:c>
      <x:c r="K422" s="39" t="n">
        <x:v>-0.0644568987</x:v>
      </x:c>
      <x:c r="L422" s="39" t="n">
        <x:v>-0.0157554496</x:v>
      </x:c>
      <x:c r="M422" s="39" t="n">
        <x:v>0.0058961038</x:v>
      </x:c>
      <x:c r="N422" s="39" t="n">
        <x:v>0.0162974675</x:v>
      </x:c>
      <x:c r="O422" s="39" t="n">
        <x:v>0.0063898426</x:v>
      </x:c>
      <x:c r="P422" s="39" t="n">
        <x:v>-0.0908659126</x:v>
      </x:c>
      <x:c r="Q422" s="39" t="n">
        <x:v>0.0002229735</x:v>
      </x:c>
      <x:c r="R422" s="39" t="n">
        <x:v>-0.0181933315</x:v>
      </x:c>
      <x:c r="S422" s="39" t="n">
        <x:v>0.0537913564</x:v>
      </x:c>
      <x:c r="T422" s="39" t="n">
        <x:v>0.075603578</x:v>
      </x:c>
      <x:c r="U422" s="39" t="n">
        <x:v>-0.2019704467</x:v>
      </x:c>
      <x:c r="V422" s="39" t="n">
        <x:v>-0.0272470959</x:v>
      </x:c>
      <x:c r="W422" s="39" t="n">
        <x:v>0.0821416773</x:v>
      </x:c>
      <x:c r="X422" s="39" t="n">
        <x:v>-0.0400886885</x:v>
      </x:c>
      <x:c r="Y422" s="39" t="n">
        <x:v>-0.0845830432</x:v>
      </x:c>
      <x:c r="Z422" s="39" t="n">
        <x:v>-0.0426904752</x:v>
      </x:c>
      <x:c r="AA422" s="39" t="n">
        <x:v>-0.0332873856</x:v>
      </x:c>
      <x:c r="AB422" s="39" t="n">
        <x:v>-0.1703804835</x:v>
      </x:c>
      <x:c r="AC422" s="39" t="n">
        <x:v>0.0902905441</x:v>
      </x:c>
      <x:c r="AD422" s="39" t="n">
        <x:v>0.0112290303</x:v>
      </x:c>
      <x:c r="AE422" s="39" t="n">
        <x:v>0.0632034662</x:v>
      </x:c>
      <x:c r="AF422" s="39" t="n">
        <x:v>-0.0261512215</x:v>
      </x:c>
      <x:c r="AG422" s="39" t="n">
        <x:v>0.0143942405</x:v>
      </x:c>
      <x:c r="AH422" s="39" t="n">
        <x:v>0.0123020694</x:v>
      </x:c>
      <x:c r="AI422" s="39" t="n">
        <x:v>0.0306499535</x:v>
      </x:c>
      <x:c r="AJ422" s="39" t="n">
        <x:v>0.0446634689</x:v>
      </x:c>
      <x:c r="AK422" s="39" t="n">
        <x:v>-0.0366661499</x:v>
      </x:c>
      <x:c r="AL422" s="39" t="n">
        <x:v>0.0120824685</x:v>
      </x:c>
      <x:c r="AM422" s="39" t="n">
        <x:v>0.0154869051</x:v>
      </x:c>
      <x:c r="AN422" s="39" t="n">
        <x:v>0.0131752958</x:v>
      </x:c>
      <x:c r="AO422" s="39" t="n">
        <x:v>-0.025230364</x:v>
      </x:c>
      <x:c r="AP422" s="39" t="n">
        <x:v>0.0016409433</x:v>
      </x:c>
      <x:c r="AQ422" s="39" t="n">
        <x:v>-0.0116712259</x:v>
      </x:c>
      <x:c r="AR422" s="39" t="n">
        <x:v>-0.003109944</x:v>
      </x:c>
      <x:c r="AS422" s="39" t="n">
        <x:v>-0.0017640598</x:v>
      </x:c>
    </x:row>
    <x:row r="423" ht="19" customHeight="1">
      <x:c r="A423" s="30" t="str">
        <x:v>Other sectors</x:v>
      </x:c>
      <x:c r="B423" s="40" t="d">
        <x:v>2021-11-08T00:00:00.000Z</x:v>
      </x:c>
      <x:c r="C423" s="39" t="n">
        <x:v>-0.0306852181</x:v>
      </x:c>
      <x:c r="D423" s="39" t="n">
        <x:v>-0.0565170771</x:v>
      </x:c>
      <x:c r="E423" s="39" t="n">
        <x:v>-0.003694132</x:v>
      </x:c>
      <x:c r="F423" s="39" t="n">
        <x:v>-0.0142329862</x:v>
      </x:c>
      <x:c r="G423" s="39" t="n">
        <x:v>-0.052034881</x:v>
      </x:c>
      <x:c r="H423" s="39" t="n">
        <x:v>-0.0037728616</x:v>
      </x:c>
      <x:c r="I423" s="39" t="n">
        <x:v>-0.0225585736</x:v>
      </x:c>
      <x:c r="J423" s="39" t="n">
        <x:v>0.0933236674</x:v>
      </x:c>
      <x:c r="K423" s="39" t="n">
        <x:v>0.1105862841</x:v>
      </x:c>
      <x:c r="L423" s="39" t="n">
        <x:v>-0.0327841997</x:v>
      </x:c>
      <x:c r="M423" s="39" t="n">
        <x:v>0.0386019205</x:v>
      </x:c>
      <x:c r="N423" s="39" t="n">
        <x:v>-0.0364315056</x:v>
      </x:c>
      <x:c r="O423" s="39" t="n">
        <x:v>0.0000061146</x:v>
      </x:c>
      <x:c r="P423" s="39" t="n">
        <x:v>0.0078598719</x:v>
      </x:c>
      <x:c r="Q423" s="39" t="n">
        <x:v>-0.0326590446</x:v>
      </x:c>
      <x:c r="R423" s="39" t="n">
        <x:v>0.1774382221</x:v>
      </x:c>
      <x:c r="S423" s="39" t="n">
        <x:v>0.0371638638</x:v>
      </x:c>
      <x:c r="T423" s="39" t="n">
        <x:v>0.0588169876</x:v>
      </x:c>
      <x:c r="U423" s="39" t="n">
        <x:v>-0.2068902062</x:v>
      </x:c>
      <x:c r="V423" s="39" t="n">
        <x:v>-0.0839662476</x:v>
      </x:c>
      <x:c r="W423" s="39" t="n">
        <x:v>0.0536530332</x:v>
      </x:c>
      <x:c r="X423" s="39" t="n">
        <x:v>0.0339534963</x:v>
      </x:c>
      <x:c r="Y423" s="39" t="n">
        <x:v>0.0606243441</x:v>
      </x:c>
      <x:c r="Z423" s="39" t="n">
        <x:v>0.0363570697</x:v>
      </x:c>
      <x:c r="AA423" s="39" t="n">
        <x:v>0.0259942031</x:v>
      </x:c>
      <x:c r="AB423" s="39" t="n">
        <x:v>-0.1453099599</x:v>
      </x:c>
      <x:c r="AC423" s="39" t="n">
        <x:v>-0.2563019774</x:v>
      </x:c>
      <x:c r="AD423" s="39" t="n">
        <x:v>0.0091267985</x:v>
      </x:c>
      <x:c r="AE423" s="39" t="n">
        <x:v>0.134969741</x:v>
      </x:c>
      <x:c r="AF423" s="39" t="n">
        <x:v>-0.0756906809</x:v>
      </x:c>
      <x:c r="AG423" s="39" t="n">
        <x:v>0.0182735229</x:v>
      </x:c>
      <x:c r="AH423" s="39" t="n">
        <x:v>-0.0420034595</x:v>
      </x:c>
      <x:c r="AI423" s="39" t="n">
        <x:v>0.1307541589</x:v>
      </x:c>
      <x:c r="AJ423" s="39" t="n">
        <x:v>0.0083502517</x:v>
      </x:c>
      <x:c r="AK423" s="39" t="n">
        <x:v>0.0009794532</x:v>
      </x:c>
      <x:c r="AL423" s="39" t="n">
        <x:v>-0.0584556395</x:v>
      </x:c>
      <x:c r="AM423" s="39" t="n">
        <x:v>0.0291621689</x:v>
      </x:c>
      <x:c r="AN423" s="39" t="n">
        <x:v>0.0460544227</x:v>
      </x:c>
      <x:c r="AO423" s="39" t="n">
        <x:v>0.0619064587</x:v>
      </x:c>
      <x:c r="AP423" s="39" t="n">
        <x:v>0.0240537812</x:v>
      </x:c>
      <x:c r="AQ423" s="39" t="n">
        <x:v>0.0287701826</x:v>
      </x:c>
      <x:c r="AR423" s="39" t="n">
        <x:v>-0.0036208143</x:v>
      </x:c>
      <x:c r="AS423" s="39" t="n">
        <x:v>-0.0007342504</x:v>
      </x:c>
    </x:row>
    <x:row r="424" ht="19" customHeight="1">
      <x:c r="A424" s="30" t="str">
        <x:v>Other sectors</x:v>
      </x:c>
      <x:c r="B424" s="40" t="d">
        <x:v>2021-12-06T00:00:00.000Z</x:v>
      </x:c>
      <x:c r="C424" s="39" t="n">
        <x:v>0.011797629</x:v>
      </x:c>
      <x:c r="D424" s="39" t="n">
        <x:v>-0.0351598922</x:v>
      </x:c>
      <x:c r="E424" s="39" t="n">
        <x:v>-0.0100285443</x:v>
      </x:c>
      <x:c r="F424" s="39" t="n">
        <x:v>0.0068681158</x:v>
      </x:c>
      <x:c r="G424" s="39" t="n">
        <x:v>0.0231097251</x:v>
      </x:c>
      <x:c r="H424" s="39" t="n">
        <x:v>-0.0486092315</x:v>
      </x:c>
      <x:c r="I424" s="39" t="n">
        <x:v>-0.0320126328</x:v>
      </x:c>
      <x:c r="J424" s="39" t="n">
        <x:v>-0.0375237084</x:v>
      </x:c>
      <x:c r="K424" s="39" t="n">
        <x:v>-0.0870101446</x:v>
      </x:c>
      <x:c r="L424" s="39" t="n">
        <x:v>-0.0481035535</x:v>
      </x:c>
      <x:c r="M424" s="39" t="n">
        <x:v>-0.0368528178</x:v>
      </x:c>
      <x:c r="N424" s="39" t="n">
        <x:v>0.0623841628</x:v>
      </x:c>
      <x:c r="O424" s="39" t="n">
        <x:v>-0.0137440725</x:v>
      </x:c>
      <x:c r="P424" s="39" t="n">
        <x:v>-0.0764477659</x:v>
      </x:c>
      <x:c r="Q424" s="39" t="n">
        <x:v>-0.0766344245</x:v>
      </x:c>
      <x:c r="R424" s="39" t="n">
        <x:v>-0.3241731172</x:v>
      </x:c>
      <x:c r="S424" s="39" t="n">
        <x:v>0.0067700884</x:v>
      </x:c>
      <x:c r="T424" s="39" t="n">
        <x:v>-0.2761971683</x:v>
      </x:c>
      <x:c r="U424" s="39" t="n">
        <x:v>0.1096502021</x:v>
      </x:c>
      <x:c r="V424" s="39" t="n">
        <x:v>-0.1249833024</x:v>
      </x:c>
      <x:c r="W424" s="39" t="n">
        <x:v>-0.0587759814</x:v>
      </x:c>
      <x:c r="X424" s="39" t="n">
        <x:v>-0.0003317122</x:v>
      </x:c>
      <x:c r="Y424" s="39" t="n">
        <x:v>0.0039204656</x:v>
      </x:c>
      <x:c r="Z424" s="39" t="n">
        <x:v>0.0078558866</x:v>
      </x:c>
      <x:c r="AA424" s="39" t="n">
        <x:v>-0.0094537474</x:v>
      </x:c>
      <x:c r="AB424" s="39" t="n">
        <x:v>-0.1474534112</x:v>
      </x:c>
      <x:c r="AC424" s="39" t="n">
        <x:v>-0.2731590106</x:v>
      </x:c>
      <x:c r="AD424" s="39" t="n">
        <x:v>0.038119575</x:v>
      </x:c>
      <x:c r="AE424" s="39" t="n">
        <x:v>0.0867849989</x:v>
      </x:c>
      <x:c r="AF424" s="39" t="n">
        <x:v>-0.0163987109</x:v>
      </x:c>
      <x:c r="AG424" s="39" t="n">
        <x:v>-0.0274835206</x:v>
      </x:c>
      <x:c r="AH424" s="39" t="n">
        <x:v>0.004137715</x:v>
      </x:c>
      <x:c r="AI424" s="39" t="n">
        <x:v>-0.1103176071</x:v>
      </x:c>
      <x:c r="AJ424" s="39" t="n">
        <x:v>-0.082917197</x:v>
      </x:c>
      <x:c r="AK424" s="39" t="n">
        <x:v>-0.0293402484</x:v>
      </x:c>
      <x:c r="AL424" s="39" t="n">
        <x:v>0.0054661493</x:v>
      </x:c>
      <x:c r="AM424" s="39" t="n">
        <x:v>-0.0069460368</x:v>
      </x:c>
      <x:c r="AN424" s="39" t="n">
        <x:v>0.0199729918</x:v>
      </x:c>
      <x:c r="AO424" s="39" t="n">
        <x:v>0.0369822661</x:v>
      </x:c>
      <x:c r="AP424" s="39" t="n">
        <x:v>0.098747562</x:v>
      </x:c>
      <x:c r="AQ424" s="39" t="n">
        <x:v>-0.0201488974</x:v>
      </x:c>
      <x:c r="AR424" s="39" t="n">
        <x:v>-0.0019428482</x:v>
      </x:c>
      <x:c r="AS424" s="39" t="n">
        <x:v>0.0154663777</x:v>
      </x:c>
    </x:row>
    <x:row r="425" ht="19" customHeight="1">
      <x:c r="A425" s="30" t="str">
        <x:v>Other sectors</x:v>
      </x:c>
      <x:c r="B425" s="40" t="d">
        <x:v>2022-01-03T00:00:00.000Z</x:v>
      </x:c>
      <x:c r="C425" s="39" t="n">
        <x:v>0.0398235213</x:v>
      </x:c>
      <x:c r="D425" s="39" t="n">
        <x:v>-0.0888260413</x:v>
      </x:c>
      <x:c r="E425" s="39" t="n">
        <x:v>0.0298770656</x:v>
      </x:c>
      <x:c r="F425" s="39" t="n">
        <x:v>0.00519215</x:v>
      </x:c>
      <x:c r="G425" s="39" t="n">
        <x:v>0.0182756683</x:v>
      </x:c>
      <x:c r="H425" s="39" t="n">
        <x:v>-0.0272594784</x:v>
      </x:c>
      <x:c r="I425" s="39" t="n">
        <x:v>-0.0044200374</x:v>
      </x:c>
      <x:c r="J425" s="39" t="n">
        <x:v>0.0036524848</x:v>
      </x:c>
      <x:c r="K425" s="39" t="n">
        <x:v>0.0793371448</x:v>
      </x:c>
      <x:c r="L425" s="39" t="n">
        <x:v>0.0200379451</x:v>
      </x:c>
      <x:c r="M425" s="39" t="n">
        <x:v>0.0253532259</x:v>
      </x:c>
      <x:c r="N425" s="39" t="n">
        <x:v>-0.0414437806</x:v>
      </x:c>
      <x:c r="O425" s="39" t="n">
        <x:v>-0.0678237257</x:v>
      </x:c>
      <x:c r="P425" s="39" t="n">
        <x:v>0.1252675907</x:v>
      </x:c>
      <x:c r="Q425" s="39" t="n">
        <x:v>-0.1359695634</x:v>
      </x:c>
      <x:c r="R425" s="39" t="n">
        <x:v>-0.0818335045</x:v>
      </x:c>
      <x:c r="S425" s="39" t="n">
        <x:v>-0.0264863129</x:v>
      </x:c>
      <x:c r="T425" s="39" t="n">
        <x:v>-0.1682567015</x:v>
      </x:c>
      <x:c r="U425" s="39" t="n">
        <x:v>-0.1294090122</x:v>
      </x:c>
      <x:c r="V425" s="39" t="n">
        <x:v>0.0009182265</x:v>
      </x:c>
      <x:c r="W425" s="39" t="n">
        <x:v>-0.0692734946</x:v>
      </x:c>
      <x:c r="X425" s="39" t="n">
        <x:v>0.0027712408</x:v>
      </x:c>
      <x:c r="Y425" s="39" t="n">
        <x:v>0.1142188151</x:v>
      </x:c>
      <x:c r="Z425" s="39" t="n">
        <x:v>0.0140111047</x:v>
      </x:c>
      <x:c r="AA425" s="39" t="n">
        <x:v>0.0581107217</x:v>
      </x:c>
      <x:c r="AB425" s="39" t="n">
        <x:v>-0.1093732001</x:v>
      </x:c>
      <x:c r="AC425" s="39" t="n">
        <x:v>-0.2484851485</x:v>
      </x:c>
      <x:c r="AD425" s="39" t="n">
        <x:v>0.0070677486</x:v>
      </x:c>
      <x:c r="AE425" s="39" t="n">
        <x:v>0.0978814661</x:v>
      </x:c>
      <x:c r="AF425" s="39" t="n">
        <x:v>0.0713292756</x:v>
      </x:c>
      <x:c r="AG425" s="39" t="n">
        <x:v>0.0494454211</x:v>
      </x:c>
      <x:c r="AH425" s="39" t="n">
        <x:v>-0.0004491481</x:v>
      </x:c>
      <x:c r="AI425" s="39" t="n">
        <x:v>0.0513311303</x:v>
      </x:c>
      <x:c r="AJ425" s="39" t="n">
        <x:v>0.0449949862</x:v>
      </x:c>
      <x:c r="AK425" s="39" t="n">
        <x:v>0.0015061222</x:v>
      </x:c>
      <x:c r="AL425" s="39" t="n">
        <x:v>0.0365342654</x:v>
      </x:c>
      <x:c r="AM425" s="39" t="n">
        <x:v>-0.0313277321</x:v>
      </x:c>
      <x:c r="AN425" s="39" t="n">
        <x:v>-0.0348331687</x:v>
      </x:c>
      <x:c r="AO425" s="39" t="n">
        <x:v>-0.0386565755</x:v>
      </x:c>
      <x:c r="AP425" s="39" t="n">
        <x:v>-0.0334391147</x:v>
      </x:c>
      <x:c r="AQ425" s="39" t="n">
        <x:v>0.0099726369</x:v>
      </x:c>
      <x:c r="AR425" s="39" t="n">
        <x:v>0.00860258</x:v>
      </x:c>
      <x:c r="AS425" s="39" t="n">
        <x:v>0.0450939757</x:v>
      </x:c>
    </x:row>
    <x:row r="426" ht="19" customHeight="1">
      <x:c r="A426" s="30" t="str">
        <x:v>Other sectors</x:v>
      </x:c>
      <x:c r="B426" s="40" t="d">
        <x:v>2022-01-31T00:00:00.000Z</x:v>
      </x:c>
      <x:c r="C426" s="39" t="n">
        <x:v>-0.0037269556</x:v>
      </x:c>
      <x:c r="D426" s="39" t="n">
        <x:v>-0.0077944428</x:v>
      </x:c>
      <x:c r="E426" s="39" t="n">
        <x:v>-0.0073753463</x:v>
      </x:c>
      <x:c r="F426" s="39" t="n">
        <x:v>0.0023085102</x:v>
      </x:c>
      <x:c r="G426" s="39" t="n">
        <x:v>-0.0173134805</x:v>
      </x:c>
      <x:c r="H426" s="39" t="n">
        <x:v>0.005138204</x:v>
      </x:c>
      <x:c r="I426" s="39" t="n">
        <x:v>0.0287615397</x:v>
      </x:c>
      <x:c r="J426" s="39" t="n">
        <x:v>-0.0825342333</x:v>
      </x:c>
      <x:c r="K426" s="39" t="n">
        <x:v>-0.0530712579</x:v>
      </x:c>
      <x:c r="L426" s="39" t="n">
        <x:v>-0.0448272214</x:v>
      </x:c>
      <x:c r="M426" s="39" t="n">
        <x:v>0.0017531548</x:v>
      </x:c>
      <x:c r="N426" s="39" t="n">
        <x:v>0.0076123849</x:v>
      </x:c>
      <x:c r="O426" s="39" t="n">
        <x:v>-0.0324654164</x:v>
      </x:c>
      <x:c r="P426" s="39" t="n">
        <x:v>-0.1397228271</x:v>
      </x:c>
      <x:c r="Q426" s="39" t="n">
        <x:v>0.0277735924</x:v>
      </x:c>
      <x:c r="R426" s="39" t="n">
        <x:v>-0.192050431</x:v>
      </x:c>
      <x:c r="S426" s="39" t="n">
        <x:v>0.0482123999</x:v>
      </x:c>
      <x:c r="T426" s="39" t="n">
        <x:v>-0.0052362462</x:v>
      </x:c>
      <x:c r="U426" s="39" t="n">
        <x:v>-0.1798821722</x:v>
      </x:c>
      <x:c r="V426" s="39" t="n">
        <x:v>0.0549797126</x:v>
      </x:c>
      <x:c r="W426" s="39" t="n">
        <x:v>-0.1398204822</x:v>
      </x:c>
      <x:c r="X426" s="39" t="n">
        <x:v>0.0159372717</x:v>
      </x:c>
      <x:c r="Y426" s="39" t="n">
        <x:v>-0.1424784042</x:v>
      </x:c>
      <x:c r="Z426" s="39" t="n">
        <x:v>0.0277037149</x:v>
      </x:c>
      <x:c r="AA426" s="39" t="n">
        <x:v>-0.0008999083</x:v>
      </x:c>
      <x:c r="AB426" s="39" t="n">
        <x:v>-0.1308822571</x:v>
      </x:c>
      <x:c r="AC426" s="39" t="n">
        <x:v>-0.012525101</x:v>
      </x:c>
      <x:c r="AD426" s="39" t="n">
        <x:v>0.026458641</x:v>
      </x:c>
      <x:c r="AE426" s="39" t="n">
        <x:v>-0.1781239244</x:v>
      </x:c>
      <x:c r="AF426" s="39" t="n">
        <x:v>-0.0546720824</x:v>
      </x:c>
      <x:c r="AG426" s="39" t="n">
        <x:v>0.0271129293</x:v>
      </x:c>
      <x:c r="AH426" s="39" t="n">
        <x:v>-0.037816492</x:v>
      </x:c>
      <x:c r="AI426" s="39" t="n">
        <x:v>-0.0219924091</x:v>
      </x:c>
      <x:c r="AJ426" s="39" t="n">
        <x:v>-0.0665696935</x:v>
      </x:c>
      <x:c r="AK426" s="39" t="n">
        <x:v>-0.0595217762</x:v>
      </x:c>
      <x:c r="AL426" s="39" t="n">
        <x:v>-0.0706055546</x:v>
      </x:c>
      <x:c r="AM426" s="39" t="n">
        <x:v>0.0060826924</x:v>
      </x:c>
      <x:c r="AN426" s="39" t="n">
        <x:v>0.0433101519</x:v>
      </x:c>
      <x:c r="AO426" s="39" t="n">
        <x:v>-0.0013014863</x:v>
      </x:c>
      <x:c r="AP426" s="39" t="n">
        <x:v>-0.010078226</x:v>
      </x:c>
      <x:c r="AQ426" s="39" t="n">
        <x:v>-0.012771005</x:v>
      </x:c>
      <x:c r="AR426" s="39" t="n">
        <x:v>-0.0208800902</x:v>
      </x:c>
      <x:c r="AS426" s="39" t="n">
        <x:v>-0.0112476704</x:v>
      </x:c>
    </x:row>
    <x:row r="427" ht="19" customHeight="1">
      <x:c r="A427" s="30" t="str">
        <x:v>Other sectors</x:v>
      </x:c>
      <x:c r="B427" s="40" t="d">
        <x:v>2022-02-28T00:00:00.000Z</x:v>
      </x:c>
      <x:c r="C427" s="39" t="n">
        <x:v>0.0245314895</x:v>
      </x:c>
      <x:c r="D427" s="39" t="n">
        <x:v>0.108328905</x:v>
      </x:c>
      <x:c r="E427" s="39" t="n">
        <x:v>0.0051193552</x:v>
      </x:c>
      <x:c r="F427" s="39" t="n">
        <x:v>-0.017019693</x:v>
      </x:c>
      <x:c r="G427" s="39" t="n">
        <x:v>0.0511133331</x:v>
      </x:c>
      <x:c r="H427" s="39" t="n">
        <x:v>0.0016317706</x:v>
      </x:c>
      <x:c r="I427" s="39" t="n">
        <x:v>0.0274957105</x:v>
      </x:c>
      <x:c r="J427" s="39" t="n">
        <x:v>-0.0502066406</x:v>
      </x:c>
      <x:c r="K427" s="39" t="n">
        <x:v>0.0189025775</x:v>
      </x:c>
      <x:c r="L427" s="39" t="n">
        <x:v>-0.0848442082</x:v>
      </x:c>
      <x:c r="M427" s="39" t="n">
        <x:v>0.0727420641</x:v>
      </x:c>
      <x:c r="N427" s="39" t="n">
        <x:v>0.1387123509</x:v>
      </x:c>
      <x:c r="O427" s="39" t="n">
        <x:v>0.0292865588</x:v>
      </x:c>
      <x:c r="P427" s="39" t="n">
        <x:v>-0.0730696169</x:v>
      </x:c>
      <x:c r="Q427" s="39" t="n">
        <x:v>-0.0879536579</x:v>
      </x:c>
      <x:c r="R427" s="39" t="n">
        <x:v>-0.0577479853</x:v>
      </x:c>
      <x:c r="S427" s="39" t="n">
        <x:v>-0.0528442584</x:v>
      </x:c>
      <x:c r="T427" s="39" t="n">
        <x:v>0.0231499852</x:v>
      </x:c>
      <x:c r="U427" s="39" t="n">
        <x:v>-0.1927937523</x:v>
      </x:c>
      <x:c r="V427" s="39" t="n">
        <x:v>-0.0311760701</x:v>
      </x:c>
      <x:c r="W427" s="39" t="n">
        <x:v>-0.04604049</x:v>
      </x:c>
      <x:c r="X427" s="39" t="n">
        <x:v>-0.045373894</x:v>
      </x:c>
      <x:c r="Y427" s="39" t="n">
        <x:v>-0.0298068431</x:v>
      </x:c>
      <x:c r="Z427" s="39" t="n">
        <x:v>0.0366245765</x:v>
      </x:c>
      <x:c r="AA427" s="39" t="n">
        <x:v>-0.0014191614</x:v>
      </x:c>
      <x:c r="AB427" s="39" t="n">
        <x:v>0.01564751</x:v>
      </x:c>
      <x:c r="AC427" s="39" t="n">
        <x:v>0.3889494552</x:v>
      </x:c>
      <x:c r="AD427" s="39" t="n">
        <x:v>-0.0414264261</x:v>
      </x:c>
      <x:c r="AE427" s="39" t="n">
        <x:v>-0.0626187095</x:v>
      </x:c>
      <x:c r="AF427" s="39" t="n">
        <x:v>0.031643155</x:v>
      </x:c>
      <x:c r="AG427" s="39" t="n">
        <x:v>-0.1160118838</x:v>
      </x:c>
      <x:c r="AH427" s="39" t="n">
        <x:v>0.0512777386</x:v>
      </x:c>
      <x:c r="AI427" s="39" t="n">
        <x:v>-0.0647063786</x:v>
      </x:c>
      <x:c r="AJ427" s="39" t="n">
        <x:v>0.0427091431</x:v>
      </x:c>
      <x:c r="AK427" s="39" t="n">
        <x:v>0.008103248</x:v>
      </x:c>
      <x:c r="AL427" s="39" t="n">
        <x:v>-0.0996977698</x:v>
      </x:c>
      <x:c r="AM427" s="39" t="n">
        <x:v>0.0213495558</x:v>
      </x:c>
      <x:c r="AN427" s="39" t="n">
        <x:v>-0.0073612803</x:v>
      </x:c>
      <x:c r="AO427" s="39" t="n">
        <x:v>-0.0169668153</x:v>
      </x:c>
      <x:c r="AP427" s="39" t="n">
        <x:v>-0.0763624534</x:v>
      </x:c>
      <x:c r="AQ427" s="39" t="n">
        <x:v>-0.0262685315</x:v>
      </x:c>
      <x:c r="AR427" s="39" t="n">
        <x:v>-0.04847579</x:v>
      </x:c>
      <x:c r="AS427" s="39" t="n">
        <x:v>0.0201682026</x:v>
      </x:c>
    </x:row>
    <x:row r="428" ht="19" customHeight="1">
      <x:c r="A428" s="30" t="str">
        <x:v>Other sectors</x:v>
      </x:c>
      <x:c r="B428" s="40" t="d">
        <x:v>2022-03-28T00:00:00.000Z</x:v>
      </x:c>
      <x:c r="C428" s="39" t="n">
        <x:v>-0.0299259662</x:v>
      </x:c>
      <x:c r="D428" s="39" t="n">
        <x:v>0.0549291185</x:v>
      </x:c>
      <x:c r="E428" s="39" t="n">
        <x:v>-0.0257702228</x:v>
      </x:c>
      <x:c r="F428" s="39" t="n">
        <x:v>-0.0055154086</x:v>
      </x:c>
      <x:c r="G428" s="39" t="n">
        <x:v>-0.0444531996</x:v>
      </x:c>
      <x:c r="H428" s="39" t="n">
        <x:v>0.0373519714</x:v>
      </x:c>
      <x:c r="I428" s="39" t="n">
        <x:v>0.0354089746</x:v>
      </x:c>
      <x:c r="J428" s="39" t="n">
        <x:v>-0.0283597519</x:v>
      </x:c>
      <x:c r="K428" s="39" t="n">
        <x:v>-0.1765974578</x:v>
      </x:c>
      <x:c r="L428" s="39" t="n">
        <x:v>0.0798409257</x:v>
      </x:c>
      <x:c r="M428" s="39" t="n">
        <x:v>0.0213542156</x:v>
      </x:c>
      <x:c r="N428" s="39" t="n">
        <x:v>0.0240856431</x:v>
      </x:c>
      <x:c r="O428" s="39" t="n">
        <x:v>0.0772514905</x:v>
      </x:c>
      <x:c r="P428" s="39" t="n">
        <x:v>-0.0776747034</x:v>
      </x:c>
      <x:c r="Q428" s="39" t="n">
        <x:v>0.0485655723</x:v>
      </x:c>
      <x:c r="R428" s="39" t="n">
        <x:v>0.06298553</x:v>
      </x:c>
      <x:c r="S428" s="39" t="n">
        <x:v>-0.0266288419</x:v>
      </x:c>
      <x:c r="T428" s="39" t="n">
        <x:v>0.045995255</x:v>
      </x:c>
      <x:c r="U428" s="39" t="n">
        <x:v>0.1529454326</x:v>
      </x:c>
      <x:c r="V428" s="39" t="n">
        <x:v>-0.0307125781</x:v>
      </x:c>
      <x:c r="W428" s="39" t="n">
        <x:v>-0.0210542586</x:v>
      </x:c>
      <x:c r="X428" s="39" t="n">
        <x:v>-0.009590961</x:v>
      </x:c>
      <x:c r="Y428" s="39" t="n">
        <x:v>-0.1112572887</x:v>
      </x:c>
      <x:c r="Z428" s="39" t="n">
        <x:v>0.0161295372</x:v>
      </x:c>
      <x:c r="AA428" s="39" t="n">
        <x:v>0.0437202563</x:v>
      </x:c>
      <x:c r="AB428" s="39" t="n">
        <x:v>0.0305178249</x:v>
      </x:c>
      <x:c r="AC428" s="39" t="n">
        <x:v>-0.1341130772</x:v>
      </x:c>
      <x:c r="AD428" s="39" t="n">
        <x:v>-0.0136000402</x:v>
      </x:c>
      <x:c r="AE428" s="39" t="n">
        <x:v>-0.0770871683</x:v>
      </x:c>
      <x:c r="AF428" s="39" t="n">
        <x:v>-0.0309429034</x:v>
      </x:c>
      <x:c r="AG428" s="39" t="n">
        <x:v>0.0058085735</x:v>
      </x:c>
      <x:c r="AH428" s="39" t="n">
        <x:v>-0.0613041391</x:v>
      </x:c>
      <x:c r="AI428" s="39" t="n">
        <x:v>-0.0797687751</x:v>
      </x:c>
      <x:c r="AJ428" s="39" t="n">
        <x:v>0.032902595</x:v>
      </x:c>
      <x:c r="AK428" s="39" t="n">
        <x:v>0.027379081</x:v>
      </x:c>
      <x:c r="AL428" s="39" t="n">
        <x:v>0.0746444574</x:v>
      </x:c>
      <x:c r="AM428" s="39" t="n">
        <x:v>-0.002829141</x:v>
      </x:c>
      <x:c r="AN428" s="39" t="n">
        <x:v>0.0210438619</x:v>
      </x:c>
      <x:c r="AO428" s="39" t="n">
        <x:v>0.0224529563</x:v>
      </x:c>
      <x:c r="AP428" s="39" t="n">
        <x:v>-0.0828526955</x:v>
      </x:c>
      <x:c r="AQ428" s="39" t="n">
        <x:v>0.0038023002</x:v>
      </x:c>
      <x:c r="AR428" s="39" t="n">
        <x:v>0.0072523411</x:v>
      </x:c>
      <x:c r="AS428" s="39" t="n">
        <x:v>0.034422235</x:v>
      </x:c>
    </x:row>
    <x:row r="429" ht="19" customHeight="1">
      <x:c r="A429" s="30" t="str">
        <x:v>Other sectors</x:v>
      </x:c>
      <x:c r="B429" s="40" t="d">
        <x:v>2022-04-25T00:00:00.000Z</x:v>
      </x:c>
      <x:c r="C429" s="39" t="n">
        <x:v>0.11283679</x:v>
      </x:c>
      <x:c r="D429" s="39" t="n">
        <x:v>-0.068932705</x:v>
      </x:c>
      <x:c r="E429" s="39" t="n">
        <x:v>0.0296630158</x:v>
      </x:c>
      <x:c r="F429" s="39" t="n">
        <x:v>0.0234036269</x:v>
      </x:c>
      <x:c r="G429" s="39" t="n">
        <x:v>0.0051327812</x:v>
      </x:c>
      <x:c r="H429" s="39" t="n">
        <x:v>0.0151688224</x:v>
      </x:c>
      <x:c r="I429" s="39" t="n">
        <x:v>-0.0588971029</x:v>
      </x:c>
      <x:c r="J429" s="39" t="n">
        <x:v>0.0638171581</x:v>
      </x:c>
      <x:c r="K429" s="39" t="n">
        <x:v>0.0943424812</x:v>
      </x:c>
      <x:c r="L429" s="39" t="n">
        <x:v>0.0993319586</x:v>
      </x:c>
      <x:c r="M429" s="39" t="n">
        <x:v>-0.0522562726</x:v>
      </x:c>
      <x:c r="N429" s="39" t="n">
        <x:v>-0.0135451498</x:v>
      </x:c>
      <x:c r="O429" s="39" t="n">
        <x:v>-0.039198088</x:v>
      </x:c>
      <x:c r="P429" s="39" t="n">
        <x:v>0.1747254553</x:v>
      </x:c>
      <x:c r="Q429" s="39" t="n">
        <x:v>-0.1334806728</x:v>
      </x:c>
      <x:c r="R429" s="39" t="n">
        <x:v>-0.209142075</x:v>
      </x:c>
      <x:c r="S429" s="39" t="n">
        <x:v>-0.0651538765</x:v>
      </x:c>
      <x:c r="T429" s="39" t="n">
        <x:v>-0.120098236</x:v>
      </x:c>
      <x:c r="U429" s="39" t="n">
        <x:v>-0.0836246094</x:v>
      </x:c>
      <x:c r="V429" s="39" t="n">
        <x:v>-0.1073446909</x:v>
      </x:c>
      <x:c r="W429" s="39" t="n">
        <x:v>-0.370700707</x:v>
      </x:c>
      <x:c r="X429" s="39" t="n">
        <x:v>-0.0068842797</x:v>
      </x:c>
      <x:c r="Y429" s="39" t="n">
        <x:v>0.0283714437</x:v>
      </x:c>
      <x:c r="Z429" s="39" t="n">
        <x:v>0.0112301622</x:v>
      </x:c>
      <x:c r="AA429" s="39" t="n">
        <x:v>-0.052881841</x:v>
      </x:c>
      <x:c r="AB429" s="39" t="n">
        <x:v>-0.0578654507</x:v>
      </x:c>
      <x:c r="AC429" s="39" t="n">
        <x:v>-0.0365644446</x:v>
      </x:c>
      <x:c r="AD429" s="39" t="n">
        <x:v>0.043391543</x:v>
      </x:c>
      <x:c r="AE429" s="39" t="n">
        <x:v>0.030447954</x:v>
      </x:c>
      <x:c r="AF429" s="39" t="n">
        <x:v>0.0142909307</x:v>
      </x:c>
      <x:c r="AG429" s="39" t="n">
        <x:v>-0.0704680692</x:v>
      </x:c>
      <x:c r="AH429" s="39" t="n">
        <x:v>0.0627577271</x:v>
      </x:c>
      <x:c r="AI429" s="39" t="n">
        <x:v>-0.0105956844</x:v>
      </x:c>
      <x:c r="AJ429" s="39" t="n">
        <x:v>0.0123967265</x:v>
      </x:c>
      <x:c r="AK429" s="39" t="n">
        <x:v>0.0029392847</x:v>
      </x:c>
      <x:c r="AL429" s="39" t="n">
        <x:v>-0.003902096</x:v>
      </x:c>
      <x:c r="AM429" s="39" t="n">
        <x:v>0.0168206803</x:v>
      </x:c>
      <x:c r="AN429" s="39" t="n">
        <x:v>0.0333191193</x:v>
      </x:c>
      <x:c r="AO429" s="39" t="n">
        <x:v>-0.0265222403</x:v>
      </x:c>
      <x:c r="AP429" s="39" t="n">
        <x:v>0.0898763428</x:v>
      </x:c>
      <x:c r="AQ429" s="39" t="n">
        <x:v>0.0090391294</x:v>
      </x:c>
      <x:c r="AR429" s="39" t="n">
        <x:v>0.0160054528</x:v>
      </x:c>
      <x:c r="AS429" s="39" t="n">
        <x:v>-0.019265952</x:v>
      </x:c>
    </x:row>
    <x:row r="430" ht="19" customHeight="1">
      <x:c r="A430" s="30" t="str">
        <x:v>Other sectors</x:v>
      </x:c>
      <x:c r="B430" s="40" t="d">
        <x:v>2022-05-23T00:00:00.000Z</x:v>
      </x:c>
      <x:c r="C430" s="39" t="n">
        <x:v>0.0063960706</x:v>
      </x:c>
      <x:c r="D430" s="39" t="n">
        <x:v>-0.0211395235</x:v>
      </x:c>
      <x:c r="E430" s="39" t="n">
        <x:v>0.0004494206</x:v>
      </x:c>
      <x:c r="F430" s="39" t="n">
        <x:v>-0.0273050746</x:v>
      </x:c>
      <x:c r="G430" s="39" t="n">
        <x:v>-0.0112679314</x:v>
      </x:c>
      <x:c r="H430" s="39" t="n">
        <x:v>0.0349932025</x:v>
      </x:c>
      <x:c r="I430" s="39" t="n">
        <x:v>0.0018974275</x:v>
      </x:c>
      <x:c r="J430" s="39" t="n">
        <x:v>0.0080437894</x:v>
      </x:c>
      <x:c r="K430" s="39" t="n">
        <x:v>-0.0292654826</x:v>
      </x:c>
      <x:c r="L430" s="39" t="n">
        <x:v>-0.0223184265</x:v>
      </x:c>
      <x:c r="M430" s="39" t="n">
        <x:v>-0.0881417506</x:v>
      </x:c>
      <x:c r="N430" s="39" t="n">
        <x:v>-0.0655973224</x:v>
      </x:c>
      <x:c r="O430" s="39" t="n">
        <x:v>-0.0336834254</x:v>
      </x:c>
      <x:c r="P430" s="39" t="n">
        <x:v>0.1178424852</x:v>
      </x:c>
      <x:c r="Q430" s="39" t="n">
        <x:v>-0.0453499008</x:v>
      </x:c>
      <x:c r="R430" s="39" t="n">
        <x:v>0.1109048629</x:v>
      </x:c>
      <x:c r="S430" s="39" t="n">
        <x:v>-0.0805165051</x:v>
      </x:c>
      <x:c r="T430" s="39" t="n">
        <x:v>-0.3178242818</x:v>
      </x:c>
      <x:c r="U430" s="39" t="n">
        <x:v>0.0696986235</x:v>
      </x:c>
      <x:c r="V430" s="39" t="n">
        <x:v>-0.0373846524</x:v>
      </x:c>
      <x:c r="W430" s="39" t="n">
        <x:v>-0.0087504385</x:v>
      </x:c>
      <x:c r="X430" s="39" t="n">
        <x:v>0.058721148</x:v>
      </x:c>
      <x:c r="Y430" s="39" t="n">
        <x:v>-0.0188433388</x:v>
      </x:c>
      <x:c r="Z430" s="39" t="n">
        <x:v>-0.0640087794</x:v>
      </x:c>
      <x:c r="AA430" s="39" t="n">
        <x:v>0.0847489931</x:v>
      </x:c>
      <x:c r="AB430" s="39" t="n">
        <x:v>0.0205849781</x:v>
      </x:c>
      <x:c r="AC430" s="39" t="n">
        <x:v>-0.2793278457</x:v>
      </x:c>
      <x:c r="AD430" s="39" t="n">
        <x:v>-0.0102454168</x:v>
      </x:c>
      <x:c r="AE430" s="39" t="n">
        <x:v>-0.0111836459</x:v>
      </x:c>
      <x:c r="AF430" s="39" t="n">
        <x:v>-0.0491211178</x:v>
      </x:c>
      <x:c r="AG430" s="39" t="n">
        <x:v>-0.0516975132</x:v>
      </x:c>
      <x:c r="AH430" s="39" t="n">
        <x:v>0.0047971999</x:v>
      </x:c>
      <x:c r="AI430" s="39" t="n">
        <x:v>0.1432977312</x:v>
      </x:c>
      <x:c r="AJ430" s="39" t="n">
        <x:v>0.0408415244</x:v>
      </x:c>
      <x:c r="AK430" s="39" t="n">
        <x:v>0.0110021181</x:v>
      </x:c>
      <x:c r="AL430" s="39" t="n">
        <x:v>-0.0277361615</x:v>
      </x:c>
      <x:c r="AM430" s="39" t="n">
        <x:v>-0.0119097539</x:v>
      </x:c>
      <x:c r="AN430" s="39" t="n">
        <x:v>-0.0321815672</x:v>
      </x:c>
      <x:c r="AO430" s="39" t="n">
        <x:v>-0.0572612885</x:v>
      </x:c>
      <x:c r="AP430" s="39" t="n">
        <x:v>0.0546025129</x:v>
      </x:c>
      <x:c r="AQ430" s="39" t="n">
        <x:v>0.0082385356</x:v>
      </x:c>
      <x:c r="AR430" s="39" t="n">
        <x:v>-0.0119670924</x:v>
      </x:c>
      <x:c r="AS430" s="39" t="n">
        <x:v>-0.0313756256</x:v>
      </x:c>
    </x:row>
    <x:row r="431" ht="19" customHeight="1">
      <x:c r="A431" s="30" t="str">
        <x:v>Other sectors</x:v>
      </x:c>
      <x:c r="B431" s="40" t="d">
        <x:v>2022-06-20T00:00:00.000Z</x:v>
      </x:c>
      <x:c r="C431" s="39" t="n">
        <x:v>-0.020080524</x:v>
      </x:c>
      <x:c r="D431" s="39" t="n">
        <x:v>-0.111440007</x:v>
      </x:c>
      <x:c r="E431" s="39" t="n">
        <x:v>-0.0208250798</x:v>
      </x:c>
      <x:c r="F431" s="39" t="n">
        <x:v>-0.020996087</x:v>
      </x:c>
      <x:c r="G431" s="39" t="n">
        <x:v>0.0118582366</x:v>
      </x:c>
      <x:c r="H431" s="39" t="n">
        <x:v>-0.0552824467</x:v>
      </x:c>
      <x:c r="I431" s="39" t="n">
        <x:v>0.0170447393</x:v>
      </x:c>
      <x:c r="J431" s="39" t="n">
        <x:v>-0.0476341993</x:v>
      </x:c>
      <x:c r="K431" s="39" t="n">
        <x:v>0.0015323536</x:v>
      </x:c>
      <x:c r="L431" s="39" t="n">
        <x:v>0.0025954018</x:v>
      </x:c>
      <x:c r="M431" s="39" t="n">
        <x:v>0.0019095815</x:v>
      </x:c>
      <x:c r="N431" s="39" t="n">
        <x:v>-0.0434540132</x:v>
      </x:c>
      <x:c r="O431" s="39" t="n">
        <x:v>0.0211323137</x:v>
      </x:c>
      <x:c r="P431" s="39" t="n">
        <x:v>-0.1621761295</x:v>
      </x:c>
      <x:c r="Q431" s="39" t="n">
        <x:v>0.0394009406</x:v>
      </x:c>
      <x:c r="R431" s="39" t="n">
        <x:v>0.1103716022</x:v>
      </x:c>
      <x:c r="S431" s="39" t="n">
        <x:v>0.0726913147</x:v>
      </x:c>
      <x:c r="T431" s="39" t="n">
        <x:v>-0.0126482394</x:v>
      </x:c>
      <x:c r="U431" s="39" t="n">
        <x:v>0.0488958288</x:v>
      </x:c>
      <x:c r="V431" s="39" t="n">
        <x:v>-0.0176574446</x:v>
      </x:c>
      <x:c r="W431" s="39" t="n">
        <x:v>0.0439136148</x:v>
      </x:c>
      <x:c r="X431" s="39" t="n">
        <x:v>0.0046553432</x:v>
      </x:c>
      <x:c r="Y431" s="39" t="n">
        <x:v>-0.1115876669</x:v>
      </x:c>
      <x:c r="Z431" s="39" t="n">
        <x:v>0.0387251627</x:v>
      </x:c>
      <x:c r="AA431" s="39" t="n">
        <x:v>-0.0070023249</x:v>
      </x:c>
      <x:c r="AB431" s="39" t="n">
        <x:v>-0.0036988296</x:v>
      </x:c>
      <x:c r="AC431" s="39" t="n">
        <x:v>0.053672473</x:v>
      </x:c>
      <x:c r="AD431" s="39" t="n">
        <x:v>-0.0214117358</x:v>
      </x:c>
      <x:c r="AE431" s="39" t="n">
        <x:v>-0.0272554217</x:v>
      </x:c>
      <x:c r="AF431" s="39" t="n">
        <x:v>0.0199969647</x:v>
      </x:c>
      <x:c r="AG431" s="39" t="n">
        <x:v>0.0806809771</x:v>
      </x:c>
      <x:c r="AH431" s="39" t="n">
        <x:v>0.0236993832</x:v>
      </x:c>
      <x:c r="AI431" s="39" t="n">
        <x:v>-0.0601961206</x:v>
      </x:c>
      <x:c r="AJ431" s="39" t="n">
        <x:v>-0.0044575953</x:v>
      </x:c>
      <x:c r="AK431" s="39" t="n">
        <x:v>-0.0398390999</x:v>
      </x:c>
      <x:c r="AL431" s="39" t="n">
        <x:v>0.0287987303</x:v>
      </x:c>
      <x:c r="AM431" s="39" t="n">
        <x:v>0.0331399064</x:v>
      </x:c>
      <x:c r="AN431" s="39" t="n">
        <x:v>0.041732489</x:v>
      </x:c>
      <x:c r="AO431" s="39" t="n">
        <x:v>0.0279172053</x:v>
      </x:c>
      <x:c r="AP431" s="39" t="n">
        <x:v>-0.0119802643</x:v>
      </x:c>
      <x:c r="AQ431" s="39" t="n">
        <x:v>-0.0028058155</x:v>
      </x:c>
      <x:c r="AR431" s="39" t="n">
        <x:v>0.0074182861</x:v>
      </x:c>
      <x:c r="AS431" s="39" t="n">
        <x:v>-0.072609863</x:v>
      </x:c>
    </x:row>
    <x:row r="432" ht="19" customHeight="1">
      <x:c r="A432" s="30" t="str">
        <x:v>Other sectors</x:v>
      </x:c>
      <x:c r="B432" s="40" t="d">
        <x:v>2022-07-18T00:00:00.000Z</x:v>
      </x:c>
      <x:c r="C432" s="39" t="n">
        <x:v>-0.0384536185</x:v>
      </x:c>
      <x:c r="D432" s="39" t="n">
        <x:v>-0.1410327438</x:v>
      </x:c>
      <x:c r="E432" s="39" t="n">
        <x:v>-0.0090473241</x:v>
      </x:c>
      <x:c r="F432" s="39" t="n">
        <x:v>-0.0205610145</x:v>
      </x:c>
      <x:c r="G432" s="39" t="n">
        <x:v>0.0421732119</x:v>
      </x:c>
      <x:c r="H432" s="39" t="n">
        <x:v>-0.0239203427</x:v>
      </x:c>
      <x:c r="I432" s="39" t="n">
        <x:v>-0.0194782388</x:v>
      </x:c>
      <x:c r="J432" s="39" t="n">
        <x:v>0.0154185431</x:v>
      </x:c>
      <x:c r="K432" s="39" t="n">
        <x:v>-0.0207209198</x:v>
      </x:c>
      <x:c r="L432" s="39" t="n">
        <x:v>-0.0012680556</x:v>
      </x:c>
      <x:c r="M432" s="39" t="n">
        <x:v>-0.002667581</x:v>
      </x:c>
      <x:c r="N432" s="39" t="n">
        <x:v>-0.0158739913</x:v>
      </x:c>
      <x:c r="O432" s="39" t="n">
        <x:v>0.0798877173</x:v>
      </x:c>
      <x:c r="P432" s="39" t="n">
        <x:v>-0.0831139397</x:v>
      </x:c>
      <x:c r="Q432" s="39" t="n">
        <x:v>-0.0109714331</x:v>
      </x:c>
      <x:c r="R432" s="39" t="n">
        <x:v>-0.1765893985</x:v>
      </x:c>
      <x:c r="S432" s="39" t="n">
        <x:v>-0.0311769208</x:v>
      </x:c>
      <x:c r="T432" s="39" t="n">
        <x:v>-0.0741696094</x:v>
      </x:c>
      <x:c r="U432" s="39" t="n">
        <x:v>0.0784672247</x:v>
      </x:c>
      <x:c r="V432" s="39" t="n">
        <x:v>-0.0093607541</x:v>
      </x:c>
      <x:c r="W432" s="39" t="n">
        <x:v>0.1269709642</x:v>
      </x:c>
      <x:c r="X432" s="39" t="n">
        <x:v>0.0831369133</x:v>
      </x:c>
      <x:c r="Y432" s="39" t="n">
        <x:v>0.0031342641</x:v>
      </x:c>
      <x:c r="Z432" s="39" t="n">
        <x:v>-0.2117039936</x:v>
      </x:c>
      <x:c r="AA432" s="39" t="n">
        <x:v>-0.042793235</x:v>
      </x:c>
      <x:c r="AB432" s="39" t="n">
        <x:v>-0.0846555015</x:v>
      </x:c>
      <x:c r="AC432" s="39" t="n">
        <x:v>-0.3442791616</x:v>
      </x:c>
      <x:c r="AD432" s="39" t="n">
        <x:v>-0.0142098072</x:v>
      </x:c>
      <x:c r="AE432" s="39" t="n">
        <x:v>0.0063646439</x:v>
      </x:c>
      <x:c r="AF432" s="39" t="n">
        <x:v>-0.0628534389</x:v>
      </x:c>
      <x:c r="AG432" s="39" t="n">
        <x:v>0.0587647088</x:v>
      </x:c>
      <x:c r="AH432" s="39" t="n">
        <x:v>-0.0538662845</x:v>
      </x:c>
      <x:c r="AI432" s="39" t="n">
        <x:v>-0.0566393299</x:v>
      </x:c>
      <x:c r="AJ432" s="39" t="n">
        <x:v>-0.0186981414</x:v>
      </x:c>
      <x:c r="AK432" s="39" t="n">
        <x:v>-0.045672659</x:v>
      </x:c>
      <x:c r="AL432" s="39" t="n">
        <x:v>0.0375150574</x:v>
      </x:c>
      <x:c r="AM432" s="39" t="n">
        <x:v>-0.0304529425</x:v>
      </x:c>
      <x:c r="AN432" s="39" t="n">
        <x:v>-0.1006173441</x:v>
      </x:c>
      <x:c r="AO432" s="39" t="n">
        <x:v>0.0344957633</x:v>
      </x:c>
      <x:c r="AP432" s="39" t="n">
        <x:v>0.0276661949</x:v>
      </x:c>
      <x:c r="AQ432" s="39" t="n">
        <x:v>-0.0329540169</x:v>
      </x:c>
      <x:c r="AR432" s="39" t="n">
        <x:v>-0.0598699693</x:v>
      </x:c>
      <x:c r="AS432" s="39" t="n">
        <x:v>0.0065809256</x:v>
      </x:c>
    </x:row>
    <x:row r="433" ht="19" customHeight="1">
      <x:c r="A433" s="30" t="str">
        <x:v>Other sectors</x:v>
      </x:c>
      <x:c r="B433" s="40" t="d">
        <x:v>2022-08-15T00:00:00.000Z</x:v>
      </x:c>
      <x:c r="C433" s="39" t="n">
        <x:v>-0.0538930927</x:v>
      </x:c>
      <x:c r="D433" s="39" t="n">
        <x:v>0.1772583545</x:v>
      </x:c>
      <x:c r="E433" s="39" t="n">
        <x:v>0.0305837338</x:v>
      </x:c>
      <x:c r="F433" s="39" t="n">
        <x:v>0.0004623074</x:v>
      </x:c>
      <x:c r="G433" s="39" t="n">
        <x:v>0.0986628764</x:v>
      </x:c>
      <x:c r="H433" s="39" t="n">
        <x:v>0.1804350058</x:v>
      </x:c>
      <x:c r="I433" s="39" t="n">
        <x:v>0.016135197</x:v>
      </x:c>
      <x:c r="J433" s="39" t="n">
        <x:v>0.0336653541</x:v>
      </x:c>
      <x:c r="K433" s="39" t="n">
        <x:v>-0.0843864501</x:v>
      </x:c>
      <x:c r="L433" s="39" t="n">
        <x:v>-0.0081278213</x:v>
      </x:c>
      <x:c r="M433" s="39" t="n">
        <x:v>0.0958623579</x:v>
      </x:c>
      <x:c r="N433" s="39" t="n">
        <x:v>0.0900788522</x:v>
      </x:c>
      <x:c r="O433" s="39" t="n">
        <x:v>0.1261078126</x:v>
      </x:c>
      <x:c r="P433" s="39" t="n">
        <x:v>-0.0751234712</x:v>
      </x:c>
      <x:c r="Q433" s="39" t="n">
        <x:v>0.0254958185</x:v>
      </x:c>
      <x:c r="R433" s="39" t="n">
        <x:v>-0.0292561709</x:v>
      </x:c>
      <x:c r="S433" s="39" t="n">
        <x:v>-0.0285418882</x:v>
      </x:c>
      <x:c r="T433" s="39" t="n">
        <x:v>0.1119093812</x:v>
      </x:c>
      <x:c r="U433" s="39" t="n">
        <x:v>-0.0462659695</x:v>
      </x:c>
      <x:c r="V433" s="39" t="n">
        <x:v>0.0954742325</x:v>
      </x:c>
      <x:c r="W433" s="39" t="n">
        <x:v>0.0215292036</x:v>
      </x:c>
      <x:c r="X433" s="39" t="n">
        <x:v>-0.0617826522</x:v>
      </x:c>
      <x:c r="Y433" s="39" t="n">
        <x:v>-0.0409206497</x:v>
      </x:c>
      <x:c r="Z433" s="39" t="n">
        <x:v>-0.0975146582</x:v>
      </x:c>
      <x:c r="AA433" s="39" t="n">
        <x:v>0.0734505367</x:v>
      </x:c>
      <x:c r="AB433" s="39" t="n">
        <x:v>-0.1071494839</x:v>
      </x:c>
      <x:c r="AC433" s="39" t="n">
        <x:v>-0.0514282616</x:v>
      </x:c>
      <x:c r="AD433" s="39" t="n">
        <x:v>0.0308914936</x:v>
      </x:c>
      <x:c r="AE433" s="39" t="n">
        <x:v>0.1554234419</x:v>
      </x:c>
      <x:c r="AF433" s="39" t="n">
        <x:v>-0.0506271065</x:v>
      </x:c>
      <x:c r="AG433" s="39" t="n">
        <x:v>0.0376982341</x:v>
      </x:c>
      <x:c r="AH433" s="39" t="n">
        <x:v>0.1065329818</x:v>
      </x:c>
      <x:c r="AI433" s="39" t="n">
        <x:v>0.0171504564</x:v>
      </x:c>
      <x:c r="AJ433" s="39" t="n">
        <x:v>-0.032149451</x:v>
      </x:c>
      <x:c r="AK433" s="39" t="n">
        <x:v>-0.0642642501</x:v>
      </x:c>
      <x:c r="AL433" s="39" t="n">
        <x:v>-0.0646838339</x:v>
      </x:c>
      <x:c r="AM433" s="39" t="n">
        <x:v>0.0306369289</x:v>
      </x:c>
      <x:c r="AN433" s="39" t="n">
        <x:v>0.0373730459</x:v>
      </x:c>
      <x:c r="AO433" s="39" t="n">
        <x:v>0.0061108466</x:v>
      </x:c>
      <x:c r="AP433" s="39" t="n">
        <x:v>-0.0022590731</x:v>
      </x:c>
      <x:c r="AQ433" s="39" t="n">
        <x:v>0.0269336887</x:v>
      </x:c>
      <x:c r="AR433" s="39" t="n">
        <x:v>-0.0117759333</x:v>
      </x:c>
      <x:c r="AS433" s="39" t="n">
        <x:v>0.0186633543</x:v>
      </x:c>
    </x:row>
    <x:row r="434" ht="19" customHeight="1">
      <x:c r="A434" s="30" t="str">
        <x:v>Other sectors</x:v>
      </x:c>
      <x:c r="B434" s="40" t="d">
        <x:v>2022-09-12T00:00:00.000Z</x:v>
      </x:c>
      <x:c r="C434" s="39" t="n">
        <x:v>0.0666641669</x:v>
      </x:c>
      <x:c r="D434" s="39" t="n">
        <x:v>0.0841324434</x:v>
      </x:c>
      <x:c r="E434" s="39" t="n">
        <x:v>-0.0205783466</x:v>
      </x:c>
      <x:c r="F434" s="39" t="n">
        <x:v>-0.0198466986</x:v>
      </x:c>
      <x:c r="G434" s="39" t="n">
        <x:v>0.0178390157</x:v>
      </x:c>
      <x:c r="H434" s="39" t="n">
        <x:v>0.0409997355</x:v>
      </x:c>
      <x:c r="I434" s="39" t="n">
        <x:v>-0.0198078504</x:v>
      </x:c>
      <x:c r="J434" s="39" t="n">
        <x:v>0.0273984303</x:v>
      </x:c>
      <x:c r="K434" s="39" t="n">
        <x:v>0.009122025</x:v>
      </x:c>
      <x:c r="L434" s="39" t="n">
        <x:v>-0.0852845944</x:v>
      </x:c>
      <x:c r="M434" s="39" t="n">
        <x:v>-0.0922951368</x:v>
      </x:c>
      <x:c r="N434" s="39" t="n">
        <x:v>-0.0347894492</x:v>
      </x:c>
      <x:c r="O434" s="39" t="n">
        <x:v>-0.0246454916</x:v>
      </x:c>
      <x:c r="P434" s="39" t="n">
        <x:v>-0.0205846035</x:v>
      </x:c>
      <x:c r="Q434" s="39" t="n">
        <x:v>0.1367746338</x:v>
      </x:c>
      <x:c r="R434" s="39" t="n">
        <x:v>0.1297588864</x:v>
      </x:c>
      <x:c r="S434" s="39" t="n">
        <x:v>-0.0161163758</x:v>
      </x:c>
      <x:c r="T434" s="39" t="n">
        <x:v>-0.1077667062</x:v>
      </x:c>
      <x:c r="U434" s="39" t="n">
        <x:v>-0.0063730559</x:v>
      </x:c>
      <x:c r="V434" s="39" t="n">
        <x:v>-0.0249429409</x:v>
      </x:c>
      <x:c r="W434" s="39" t="n">
        <x:v>0.1078477297</x:v>
      </x:c>
      <x:c r="X434" s="39" t="n">
        <x:v>-0.018863964</x:v>
      </x:c>
      <x:c r="Y434" s="39" t="n">
        <x:v>0.0809970944</x:v>
      </x:c>
      <x:c r="Z434" s="39" t="n">
        <x:v>0.0400391261</x:v>
      </x:c>
      <x:c r="AA434" s="39" t="n">
        <x:v>0.0056742172</x:v>
      </x:c>
      <x:c r="AB434" s="39" t="n">
        <x:v>-0.0328929206</x:v>
      </x:c>
      <x:c r="AC434" s="39" t="n">
        <x:v>0.0782859605</x:v>
      </x:c>
      <x:c r="AD434" s="39" t="n">
        <x:v>-0.0057708338</x:v>
      </x:c>
      <x:c r="AE434" s="39" t="n">
        <x:v>0.0054356851</x:v>
      </x:c>
      <x:c r="AF434" s="39" t="n">
        <x:v>-0.0313242726</x:v>
      </x:c>
      <x:c r="AG434" s="39" t="n">
        <x:v>-0.0260455762</x:v>
      </x:c>
      <x:c r="AH434" s="39" t="n">
        <x:v>-0.0054751915</x:v>
      </x:c>
      <x:c r="AI434" s="39" t="n">
        <x:v>0.016095195</x:v>
      </x:c>
      <x:c r="AJ434" s="39" t="n">
        <x:v>-0.0122433543</x:v>
      </x:c>
      <x:c r="AK434" s="39" t="n">
        <x:v>-0.0346608671</x:v>
      </x:c>
      <x:c r="AL434" s="39" t="n">
        <x:v>0.028476629</x:v>
      </x:c>
      <x:c r="AM434" s="39" t="n">
        <x:v>-0.0354163518</x:v>
      </x:c>
      <x:c r="AN434" s="39" t="n">
        <x:v>-0.0319387749</x:v>
      </x:c>
      <x:c r="AO434" s="39" t="n">
        <x:v>-0.0380634729</x:v>
      </x:c>
      <x:c r="AP434" s="39" t="n">
        <x:v>-0.0622053628</x:v>
      </x:c>
      <x:c r="AQ434" s="39" t="n">
        <x:v>-0.0203696177</x:v>
      </x:c>
      <x:c r="AR434" s="39" t="n">
        <x:v>0.0000255477</x:v>
      </x:c>
      <x:c r="AS434" s="39" t="n">
        <x:v>-0.0525953489</x:v>
      </x:c>
    </x:row>
    <x:row r="435" ht="19" customHeight="1">
      <x:c r="A435" s="30" t="str">
        <x:v>Other sectors</x:v>
      </x:c>
      <x:c r="B435" s="40" t="d">
        <x:v>2022-10-10T00:00:00.000Z</x:v>
      </x:c>
      <x:c r="C435" s="39" t="n">
        <x:v>0.0218219635</x:v>
      </x:c>
      <x:c r="D435" s="39" t="n">
        <x:v>0.0760009908</x:v>
      </x:c>
      <x:c r="E435" s="39" t="n">
        <x:v>0.0371091511</x:v>
      </x:c>
      <x:c r="F435" s="39" t="n">
        <x:v>0.0074961651</x:v>
      </x:c>
      <x:c r="G435" s="39" t="n">
        <x:v>0.0323240099</x:v>
      </x:c>
      <x:c r="H435" s="39" t="n">
        <x:v>0.0382025384</x:v>
      </x:c>
      <x:c r="I435" s="39" t="n">
        <x:v>0.0382599919</x:v>
      </x:c>
      <x:c r="J435" s="39" t="n">
        <x:v>0.0446517129</x:v>
      </x:c>
      <x:c r="K435" s="39" t="n">
        <x:v>-0.0343776408</x:v>
      </x:c>
      <x:c r="L435" s="39" t="n">
        <x:v>0.0422490318</x:v>
      </x:c>
      <x:c r="M435" s="39" t="n">
        <x:v>-0.0255945597</x:v>
      </x:c>
      <x:c r="N435" s="39" t="n">
        <x:v>0.028920148</x:v>
      </x:c>
      <x:c r="O435" s="39" t="n">
        <x:v>0.0514682317</x:v>
      </x:c>
      <x:c r="P435" s="39" t="n">
        <x:v>0.0467696842</x:v>
      </x:c>
      <x:c r="Q435" s="39" t="n">
        <x:v>0.0292119351</x:v>
      </x:c>
      <x:c r="R435" s="39" t="n">
        <x:v>-0.1135435093</x:v>
      </x:c>
      <x:c r="S435" s="39" t="n">
        <x:v>-0.0524038785</x:v>
      </x:c>
      <x:c r="T435" s="39" t="n">
        <x:v>-0.0819070166</x:v>
      </x:c>
      <x:c r="U435" s="39" t="n">
        <x:v>0.1365505635</x:v>
      </x:c>
      <x:c r="V435" s="39" t="n">
        <x:v>0.0793788313</x:v>
      </x:c>
      <x:c r="W435" s="39" t="n">
        <x:v>0.1051978622</x:v>
      </x:c>
      <x:c r="X435" s="39" t="n">
        <x:v>0.0046388343</x:v>
      </x:c>
      <x:c r="Y435" s="39" t="n">
        <x:v>0.0950723403</x:v>
      </x:c>
      <x:c r="Z435" s="39" t="n">
        <x:v>0.1245676085</x:v>
      </x:c>
      <x:c r="AA435" s="39" t="n">
        <x:v>-0.045098076</x:v>
      </x:c>
      <x:c r="AB435" s="39" t="n">
        <x:v>-0.138993662</x:v>
      </x:c>
      <x:c r="AC435" s="39" t="n">
        <x:v>0.1613232059</x:v>
      </x:c>
      <x:c r="AD435" s="39" t="n">
        <x:v>0.0029374639</x:v>
      </x:c>
      <x:c r="AE435" s="39" t="n">
        <x:v>0.0042846046</x:v>
      </x:c>
      <x:c r="AF435" s="39" t="n">
        <x:v>-0.0387175515</x:v>
      </x:c>
      <x:c r="AG435" s="39" t="n">
        <x:v>0.0930712603</x:v>
      </x:c>
      <x:c r="AH435" s="39" t="n">
        <x:v>0.0233802787</x:v>
      </x:c>
      <x:c r="AI435" s="39" t="n">
        <x:v>-0.0618365187</x:v>
      </x:c>
      <x:c r="AJ435" s="39" t="n">
        <x:v>0.0451698673</x:v>
      </x:c>
      <x:c r="AK435" s="39" t="n">
        <x:v>-0.0286065922</x:v>
      </x:c>
      <x:c r="AL435" s="39" t="n">
        <x:v>0.0127330688</x:v>
      </x:c>
      <x:c r="AM435" s="39" t="n">
        <x:v>0.0360455411</x:v>
      </x:c>
      <x:c r="AN435" s="39" t="n">
        <x:v>0.0306306913</x:v>
      </x:c>
      <x:c r="AO435" s="39" t="n">
        <x:v>0.0157761387</x:v>
      </x:c>
      <x:c r="AP435" s="39" t="n">
        <x:v>0.1256773411</x:v>
      </x:c>
      <x:c r="AQ435" s="39" t="n">
        <x:v>-0.0205131032</x:v>
      </x:c>
      <x:c r="AR435" s="39" t="n">
        <x:v>-0.000267024</x:v>
      </x:c>
      <x:c r="AS435" s="39" t="n">
        <x:v>0.0306546981</x:v>
      </x:c>
    </x:row>
    <x:row r="436" ht="19" customHeight="1">
      <x:c r="A436" s="30" t="str">
        <x:v>Other sectors</x:v>
      </x:c>
      <x:c r="B436" s="40" t="d">
        <x:v>2022-11-07T00:00:00.000Z</x:v>
      </x:c>
      <x:c r="C436" s="39" t="n">
        <x:v>-0.0241917584</x:v>
      </x:c>
      <x:c r="D436" s="39" t="n">
        <x:v>0.0542950175</x:v>
      </x:c>
      <x:c r="E436" s="39" t="n">
        <x:v>-0.0221868386</x:v>
      </x:c>
      <x:c r="F436" s="39" t="n">
        <x:v>0.0152093841</x:v>
      </x:c>
      <x:c r="G436" s="39" t="n">
        <x:v>-0.1191916972</x:v>
      </x:c>
      <x:c r="H436" s="39" t="n">
        <x:v>-0.0450066158</x:v>
      </x:c>
      <x:c r="I436" s="39" t="n">
        <x:v>-0.0818377195</x:v>
      </x:c>
      <x:c r="J436" s="39" t="n">
        <x:v>-0.0224498878</x:v>
      </x:c>
      <x:c r="K436" s="39" t="n">
        <x:v>-0.236955819</x:v>
      </x:c>
      <x:c r="L436" s="39" t="n">
        <x:v>-0.0338612277</x:v>
      </x:c>
      <x:c r="M436" s="39" t="n">
        <x:v>-0.0439999183</x:v>
      </x:c>
      <x:c r="N436" s="39" t="n">
        <x:v>-0.1385770775</x:v>
      </x:c>
      <x:c r="O436" s="39" t="n">
        <x:v>-0.0126745378</x:v>
      </x:c>
      <x:c r="P436" s="39" t="n">
        <x:v>-0.1653606947</x:v>
      </x:c>
      <x:c r="Q436" s="39" t="n">
        <x:v>0.0914730826</x:v>
      </x:c>
      <x:c r="R436" s="39" t="n">
        <x:v>-0.1986281416</x:v>
      </x:c>
      <x:c r="S436" s="39" t="n">
        <x:v>-0.0581726954</x:v>
      </x:c>
      <x:c r="T436" s="39" t="n">
        <x:v>0.0378990809</x:v>
      </x:c>
      <x:c r="U436" s="39" t="n">
        <x:v>0.0589773414</x:v>
      </x:c>
      <x:c r="V436" s="39" t="n">
        <x:v>0.2164611861</x:v>
      </x:c>
      <x:c r="W436" s="39" t="n">
        <x:v>0.1511529613</x:v>
      </x:c>
      <x:c r="X436" s="39" t="n">
        <x:v>0.0296070105</x:v>
      </x:c>
      <x:c r="Y436" s="39" t="n">
        <x:v>-0.1328616025</x:v>
      </x:c>
      <x:c r="Z436" s="39" t="n">
        <x:v>-0.1125682017</x:v>
      </x:c>
      <x:c r="AA436" s="39" t="n">
        <x:v>-0.0041019838</x:v>
      </x:c>
      <x:c r="AB436" s="39" t="n">
        <x:v>-0.1378070376</x:v>
      </x:c>
      <x:c r="AC436" s="39" t="n">
        <x:v>-0.2645474697</x:v>
      </x:c>
      <x:c r="AD436" s="39" t="n">
        <x:v>0.0247436619</x:v>
      </x:c>
      <x:c r="AE436" s="39" t="n">
        <x:v>0.0164978251</x:v>
      </x:c>
      <x:c r="AF436" s="39" t="n">
        <x:v>-0.0412292155</x:v>
      </x:c>
      <x:c r="AG436" s="39" t="n">
        <x:v>0.0989475789</x:v>
      </x:c>
      <x:c r="AH436" s="39" t="n">
        <x:v>-0.0978792576</x:v>
      </x:c>
      <x:c r="AI436" s="39" t="n">
        <x:v>-0.0135641285</x:v>
      </x:c>
      <x:c r="AJ436" s="39" t="n">
        <x:v>-0.0132149706</x:v>
      </x:c>
      <x:c r="AK436" s="39" t="n">
        <x:v>0.0399604252</x:v>
      </x:c>
      <x:c r="AL436" s="39" t="n">
        <x:v>-0.0686608381</x:v>
      </x:c>
      <x:c r="AM436" s="39" t="n">
        <x:v>-0.0114486422</x:v>
      </x:c>
      <x:c r="AN436" s="39" t="n">
        <x:v>-0.0301583788</x:v>
      </x:c>
      <x:c r="AO436" s="39" t="n">
        <x:v>0.0308117948</x:v>
      </x:c>
      <x:c r="AP436" s="39" t="n">
        <x:v>-0.0031315358</x:v>
      </x:c>
      <x:c r="AQ436" s="39" t="n">
        <x:v>-0.016322713</x:v>
      </x:c>
      <x:c r="AR436" s="39" t="n">
        <x:v>-0.0394123014</x:v>
      </x:c>
      <x:c r="AS436" s="39" t="n">
        <x:v>0.020409573</x:v>
      </x:c>
    </x:row>
    <x:row r="437" ht="19" customHeight="1">
      <x:c r="A437" s="30" t="str">
        <x:v>Other sectors</x:v>
      </x:c>
      <x:c r="B437" s="40" t="d">
        <x:v>2022-12-05T00:00:00.000Z</x:v>
      </x:c>
      <x:c r="C437" s="39" t="n">
        <x:v>-0.0030828513</x:v>
      </x:c>
      <x:c r="D437" s="39" t="n">
        <x:v>-0.0265218117</x:v>
      </x:c>
      <x:c r="E437" s="39" t="n">
        <x:v>0.008159249</x:v>
      </x:c>
      <x:c r="F437" s="39" t="n">
        <x:v>0.0065697587</x:v>
      </x:c>
      <x:c r="G437" s="39" t="n">
        <x:v>0.0311759369</x:v>
      </x:c>
      <x:c r="H437" s="39" t="n">
        <x:v>-0.018205908</x:v>
      </x:c>
      <x:c r="I437" s="39" t="n">
        <x:v>-0.055928694</x:v>
      </x:c>
      <x:c r="J437" s="39" t="n">
        <x:v>-0.0637951873</x:v>
      </x:c>
      <x:c r="K437" s="39" t="n">
        <x:v>-0.036848505</x:v>
      </x:c>
      <x:c r="L437" s="39" t="n">
        <x:v>-0.0100773593</x:v>
      </x:c>
      <x:c r="M437" s="39" t="n">
        <x:v>0.0401283984</x:v>
      </x:c>
      <x:c r="N437" s="39" t="n">
        <x:v>0.0203092421</x:v>
      </x:c>
      <x:c r="O437" s="39" t="n">
        <x:v>0.005589552</x:v>
      </x:c>
      <x:c r="P437" s="39" t="n">
        <x:v>-0.1331891535</x:v>
      </x:c>
      <x:c r="Q437" s="39" t="n">
        <x:v>-0.1258358974</x:v>
      </x:c>
      <x:c r="R437" s="39" t="n">
        <x:v>0.0044544918</x:v>
      </x:c>
      <x:c r="S437" s="39" t="n">
        <x:v>0.0116914469</x:v>
      </x:c>
      <x:c r="T437" s="39" t="n">
        <x:v>0.0150576557</x:v>
      </x:c>
      <x:c r="U437" s="39" t="n">
        <x:v>-0.0157005863</x:v>
      </x:c>
      <x:c r="V437" s="39" t="n">
        <x:v>-0.0607222515</x:v>
      </x:c>
      <x:c r="W437" s="39" t="n">
        <x:v>0.0759323715</x:v>
      </x:c>
      <x:c r="X437" s="39" t="n">
        <x:v>0.041674737</x:v>
      </x:c>
      <x:c r="Y437" s="39" t="n">
        <x:v>-0.1703172005</x:v>
      </x:c>
      <x:c r="Z437" s="39" t="n">
        <x:v>-0.0532314563</x:v>
      </x:c>
      <x:c r="AA437" s="39" t="n">
        <x:v>0.0115744026</x:v>
      </x:c>
      <x:c r="AB437" s="39" t="n">
        <x:v>0.0811372506</x:v>
      </x:c>
      <x:c r="AC437" s="39" t="n">
        <x:v>-0.058922386</x:v>
      </x:c>
      <x:c r="AD437" s="39" t="n">
        <x:v>0.0024853186</x:v>
      </x:c>
      <x:c r="AE437" s="39" t="n">
        <x:v>-0.0792561945</x:v>
      </x:c>
      <x:c r="AF437" s="39" t="n">
        <x:v>0.1096054419</x:v>
      </x:c>
      <x:c r="AG437" s="39" t="n">
        <x:v>-0.0399183219</x:v>
      </x:c>
      <x:c r="AH437" s="39" t="n">
        <x:v>-0.0154723015</x:v>
      </x:c>
      <x:c r="AI437" s="39" t="n">
        <x:v>-0.0541116673</x:v>
      </x:c>
      <x:c r="AJ437" s="39" t="n">
        <x:v>-0.0400120925</x:v>
      </x:c>
      <x:c r="AK437" s="39" t="n">
        <x:v>-0.0797558645</x:v>
      </x:c>
      <x:c r="AL437" s="39" t="n">
        <x:v>0.0686833164</x:v>
      </x:c>
      <x:c r="AM437" s="39" t="n">
        <x:v>0.0187368399</x:v>
      </x:c>
      <x:c r="AN437" s="39" t="n">
        <x:v>-0.0301394999</x:v>
      </x:c>
      <x:c r="AO437" s="39" t="n">
        <x:v>-0.0869335131</x:v>
      </x:c>
      <x:c r="AP437" s="39" t="n">
        <x:v>0.0298574594</x:v>
      </x:c>
      <x:c r="AQ437" s="39" t="n">
        <x:v>-0.0195618907</x:v>
      </x:c>
      <x:c r="AR437" s="39" t="n">
        <x:v>-0.0266712217</x:v>
      </x:c>
      <x:c r="AS437" s="39" t="n">
        <x:v>-0.0216000694</x:v>
      </x:c>
    </x:row>
    <x:row r="438" ht="19" customHeight="1">
      <x:c r="A438" s="30" t="str">
        <x:v>Other sectors</x:v>
      </x:c>
      <x:c r="B438" s="40" t="d">
        <x:v>2023-01-02T00:00:00.000Z</x:v>
      </x:c>
      <x:c r="C438" s="39" t="n">
        <x:v>-0.0648267934</x:v>
      </x:c>
      <x:c r="D438" s="39" t="n">
        <x:v>0.0971837811</x:v>
      </x:c>
      <x:c r="E438" s="39" t="n">
        <x:v>-0.0216527627</x:v>
      </x:c>
      <x:c r="F438" s="39" t="n">
        <x:v>-0.0865078956</x:v>
      </x:c>
      <x:c r="G438" s="39" t="n">
        <x:v>-0.0158331107</x:v>
      </x:c>
      <x:c r="H438" s="39" t="n">
        <x:v>-0.0432339637</x:v>
      </x:c>
      <x:c r="I438" s="39" t="n">
        <x:v>0.0274369541</x:v>
      </x:c>
      <x:c r="J438" s="39" t="n">
        <x:v>-0.0737359903</x:v>
      </x:c>
      <x:c r="K438" s="39" t="n">
        <x:v>0.0402112336</x:v>
      </x:c>
      <x:c r="L438" s="39" t="n">
        <x:v>0.0171364167</x:v>
      </x:c>
      <x:c r="M438" s="39" t="n">
        <x:v>-0.173837283</x:v>
      </x:c>
      <x:c r="N438" s="39" t="n">
        <x:v>-0.0260178763</x:v>
      </x:c>
      <x:c r="O438" s="39" t="n">
        <x:v>-0.1429962704</x:v>
      </x:c>
      <x:c r="P438" s="39" t="n">
        <x:v>0.0302524612</x:v>
      </x:c>
      <x:c r="Q438" s="39" t="n">
        <x:v>0.0596751245</x:v>
      </x:c>
      <x:c r="R438" s="39" t="n">
        <x:v>-0.1170691426</x:v>
      </x:c>
      <x:c r="S438" s="39" t="n">
        <x:v>-0.016161134</x:v>
      </x:c>
      <x:c r="T438" s="39" t="n">
        <x:v>-0.1304178082</x:v>
      </x:c>
      <x:c r="U438" s="39" t="n">
        <x:v>-0.0032482572</x:v>
      </x:c>
      <x:c r="V438" s="39" t="n">
        <x:v>-0.0006464454</x:v>
      </x:c>
      <x:c r="W438" s="39" t="n">
        <x:v>-0.0118788795</x:v>
      </x:c>
      <x:c r="X438" s="39" t="n">
        <x:v>0.0185777593</x:v>
      </x:c>
      <x:c r="Y438" s="39" t="n">
        <x:v>0.0250411922</x:v>
      </x:c>
      <x:c r="Z438" s="39" t="n">
        <x:v>0.0537029256</x:v>
      </x:c>
      <x:c r="AA438" s="39" t="n">
        <x:v>0.0071125208</x:v>
      </x:c>
      <x:c r="AB438" s="39" t="n">
        <x:v>0.1438732263</x:v>
      </x:c>
      <x:c r="AC438" s="39" t="n">
        <x:v>-0.238004843</x:v>
      </x:c>
      <x:c r="AD438" s="39" t="n">
        <x:v>0.0119492493</x:v>
      </x:c>
      <x:c r="AE438" s="39" t="n">
        <x:v>-0.0407009535</x:v>
      </x:c>
      <x:c r="AF438" s="39" t="n">
        <x:v>0.0761864473</x:v>
      </x:c>
      <x:c r="AG438" s="39" t="n">
        <x:v>0.1381518269</x:v>
      </x:c>
      <x:c r="AH438" s="39" t="n">
        <x:v>-0.0659227863</x:v>
      </x:c>
      <x:c r="AI438" s="39" t="n">
        <x:v>0.0118094836</x:v>
      </x:c>
      <x:c r="AJ438" s="39" t="n">
        <x:v>0.0216848449</x:v>
      </x:c>
      <x:c r="AK438" s="39" t="n">
        <x:v>-0.0119783223</x:v>
      </x:c>
      <x:c r="AL438" s="39" t="n">
        <x:v>0.0153459011</x:v>
      </x:c>
      <x:c r="AM438" s="39" t="n">
        <x:v>-0.0336628328</x:v>
      </x:c>
      <x:c r="AN438" s="39" t="n">
        <x:v>-0.0671094892</x:v>
      </x:c>
      <x:c r="AO438" s="39" t="n">
        <x:v>0.007584596</x:v>
      </x:c>
      <x:c r="AP438" s="39" t="n">
        <x:v>-0.0022173943</x:v>
      </x:c>
      <x:c r="AQ438" s="39" t="n">
        <x:v>-0.0236158495</x:v>
      </x:c>
      <x:c r="AR438" s="39" t="n">
        <x:v>0.0091248952</x:v>
      </x:c>
      <x:c r="AS438" s="39" t="n">
        <x:v>0.0100131113</x:v>
      </x:c>
    </x:row>
    <x:row r="439" ht="19" customHeight="1">
      <x:c r="A439" s="30" t="str">
        <x:v>Other sectors</x:v>
      </x:c>
      <x:c r="B439" s="40" t="d">
        <x:v>2023-01-30T00:00:00.000Z</x:v>
      </x:c>
      <x:c r="C439" s="39" t="n">
        <x:v>-0.052923745</x:v>
      </x:c>
      <x:c r="D439" s="39" t="n">
        <x:v>-0.002574333</x:v>
      </x:c>
      <x:c r="E439" s="39" t="n">
        <x:v>-0.0113721002</x:v>
      </x:c>
      <x:c r="F439" s="39" t="n">
        <x:v>0.0329595449</x:v>
      </x:c>
      <x:c r="G439" s="39" t="n">
        <x:v>0.0428689343</x:v>
      </x:c>
      <x:c r="H439" s="39" t="n">
        <x:v>0.0894037178</x:v>
      </x:c>
      <x:c r="I439" s="39" t="n">
        <x:v>0.0130653179</x:v>
      </x:c>
      <x:c r="J439" s="39" t="n">
        <x:v>-0.0011733277</x:v>
      </x:c>
      <x:c r="K439" s="39" t="n">
        <x:v>-0.0348081778</x:v>
      </x:c>
      <x:c r="L439" s="39" t="n">
        <x:v>0.0327549386</x:v>
      </x:c>
      <x:c r="M439" s="39" t="n">
        <x:v>-0.0035666281</x:v>
      </x:c>
      <x:c r="N439" s="39" t="n">
        <x:v>0.0448993514</x:v>
      </x:c>
      <x:c r="O439" s="39" t="n">
        <x:v>0.0500383159</x:v>
      </x:c>
      <x:c r="P439" s="39" t="n">
        <x:v>-0.0235256403</x:v>
      </x:c>
      <x:c r="Q439" s="39" t="n">
        <x:v>-0.0934881537</x:v>
      </x:c>
      <x:c r="R439" s="39" t="n">
        <x:v>0.0603575541</x:v>
      </x:c>
      <x:c r="S439" s="39" t="n">
        <x:v>0.023606813</x:v>
      </x:c>
      <x:c r="T439" s="39" t="n">
        <x:v>0.1248110154</x:v>
      </x:c>
      <x:c r="U439" s="39" t="n">
        <x:v>-0.0201591517</x:v>
      </x:c>
      <x:c r="V439" s="39" t="n">
        <x:v>0.0565970612</x:v>
      </x:c>
      <x:c r="W439" s="39" t="n">
        <x:v>0.0016892045</x:v>
      </x:c>
      <x:c r="X439" s="39" t="n">
        <x:v>-0.0157150644</x:v>
      </x:c>
      <x:c r="Y439" s="39" t="n">
        <x:v>-0.0427496988</x:v>
      </x:c>
      <x:c r="Z439" s="39" t="n">
        <x:v>-0.0731724628</x:v>
      </x:c>
      <x:c r="AA439" s="39" t="n">
        <x:v>0.0258762098</x:v>
      </x:c>
      <x:c r="AB439" s="39" t="n">
        <x:v>-0.0477123806</x:v>
      </x:c>
      <x:c r="AC439" s="39" t="n">
        <x:v>0.3078737533</x:v>
      </x:c>
      <x:c r="AD439" s="39" t="n">
        <x:v>-0.0359326205</x:v>
      </x:c>
      <x:c r="AE439" s="39" t="n">
        <x:v>-0.0428160909</x:v>
      </x:c>
      <x:c r="AF439" s="39" t="n">
        <x:v>-0.0500758539</x:v>
      </x:c>
      <x:c r="AG439" s="39" t="n">
        <x:v>-0.064769399</x:v>
      </x:c>
      <x:c r="AH439" s="39" t="n">
        <x:v>-0.0289597122</x:v>
      </x:c>
      <x:c r="AI439" s="39" t="n">
        <x:v>0.0298549855</x:v>
      </x:c>
      <x:c r="AJ439" s="39" t="n">
        <x:v>-0.0649133458</x:v>
      </x:c>
      <x:c r="AK439" s="39" t="n">
        <x:v>0.0202734527</x:v>
      </x:c>
      <x:c r="AL439" s="39" t="n">
        <x:v>-0.1075554929</x:v>
      </x:c>
      <x:c r="AM439" s="39" t="n">
        <x:v>0.0229558972</x:v>
      </x:c>
      <x:c r="AN439" s="39" t="n">
        <x:v>0.0430644769</x:v>
      </x:c>
      <x:c r="AO439" s="39" t="n">
        <x:v>0.0158173075</x:v>
      </x:c>
      <x:c r="AP439" s="39" t="n">
        <x:v>-0.0212412802</x:v>
      </x:c>
      <x:c r="AQ439" s="39" t="n">
        <x:v>0.0215421246</x:v>
      </x:c>
      <x:c r="AR439" s="39" t="n">
        <x:v>-0.0296350522</x:v>
      </x:c>
      <x:c r="AS439" s="39" t="n">
        <x:v>-0.0267158546</x:v>
      </x:c>
    </x:row>
    <x:row r="440" ht="19" customHeight="1">
      <x:c r="A440" s="30" t="str">
        <x:v>Other sectors</x:v>
      </x:c>
      <x:c r="B440" s="40" t="d">
        <x:v>2023-02-27T00:00:00.000Z</x:v>
      </x:c>
      <x:c r="C440" s="39" t="n">
        <x:v>-0.0569237419</x:v>
      </x:c>
      <x:c r="D440" s="39" t="n">
        <x:v>0.1425879739</x:v>
      </x:c>
      <x:c r="E440" s="39" t="n">
        <x:v>0.0185491226</x:v>
      </x:c>
      <x:c r="F440" s="39" t="n">
        <x:v>-0.003746317</x:v>
      </x:c>
      <x:c r="G440" s="39" t="n">
        <x:v>-0.0179028166</x:v>
      </x:c>
      <x:c r="H440" s="39" t="n">
        <x:v>-0.0618798062</x:v>
      </x:c>
      <x:c r="I440" s="39" t="n">
        <x:v>-0.013520929</x:v>
      </x:c>
      <x:c r="J440" s="39" t="n">
        <x:v>0.155304669</x:v>
      </x:c>
      <x:c r="K440" s="39" t="n">
        <x:v>-0.0462179214</x:v>
      </x:c>
      <x:c r="L440" s="39" t="n">
        <x:v>0.0478813086</x:v>
      </x:c>
      <x:c r="M440" s="39" t="n">
        <x:v>-0.0335416148</x:v>
      </x:c>
      <x:c r="N440" s="39" t="n">
        <x:v>0.0095394484</x:v>
      </x:c>
      <x:c r="O440" s="39" t="n">
        <x:v>0.0175721114</x:v>
      </x:c>
      <x:c r="P440" s="39" t="n">
        <x:v>-0.1357754946</x:v>
      </x:c>
      <x:c r="Q440" s="39" t="n">
        <x:v>-0.0007113782</x:v>
      </x:c>
      <x:c r="R440" s="39" t="n">
        <x:v>0.1049003333</x:v>
      </x:c>
      <x:c r="S440" s="39" t="n">
        <x:v>0.0497680332</x:v>
      </x:c>
      <x:c r="T440" s="39" t="n">
        <x:v>0.0443096835</x:v>
      </x:c>
      <x:c r="U440" s="39" t="n">
        <x:v>-0.0989123219</x:v>
      </x:c>
      <x:c r="V440" s="39" t="n">
        <x:v>0.075231278</x:v>
      </x:c>
      <x:c r="W440" s="39" t="n">
        <x:v>-0.0687670193</x:v>
      </x:c>
      <x:c r="X440" s="39" t="n">
        <x:v>0.0155352224</x:v>
      </x:c>
      <x:c r="Y440" s="39" t="n">
        <x:v>-0.0858959602</x:v>
      </x:c>
      <x:c r="Z440" s="39" t="n">
        <x:v>-0.0568986996</x:v>
      </x:c>
      <x:c r="AA440" s="39" t="n">
        <x:v>0.0572034054</x:v>
      </x:c>
      <x:c r="AB440" s="39" t="n">
        <x:v>-0.1276363024</x:v>
      </x:c>
      <x:c r="AC440" s="39" t="n">
        <x:v>-0.0795684707</x:v>
      </x:c>
      <x:c r="AD440" s="39" t="n">
        <x:v>0.0164315673</x:v>
      </x:c>
      <x:c r="AE440" s="39" t="n">
        <x:v>0.1007409071</x:v>
      </x:c>
      <x:c r="AF440" s="39" t="n">
        <x:v>-0.1166924267</x:v>
      </x:c>
      <x:c r="AG440" s="39" t="n">
        <x:v>0.0854382902</x:v>
      </x:c>
      <x:c r="AH440" s="39" t="n">
        <x:v>0.0097332509</x:v>
      </x:c>
      <x:c r="AI440" s="39" t="n">
        <x:v>-0.0254010994</x:v>
      </x:c>
      <x:c r="AJ440" s="39" t="n">
        <x:v>-0.0527281823</x:v>
      </x:c>
      <x:c r="AK440" s="39" t="n">
        <x:v>0.0618360778</x:v>
      </x:c>
      <x:c r="AL440" s="39" t="n">
        <x:v>0.002053383</x:v>
      </x:c>
      <x:c r="AM440" s="39" t="n">
        <x:v>0.0269611031</x:v>
      </x:c>
      <x:c r="AN440" s="39" t="n">
        <x:v>-0.0294062327</x:v>
      </x:c>
      <x:c r="AO440" s="39" t="n">
        <x:v>-0.0499621356</x:v>
      </x:c>
      <x:c r="AP440" s="39" t="n">
        <x:v>-0.0668248254</x:v>
      </x:c>
      <x:c r="AQ440" s="39" t="n">
        <x:v>0.0042847317</x:v>
      </x:c>
      <x:c r="AR440" s="39" t="n">
        <x:v>-0.035805851</x:v>
      </x:c>
      <x:c r="AS440" s="39" t="n">
        <x:v>0.0259293256</x:v>
      </x:c>
    </x:row>
    <x:row r="441" ht="19" customHeight="1">
      <x:c r="A441" s="30" t="str">
        <x:v>Other sectors</x:v>
      </x:c>
      <x:c r="B441" s="40" t="d">
        <x:v>2023-03-27T00:00:00.000Z</x:v>
      </x:c>
      <x:c r="C441" s="39" t="n">
        <x:v>0.0631116358</x:v>
      </x:c>
      <x:c r="D441" s="39" t="n">
        <x:v>0.0333004846</x:v>
      </x:c>
      <x:c r="E441" s="39" t="n">
        <x:v>-0.0026523231</x:v>
      </x:c>
      <x:c r="F441" s="39" t="n">
        <x:v>-0.0093980443</x:v>
      </x:c>
      <x:c r="G441" s="39" t="n">
        <x:v>0.0339059673</x:v>
      </x:c>
      <x:c r="H441" s="39" t="n">
        <x:v>0.0919261765</x:v>
      </x:c>
      <x:c r="I441" s="39" t="n">
        <x:v>0.0130559815</x:v>
      </x:c>
      <x:c r="J441" s="39" t="n">
        <x:v>-0.1692340741</x:v>
      </x:c>
      <x:c r="K441" s="39" t="n">
        <x:v>-0.1543459151</x:v>
      </x:c>
      <x:c r="L441" s="39" t="n">
        <x:v>0.0259481285</x:v>
      </x:c>
      <x:c r="M441" s="39" t="n">
        <x:v>-0.110423282</x:v>
      </x:c>
      <x:c r="N441" s="39" t="n">
        <x:v>-0.0539602923</x:v>
      </x:c>
      <x:c r="O441" s="39" t="n">
        <x:v>-0.0014771096</x:v>
      </x:c>
      <x:c r="P441" s="39" t="n">
        <x:v>-0.1225736131</x:v>
      </x:c>
      <x:c r="Q441" s="39" t="n">
        <x:v>-0.0782422502</x:v>
      </x:c>
      <x:c r="R441" s="39" t="n">
        <x:v>-0.0062129093</x:v>
      </x:c>
      <x:c r="S441" s="39" t="n">
        <x:v>0.0067967554</x:v>
      </x:c>
      <x:c r="T441" s="39" t="n">
        <x:v>-0.011993785</x:v>
      </x:c>
      <x:c r="U441" s="39" t="n">
        <x:v>0.0873166978</x:v>
      </x:c>
      <x:c r="V441" s="39" t="n">
        <x:v>0.0293299172</x:v>
      </x:c>
      <x:c r="W441" s="39" t="n">
        <x:v>-0.0200912724</x:v>
      </x:c>
      <x:c r="X441" s="39" t="n">
        <x:v>-0.0070104561</x:v>
      </x:c>
      <x:c r="Y441" s="39" t="n">
        <x:v>-0.0883011968</x:v>
      </x:c>
      <x:c r="Z441" s="39" t="n">
        <x:v>0.1249988236</x:v>
      </x:c>
      <x:c r="AA441" s="39" t="n">
        <x:v>0.0194449512</x:v>
      </x:c>
      <x:c r="AB441" s="39" t="n">
        <x:v>-0.0304678801</x:v>
      </x:c>
      <x:c r="AC441" s="39" t="n">
        <x:v>0.0499526118</x:v>
      </x:c>
      <x:c r="AD441" s="39" t="n">
        <x:v>0.0190274246</x:v>
      </x:c>
      <x:c r="AE441" s="39" t="n">
        <x:v>-0.0373282642</x:v>
      </x:c>
      <x:c r="AF441" s="39" t="n">
        <x:v>0.1026067749</x:v>
      </x:c>
      <x:c r="AG441" s="39" t="n">
        <x:v>-0.0053369857</x:v>
      </x:c>
      <x:c r="AH441" s="39" t="n">
        <x:v>-0.0168976472</x:v>
      </x:c>
      <x:c r="AI441" s="39" t="n">
        <x:v>0.0037549646</x:v>
      </x:c>
      <x:c r="AJ441" s="39" t="n">
        <x:v>0.0097596399</x:v>
      </x:c>
      <x:c r="AK441" s="39" t="n">
        <x:v>-0.0187858647</x:v>
      </x:c>
      <x:c r="AL441" s="39" t="n">
        <x:v>-0.0613503004</x:v>
      </x:c>
      <x:c r="AM441" s="39" t="n">
        <x:v>0.0565431523</x:v>
      </x:c>
      <x:c r="AN441" s="39" t="n">
        <x:v>-0.0193883531</x:v>
      </x:c>
      <x:c r="AO441" s="39" t="n">
        <x:v>-0.0270681496</x:v>
      </x:c>
      <x:c r="AP441" s="39" t="n">
        <x:v>0.0108982791</x:v>
      </x:c>
      <x:c r="AQ441" s="39" t="n">
        <x:v>0.0256393272</x:v>
      </x:c>
      <x:c r="AR441" s="39" t="n">
        <x:v>-0.0060608063</x:v>
      </x:c>
      <x:c r="AS441" s="39" t="n">
        <x:v>0.0365076636</x:v>
      </x:c>
    </x:row>
    <x:row r="442" ht="19" customHeight="1">
      <x:c r="A442" s="30" t="str">
        <x:v>Other sectors</x:v>
      </x:c>
      <x:c r="B442" s="40" t="d">
        <x:v>2023-04-24T00:00:00.000Z</x:v>
      </x:c>
      <x:c r="C442" s="39" t="n">
        <x:v>-0.0210237431</x:v>
      </x:c>
      <x:c r="D442" s="39" t="n">
        <x:v>0.024327175</x:v>
      </x:c>
      <x:c r="E442" s="39" t="n">
        <x:v>0.0011825794</x:v>
      </x:c>
      <x:c r="F442" s="39" t="n">
        <x:v>-0.0249586708</x:v>
      </x:c>
      <x:c r="G442" s="39" t="n">
        <x:v>0.0275927343</x:v>
      </x:c>
      <x:c r="H442" s="39" t="n">
        <x:v>0.1985712371</x:v>
      </x:c>
      <x:c r="I442" s="39" t="n">
        <x:v>0.0189386816</x:v>
      </x:c>
      <x:c r="J442" s="39" t="n">
        <x:v>0.0223638571</x:v>
      </x:c>
      <x:c r="K442" s="39" t="n">
        <x:v>-0.093842888</x:v>
      </x:c>
      <x:c r="L442" s="39" t="n">
        <x:v>-0.2155836239</x:v>
      </x:c>
      <x:c r="M442" s="39" t="n">
        <x:v>-0.013947776</x:v>
      </x:c>
      <x:c r="N442" s="39" t="n">
        <x:v>-0.0688270367</x:v>
      </x:c>
      <x:c r="O442" s="39" t="n">
        <x:v>-0.1658233852</x:v>
      </x:c>
      <x:c r="P442" s="39" t="n">
        <x:v>-0.0040925722</x:v>
      </x:c>
      <x:c r="Q442" s="39" t="n">
        <x:v>-0.4137197115</x:v>
      </x:c>
      <x:c r="R442" s="39" t="n">
        <x:v>-0.1767109167</x:v>
      </x:c>
      <x:c r="S442" s="39" t="n">
        <x:v>-0.0377896467</x:v>
      </x:c>
      <x:c r="T442" s="39" t="n">
        <x:v>-0.2232917252</x:v>
      </x:c>
      <x:c r="U442" s="39" t="n">
        <x:v>-0.1009904686</x:v>
      </x:c>
      <x:c r="V442" s="39" t="n">
        <x:v>-0.0270423391</x:v>
      </x:c>
      <x:c r="W442" s="39" t="n">
        <x:v>-0.0588254502</x:v>
      </x:c>
      <x:c r="X442" s="39" t="n">
        <x:v>0.0784590971</x:v>
      </x:c>
      <x:c r="Y442" s="39" t="n">
        <x:v>0.0661965827</x:v>
      </x:c>
      <x:c r="Z442" s="39" t="n">
        <x:v>0.0080943365</x:v>
      </x:c>
      <x:c r="AA442" s="39" t="n">
        <x:v>-0.0771890407</x:v>
      </x:c>
      <x:c r="AB442" s="39" t="n">
        <x:v>0.0219337981</x:v>
      </x:c>
      <x:c r="AC442" s="39" t="n">
        <x:v>-0.1100210536</x:v>
      </x:c>
      <x:c r="AD442" s="39" t="n">
        <x:v>0.0370346053</x:v>
      </x:c>
      <x:c r="AE442" s="39" t="n">
        <x:v>-0.0173464695</x:v>
      </x:c>
      <x:c r="AF442" s="39" t="n">
        <x:v>-0.1012581691</x:v>
      </x:c>
      <x:c r="AG442" s="39" t="n">
        <x:v>0.0111281063</x:v>
      </x:c>
      <x:c r="AH442" s="39" t="n">
        <x:v>0.012307591</x:v>
      </x:c>
      <x:c r="AI442" s="39" t="n">
        <x:v>-0.0340146932</x:v>
      </x:c>
      <x:c r="AJ442" s="39" t="n">
        <x:v>0.0919111004</x:v>
      </x:c>
      <x:c r="AK442" s="39" t="n">
        <x:v>0.0665410034</x:v>
      </x:c>
      <x:c r="AL442" s="39" t="n">
        <x:v>-0.1336045181</x:v>
      </x:c>
      <x:c r="AM442" s="39" t="n">
        <x:v>0.0377357198</x:v>
      </x:c>
      <x:c r="AN442" s="39" t="n">
        <x:v>0.0014195572</x:v>
      </x:c>
      <x:c r="AO442" s="39" t="n">
        <x:v>0.0084151816</x:v>
      </x:c>
      <x:c r="AP442" s="39" t="n">
        <x:v>0.0529867077</x:v>
      </x:c>
      <x:c r="AQ442" s="39" t="n">
        <x:v>0.0049269934</x:v>
      </x:c>
      <x:c r="AR442" s="39" t="n">
        <x:v>0.0180468358</x:v>
      </x:c>
      <x:c r="AS442" s="39" t="n">
        <x:v>0.038872831</x:v>
      </x:c>
    </x:row>
    <x:row r="443" ht="19" customHeight="1">
      <x:c r="A443" s="30" t="str">
        <x:v>Other sectors</x:v>
      </x:c>
      <x:c r="B443" s="40" t="d">
        <x:v>2023-05-22T00:00:00.000Z</x:v>
      </x:c>
      <x:c r="C443" s="39" t="n">
        <x:v>0.0024515024</x:v>
      </x:c>
      <x:c r="D443" s="39" t="n">
        <x:v>0.0133731147</x:v>
      </x:c>
      <x:c r="E443" s="39" t="n">
        <x:v>-0.0229611742</x:v>
      </x:c>
      <x:c r="F443" s="39" t="n">
        <x:v>-0.0383790731</x:v>
      </x:c>
      <x:c r="G443" s="39" t="n">
        <x:v>-0.1337566072</x:v>
      </x:c>
      <x:c r="H443" s="39" t="n">
        <x:v>-0.0193175135</x:v>
      </x:c>
      <x:c r="I443" s="39" t="n">
        <x:v>0.0504450401</x:v>
      </x:c>
      <x:c r="J443" s="39" t="n">
        <x:v>-0.0847852574</x:v>
      </x:c>
      <x:c r="K443" s="39" t="n">
        <x:v>-0.0821135727</x:v>
      </x:c>
      <x:c r="L443" s="39" t="n">
        <x:v>0.0789611859</x:v>
      </x:c>
      <x:c r="M443" s="39" t="n">
        <x:v>-0.0490180228</x:v>
      </x:c>
      <x:c r="N443" s="39" t="n">
        <x:v>-0.1542407687</x:v>
      </x:c>
      <x:c r="O443" s="39" t="n">
        <x:v>0.0352763743</x:v>
      </x:c>
      <x:c r="P443" s="39" t="n">
        <x:v>-0.0111868175</x:v>
      </x:c>
      <x:c r="Q443" s="39" t="n">
        <x:v>0.2527704395</x:v>
      </x:c>
      <x:c r="R443" s="39" t="n">
        <x:v>0.0074570739</x:v>
      </x:c>
      <x:c r="S443" s="39" t="n">
        <x:v>-0.0078784744</x:v>
      </x:c>
      <x:c r="T443" s="39" t="n">
        <x:v>0.1601172418</x:v>
      </x:c>
      <x:c r="U443" s="39" t="n">
        <x:v>0.0287262081</x:v>
      </x:c>
      <x:c r="V443" s="39" t="n">
        <x:v>-0.0720538426</x:v>
      </x:c>
      <x:c r="W443" s="39" t="n">
        <x:v>0.0787773613</x:v>
      </x:c>
      <x:c r="X443" s="39" t="n">
        <x:v>0.0021033301</x:v>
      </x:c>
      <x:c r="Y443" s="39" t="n">
        <x:v>-0.0273022814</x:v>
      </x:c>
      <x:c r="Z443" s="39" t="n">
        <x:v>-0.0697391107</x:v>
      </x:c>
      <x:c r="AA443" s="39" t="n">
        <x:v>-0.0139919764</x:v>
      </x:c>
      <x:c r="AB443" s="39" t="n">
        <x:v>0.0213387069</x:v>
      </x:c>
      <x:c r="AC443" s="39" t="n">
        <x:v>0.5398399871</x:v>
      </x:c>
      <x:c r="AD443" s="39" t="n">
        <x:v>-0.0176722573</x:v>
      </x:c>
      <x:c r="AE443" s="39" t="n">
        <x:v>0.031734824</x:v>
      </x:c>
      <x:c r="AF443" s="39" t="n">
        <x:v>0.0102242581</x:v>
      </x:c>
      <x:c r="AG443" s="39" t="n">
        <x:v>0.0012095397</x:v>
      </x:c>
      <x:c r="AH443" s="39" t="n">
        <x:v>0.0432745217</x:v>
      </x:c>
      <x:c r="AI443" s="39" t="n">
        <x:v>0.1309537481</x:v>
      </x:c>
      <x:c r="AJ443" s="39" t="n">
        <x:v>0.0600238999</x:v>
      </x:c>
      <x:c r="AK443" s="39" t="n">
        <x:v>0.005953708</x:v>
      </x:c>
      <x:c r="AL443" s="39" t="n">
        <x:v>-0.109249771</x:v>
      </x:c>
      <x:c r="AM443" s="39" t="n">
        <x:v>0.0278489104</x:v>
      </x:c>
      <x:c r="AN443" s="39" t="n">
        <x:v>0.0334481923</x:v>
      </x:c>
      <x:c r="AO443" s="39" t="n">
        <x:v>0.0195588828</x:v>
      </x:c>
      <x:c r="AP443" s="39" t="n">
        <x:v>-0.0079020172</x:v>
      </x:c>
      <x:c r="AQ443" s="39" t="n">
        <x:v>0.0000652937</x:v>
      </x:c>
      <x:c r="AR443" s="39" t="n">
        <x:v>0.0154265745</x:v>
      </x:c>
      <x:c r="AS443" s="39" t="n">
        <x:v>0.0134000445</x:v>
      </x:c>
    </x:row>
    <x:row r="444" ht="19" customHeight="1">
      <x:c r="A444" s="30" t="str">
        <x:v>Other sectors</x:v>
      </x:c>
      <x:c r="B444" s="40" t="d">
        <x:v>2023-06-19T00:00:00.000Z</x:v>
      </x:c>
      <x:c r="C444" s="39" t="n">
        <x:v>0.0048301648</x:v>
      </x:c>
      <x:c r="D444" s="39" t="n">
        <x:v>0.0899240732</x:v>
      </x:c>
      <x:c r="E444" s="39" t="n">
        <x:v>-0.0101263541</x:v>
      </x:c>
      <x:c r="F444" s="39" t="n">
        <x:v>-0.0168826914</x:v>
      </x:c>
      <x:c r="G444" s="39" t="n">
        <x:v>-0.0332977497</x:v>
      </x:c>
      <x:c r="H444" s="39" t="n">
        <x:v>-0.085714481</x:v>
      </x:c>
      <x:c r="I444" s="39" t="n">
        <x:v>-0.0083019127</x:v>
      </x:c>
      <x:c r="J444" s="39" t="n">
        <x:v>-0.076160451</x:v>
      </x:c>
      <x:c r="K444" s="39" t="n">
        <x:v>-0.037512908</x:v>
      </x:c>
      <x:c r="L444" s="39" t="n">
        <x:v>-0.0215698521</x:v>
      </x:c>
      <x:c r="M444" s="39" t="n">
        <x:v>0.0687407086</x:v>
      </x:c>
      <x:c r="N444" s="39" t="n">
        <x:v>-0.017529981</x:v>
      </x:c>
      <x:c r="O444" s="39" t="n">
        <x:v>-0.0074479013</x:v>
      </x:c>
      <x:c r="P444" s="39" t="n">
        <x:v>-0.1432856651</x:v>
      </x:c>
      <x:c r="Q444" s="39" t="n">
        <x:v>-0.0502036437</x:v>
      </x:c>
      <x:c r="R444" s="39" t="n">
        <x:v>0.0839772922</x:v>
      </x:c>
      <x:c r="S444" s="39" t="n">
        <x:v>0.0110175211</x:v>
      </x:c>
      <x:c r="T444" s="39" t="n">
        <x:v>-0.086547464</x:v>
      </x:c>
      <x:c r="U444" s="39" t="n">
        <x:v>-0.1339297138</x:v>
      </x:c>
      <x:c r="V444" s="39" t="n">
        <x:v>-0.1441357214</x:v>
      </x:c>
      <x:c r="W444" s="39" t="n">
        <x:v>0.0940401103</x:v>
      </x:c>
      <x:c r="X444" s="39" t="n">
        <x:v>-0.0132949472</x:v>
      </x:c>
      <x:c r="Y444" s="39" t="n">
        <x:v>-0.1207946422</x:v>
      </x:c>
      <x:c r="Z444" s="39" t="n">
        <x:v>-0.0817788865</x:v>
      </x:c>
      <x:c r="AA444" s="39" t="n">
        <x:v>0.0187470507</x:v>
      </x:c>
      <x:c r="AB444" s="39" t="n">
        <x:v>-0.0355151606</x:v>
      </x:c>
      <x:c r="AC444" s="39" t="n">
        <x:v>0.1793049803</x:v>
      </x:c>
      <x:c r="AD444" s="39" t="n">
        <x:v>-0.011291098</x:v>
      </x:c>
      <x:c r="AE444" s="39" t="n">
        <x:v>0.0342958656</x:v>
      </x:c>
      <x:c r="AF444" s="39" t="n">
        <x:v>0.056952403</x:v>
      </x:c>
      <x:c r="AG444" s="39" t="n">
        <x:v>-0.0726584074</x:v>
      </x:c>
      <x:c r="AH444" s="39" t="n">
        <x:v>0.0076810415</x:v>
      </x:c>
      <x:c r="AI444" s="39" t="n">
        <x:v>-0.1876016594</x:v>
      </x:c>
      <x:c r="AJ444" s="39" t="n">
        <x:v>0.0270107345</x:v>
      </x:c>
      <x:c r="AK444" s="39" t="n">
        <x:v>-0.0235684637</x:v>
      </x:c>
      <x:c r="AL444" s="39" t="n">
        <x:v>-0.0086647811</x:v>
      </x:c>
      <x:c r="AM444" s="39" t="n">
        <x:v>-0.0116636237</x:v>
      </x:c>
      <x:c r="AN444" s="39" t="n">
        <x:v>-0.0718666897</x:v>
      </x:c>
      <x:c r="AO444" s="39" t="n">
        <x:v>-0.0358224155</x:v>
      </x:c>
      <x:c r="AP444" s="39" t="n">
        <x:v>-0.0528844004</x:v>
      </x:c>
      <x:c r="AQ444" s="39" t="n">
        <x:v>0.0128588223</x:v>
      </x:c>
      <x:c r="AR444" s="39" t="n">
        <x:v>0.0208136597</x:v>
      </x:c>
      <x:c r="AS444" s="39" t="n">
        <x:v>0.007640431</x:v>
      </x:c>
    </x:row>
    <x:row r="445" ht="19" customHeight="1">
      <x:c r="A445" s="30" t="str">
        <x:v>Other sectors</x:v>
      </x:c>
      <x:c r="B445" s="40" t="d">
        <x:v>2023-07-17T00:00:00.000Z</x:v>
      </x:c>
      <x:c r="C445" s="39" t="n">
        <x:v>0.0449454202</x:v>
      </x:c>
      <x:c r="D445" s="39" t="n">
        <x:v>0.0210896493</x:v>
      </x:c>
      <x:c r="E445" s="39" t="n">
        <x:v>-0.0013703393</x:v>
      </x:c>
      <x:c r="F445" s="39" t="n">
        <x:v>0.0117834585</x:v>
      </x:c>
      <x:c r="G445" s="39" t="n">
        <x:v>-0.0521993154</x:v>
      </x:c>
      <x:c r="H445" s="39" t="n">
        <x:v>0.0269382092</x:v>
      </x:c>
      <x:c r="I445" s="39" t="n">
        <x:v>-0.026584122</x:v>
      </x:c>
      <x:c r="J445" s="39" t="n">
        <x:v>-0.0102689823</x:v>
      </x:c>
      <x:c r="K445" s="39" t="n">
        <x:v>-0.1573235957</x:v>
      </x:c>
      <x:c r="L445" s="39" t="n">
        <x:v>-0.014838266</x:v>
      </x:c>
      <x:c r="M445" s="39" t="n">
        <x:v>0.0472494927</x:v>
      </x:c>
      <x:c r="N445" s="39" t="n">
        <x:v>0.0566577052</x:v>
      </x:c>
      <x:c r="O445" s="39" t="n">
        <x:v>-0.0128008897</x:v>
      </x:c>
      <x:c r="P445" s="39" t="n">
        <x:v>-0.0783565186</x:v>
      </x:c>
      <x:c r="Q445" s="39" t="n">
        <x:v>-0.0257590979</x:v>
      </x:c>
      <x:c r="R445" s="39" t="n">
        <x:v>0.1402173966</x:v>
      </x:c>
      <x:c r="S445" s="39" t="n">
        <x:v>0.0179962721</x:v>
      </x:c>
      <x:c r="T445" s="39" t="n">
        <x:v>-0.0301760411</x:v>
      </x:c>
      <x:c r="U445" s="39" t="n">
        <x:v>0.0408757465</x:v>
      </x:c>
      <x:c r="V445" s="39" t="n">
        <x:v>-0.1113442865</x:v>
      </x:c>
      <x:c r="W445" s="39" t="n">
        <x:v>-0.0170620091</x:v>
      </x:c>
      <x:c r="X445" s="39" t="n">
        <x:v>0.0553503921</x:v>
      </x:c>
      <x:c r="Y445" s="39" t="n">
        <x:v>-0.0662824372</x:v>
      </x:c>
      <x:c r="Z445" s="39" t="n">
        <x:v>-0.0077410546</x:v>
      </x:c>
      <x:c r="AA445" s="39" t="n">
        <x:v>-0.1021673086</x:v>
      </x:c>
      <x:c r="AB445" s="39" t="n">
        <x:v>-0.0545466517</x:v>
      </x:c>
      <x:c r="AC445" s="39" t="n">
        <x:v>0.4401998674</x:v>
      </x:c>
      <x:c r="AD445" s="39" t="n">
        <x:v>0.0236958022</x:v>
      </x:c>
      <x:c r="AE445" s="39" t="n">
        <x:v>-0.0509006639</x:v>
      </x:c>
      <x:c r="AF445" s="39" t="n">
        <x:v>-0.0472169447</x:v>
      </x:c>
      <x:c r="AG445" s="39" t="n">
        <x:v>0.0086258287</x:v>
      </x:c>
      <x:c r="AH445" s="39" t="n">
        <x:v>0.0355365039</x:v>
      </x:c>
      <x:c r="AI445" s="39" t="n">
        <x:v>-0.0464525016</x:v>
      </x:c>
      <x:c r="AJ445" s="39" t="n">
        <x:v>-0.0299589672</x:v>
      </x:c>
      <x:c r="AK445" s="39" t="n">
        <x:v>-0.0091106236</x:v>
      </x:c>
      <x:c r="AL445" s="39" t="n">
        <x:v>-0.0608922985</x:v>
      </x:c>
      <x:c r="AM445" s="39" t="n">
        <x:v>-0.0070145616</x:v>
      </x:c>
      <x:c r="AN445" s="39" t="n">
        <x:v>-0.026627485</x:v>
      </x:c>
      <x:c r="AO445" s="39" t="n">
        <x:v>0.0403195111</x:v>
      </x:c>
      <x:c r="AP445" s="39" t="n">
        <x:v>0.0251419829</x:v>
      </x:c>
      <x:c r="AQ445" s="39" t="n">
        <x:v>-0.0092295867</x:v>
      </x:c>
      <x:c r="AR445" s="39" t="n">
        <x:v>0.0013140925</x:v>
      </x:c>
      <x:c r="AS445" s="39" t="n">
        <x:v>-0.011906327</x:v>
      </x:c>
    </x:row>
    <x:row r="446" ht="19" customHeight="1">
      <x:c r="A446" s="30" t="str">
        <x:v>Other sectors</x:v>
      </x:c>
      <x:c r="B446" s="40" t="d">
        <x:v>2023-08-14T00:00:00.000Z</x:v>
      </x:c>
      <x:c r="C446" s="39" t="n">
        <x:v>0.1138130161</x:v>
      </x:c>
      <x:c r="D446" s="39" t="n">
        <x:v>-0.108184409</x:v>
      </x:c>
      <x:c r="E446" s="39" t="n">
        <x:v>0.0091058536</x:v>
      </x:c>
      <x:c r="F446" s="39" t="n">
        <x:v>-0.0108839606</x:v>
      </x:c>
      <x:c r="G446" s="39" t="n">
        <x:v>0.0724875913</x:v>
      </x:c>
      <x:c r="H446" s="39" t="n">
        <x:v>-0.0333665551</x:v>
      </x:c>
      <x:c r="I446" s="39" t="n">
        <x:v>0.0843823627</x:v>
      </x:c>
      <x:c r="J446" s="39" t="n">
        <x:v>0.1091497848</x:v>
      </x:c>
      <x:c r="K446" s="39" t="n">
        <x:v>0.2238829427</x:v>
      </x:c>
      <x:c r="L446" s="39" t="n">
        <x:v>0.0259833176</x:v>
      </x:c>
      <x:c r="M446" s="39" t="n">
        <x:v>-0.0526628447</x:v>
      </x:c>
      <x:c r="N446" s="39" t="n">
        <x:v>-0.0000208176</x:v>
      </x:c>
      <x:c r="O446" s="39" t="n">
        <x:v>0.0256268792</x:v>
      </x:c>
      <x:c r="P446" s="39" t="n">
        <x:v>0.1899144991</x:v>
      </x:c>
      <x:c r="Q446" s="39" t="n">
        <x:v>0.035738716</x:v>
      </x:c>
      <x:c r="R446" s="39" t="n">
        <x:v>-0.3213256447</x:v>
      </x:c>
      <x:c r="S446" s="39" t="n">
        <x:v>0.0958570878</x:v>
      </x:c>
      <x:c r="T446" s="39" t="n">
        <x:v>-0.1064748068</x:v>
      </x:c>
      <x:c r="U446" s="39" t="n">
        <x:v>-0.0744665942</x:v>
      </x:c>
      <x:c r="V446" s="39" t="n">
        <x:v>0.1282498845</x:v>
      </x:c>
      <x:c r="W446" s="39" t="n">
        <x:v>0.0066661035</x:v>
      </x:c>
      <x:c r="X446" s="39" t="n">
        <x:v>0.11323007</x:v>
      </x:c>
      <x:c r="Y446" s="39" t="n">
        <x:v>0.1241922219</x:v>
      </x:c>
      <x:c r="Z446" s="39" t="n">
        <x:v>0.0295681092</x:v>
      </x:c>
      <x:c r="AA446" s="39" t="n">
        <x:v>0.0875843786</x:v>
      </x:c>
      <x:c r="AB446" s="39" t="n">
        <x:v>0.0382973909</x:v>
      </x:c>
      <x:c r="AC446" s="39" t="n">
        <x:v>-0.3618062935</x:v>
      </x:c>
      <x:c r="AD446" s="39" t="n">
        <x:v>0.0740562271</x:v>
      </x:c>
      <x:c r="AE446" s="39" t="n">
        <x:v>-0.0099663857</x:v>
      </x:c>
      <x:c r="AF446" s="39" t="n">
        <x:v>0.0413217272</x:v>
      </x:c>
      <x:c r="AG446" s="39" t="n">
        <x:v>0.1958760574</x:v>
      </x:c>
      <x:c r="AH446" s="39" t="n">
        <x:v>0.0065780328</x:v>
      </x:c>
      <x:c r="AI446" s="39" t="n">
        <x:v>0.138994544</x:v>
      </x:c>
      <x:c r="AJ446" s="39" t="n">
        <x:v>0.1743680663</x:v>
      </x:c>
      <x:c r="AK446" s="39" t="n">
        <x:v>0.0638959452</x:v>
      </x:c>
      <x:c r="AL446" s="39" t="n">
        <x:v>0.0219361183</x:v>
      </x:c>
      <x:c r="AM446" s="39" t="n">
        <x:v>-0.0216173359</x:v>
      </x:c>
      <x:c r="AN446" s="39" t="n">
        <x:v>0.0990755888</x:v>
      </x:c>
      <x:c r="AO446" s="39" t="n">
        <x:v>0.034159616</x:v>
      </x:c>
      <x:c r="AP446" s="39" t="n">
        <x:v>0.0945767776</x:v>
      </x:c>
      <x:c r="AQ446" s="39" t="n">
        <x:v>0.0391892746</x:v>
      </x:c>
      <x:c r="AR446" s="39" t="n">
        <x:v>0.0371970819</x:v>
      </x:c>
      <x:c r="AS446" s="39" t="n">
        <x:v>0.052044876</x:v>
      </x:c>
    </x:row>
    <x:row r="447" ht="19" customHeight="1">
      <x:c r="A447" s="30" t="str">
        <x:v>Other sectors</x:v>
      </x:c>
      <x:c r="B447" s="40" t="d">
        <x:v>2023-09-11T00:00:00.000Z</x:v>
      </x:c>
      <x:c r="C447" s="39" t="n">
        <x:v>0.0316006915</x:v>
      </x:c>
      <x:c r="D447" s="39" t="n">
        <x:v>0.010423676</x:v>
      </x:c>
      <x:c r="E447" s="39" t="n">
        <x:v>-0.0209504874</x:v>
      </x:c>
      <x:c r="F447" s="39" t="n">
        <x:v>0.0001180108</x:v>
      </x:c>
      <x:c r="G447" s="39" t="n">
        <x:v>-0.0371197444</x:v>
      </x:c>
      <x:c r="H447" s="39" t="n">
        <x:v>0.0102894602</x:v>
      </x:c>
      <x:c r="I447" s="39" t="n">
        <x:v>-0.0103008336</x:v>
      </x:c>
      <x:c r="J447" s="39" t="n">
        <x:v>0.027630151</x:v>
      </x:c>
      <x:c r="K447" s="39" t="n">
        <x:v>-0.0541219854</x:v>
      </x:c>
      <x:c r="L447" s="39" t="n">
        <x:v>0.0206783745</x:v>
      </x:c>
      <x:c r="M447" s="39" t="n">
        <x:v>-0.0192475544</x:v>
      </x:c>
      <x:c r="N447" s="39" t="n">
        <x:v>0.0394674982</x:v>
      </x:c>
      <x:c r="O447" s="39" t="n">
        <x:v>-0.0439298637</x:v>
      </x:c>
      <x:c r="P447" s="39" t="n">
        <x:v>0.0886563036</x:v>
      </x:c>
      <x:c r="Q447" s="39" t="n">
        <x:v>0.1324222213</x:v>
      </x:c>
      <x:c r="R447" s="39" t="n">
        <x:v>-0.3264368781</x:v>
      </x:c>
      <x:c r="S447" s="39" t="n">
        <x:v>0.0178157026</x:v>
      </x:c>
      <x:c r="T447" s="39" t="n">
        <x:v>-0.0610711498</x:v>
      </x:c>
      <x:c r="U447" s="39" t="n">
        <x:v>0.1217836385</x:v>
      </x:c>
      <x:c r="V447" s="39" t="n">
        <x:v>0.0104894574</x:v>
      </x:c>
      <x:c r="W447" s="39" t="n">
        <x:v>-0.0582999351</x:v>
      </x:c>
      <x:c r="X447" s="39" t="n">
        <x:v>-0.0278739778</x:v>
      </x:c>
      <x:c r="Y447" s="39" t="n">
        <x:v>0.0874384699</x:v>
      </x:c>
      <x:c r="Z447" s="39" t="n">
        <x:v>0.0371301805</x:v>
      </x:c>
      <x:c r="AA447" s="39" t="n">
        <x:v>0.0292202863</x:v>
      </x:c>
      <x:c r="AB447" s="39" t="n">
        <x:v>-0.0182801748</x:v>
      </x:c>
      <x:c r="AC447" s="39" t="n">
        <x:v>-0.131651067</x:v>
      </x:c>
      <x:c r="AD447" s="39" t="n">
        <x:v>0.0226422174</x:v>
      </x:c>
      <x:c r="AE447" s="39" t="n">
        <x:v>0.0095265033</x:v>
      </x:c>
      <x:c r="AF447" s="39" t="n">
        <x:v>-0.0122910345</x:v>
      </x:c>
      <x:c r="AG447" s="39" t="n">
        <x:v>-0.0803882692</x:v>
      </x:c>
      <x:c r="AH447" s="39" t="n">
        <x:v>-0.0187216823</x:v>
      </x:c>
      <x:c r="AI447" s="39" t="n">
        <x:v>-0.0784070843</x:v>
      </x:c>
      <x:c r="AJ447" s="39" t="n">
        <x:v>0.0534553192</x:v>
      </x:c>
      <x:c r="AK447" s="39" t="n">
        <x:v>0.0005897781</x:v>
      </x:c>
      <x:c r="AL447" s="39" t="n">
        <x:v>0.0123445795</x:v>
      </x:c>
      <x:c r="AM447" s="39" t="n">
        <x:v>0.0061499095</x:v>
      </x:c>
      <x:c r="AN447" s="39" t="n">
        <x:v>0.0283887628</x:v>
      </x:c>
      <x:c r="AO447" s="39" t="n">
        <x:v>0.0004709172</x:v>
      </x:c>
      <x:c r="AP447" s="39" t="n">
        <x:v>-0.0289003789</x:v>
      </x:c>
      <x:c r="AQ447" s="39" t="n">
        <x:v>-0.0163920773</x:v>
      </x:c>
      <x:c r="AR447" s="39" t="n">
        <x:v>-0.0439553172</x:v>
      </x:c>
      <x:c r="AS447" s="39" t="n">
        <x:v>0.030910834</x:v>
      </x:c>
    </x:row>
    <x:row r="448" ht="19" customHeight="1">
      <x:c r="A448" s="30" t="str">
        <x:v>Other sectors</x:v>
      </x:c>
      <x:c r="B448" s="40" t="d">
        <x:v>2023-10-09T00:00:00.000Z</x:v>
      </x:c>
      <x:c r="C448" s="39" t="n">
        <x:v>0.0388363899</x:v>
      </x:c>
      <x:c r="D448" s="39" t="n">
        <x:v>0.1356938518</x:v>
      </x:c>
      <x:c r="E448" s="39" t="n">
        <x:v>0.0163155451</x:v>
      </x:c>
      <x:c r="F448" s="39" t="n">
        <x:v>0.0184046451</x:v>
      </x:c>
      <x:c r="G448" s="39" t="n">
        <x:v>0.0474476002</x:v>
      </x:c>
      <x:c r="H448" s="39" t="n">
        <x:v>-0.0203951674</x:v>
      </x:c>
      <x:c r="I448" s="39" t="n">
        <x:v>-0.0036135532</x:v>
      </x:c>
      <x:c r="J448" s="39" t="n">
        <x:v>-0.1887353979</x:v>
      </x:c>
      <x:c r="K448" s="39" t="n">
        <x:v>0.0526862427</x:v>
      </x:c>
      <x:c r="L448" s="39" t="n">
        <x:v>-0.1081971332</x:v>
      </x:c>
      <x:c r="M448" s="39" t="n">
        <x:v>0.0634654205</x:v>
      </x:c>
      <x:c r="N448" s="39" t="n">
        <x:v>-0.031912461</x:v>
      </x:c>
      <x:c r="O448" s="39" t="n">
        <x:v>0.003457979</x:v>
      </x:c>
      <x:c r="P448" s="39" t="n">
        <x:v>0.0038445444</x:v>
      </x:c>
      <x:c r="Q448" s="39" t="n">
        <x:v>-0.0786047121</x:v>
      </x:c>
      <x:c r="R448" s="39" t="n">
        <x:v>-0.0829488266</x:v>
      </x:c>
      <x:c r="S448" s="39" t="n">
        <x:v>0.0923126342</x:v>
      </x:c>
      <x:c r="T448" s="39" t="n">
        <x:v>0.0103981661</x:v>
      </x:c>
      <x:c r="U448" s="39" t="n">
        <x:v>-0.0974535707</x:v>
      </x:c>
      <x:c r="V448" s="39" t="n">
        <x:v>0.1003706654</x:v>
      </x:c>
      <x:c r="W448" s="39" t="n">
        <x:v>-0.0863410181</x:v>
      </x:c>
      <x:c r="X448" s="39" t="n">
        <x:v>0.0184434334</x:v>
      </x:c>
      <x:c r="Y448" s="39" t="n">
        <x:v>-0.1089305861</x:v>
      </x:c>
      <x:c r="Z448" s="39" t="n">
        <x:v>0.0331792001</x:v>
      </x:c>
      <x:c r="AA448" s="39" t="n">
        <x:v>0.1525138278</x:v>
      </x:c>
      <x:c r="AB448" s="39" t="n">
        <x:v>0.0157210693</x:v>
      </x:c>
      <x:c r="AC448" s="39" t="n">
        <x:v>0.0654406177</x:v>
      </x:c>
      <x:c r="AD448" s="39" t="n">
        <x:v>0.0154016505</x:v>
      </x:c>
      <x:c r="AE448" s="39" t="n">
        <x:v>0.0122567688</x:v>
      </x:c>
      <x:c r="AF448" s="39" t="n">
        <x:v>-0.0270182179</x:v>
      </x:c>
      <x:c r="AG448" s="39" t="n">
        <x:v>-0.0680977658</x:v>
      </x:c>
      <x:c r="AH448" s="39" t="n">
        <x:v>0.0720561095</x:v>
      </x:c>
      <x:c r="AI448" s="39" t="n">
        <x:v>0.0039837745</x:v>
      </x:c>
      <x:c r="AJ448" s="39" t="n">
        <x:v>0.0177903009</x:v>
      </x:c>
      <x:c r="AK448" s="39" t="n">
        <x:v>0.0678745702</x:v>
      </x:c>
      <x:c r="AL448" s="39" t="n">
        <x:v>-0.1289378788</x:v>
      </x:c>
      <x:c r="AM448" s="39" t="n">
        <x:v>0.0156989829</x:v>
      </x:c>
      <x:c r="AN448" s="39" t="n">
        <x:v>-0.0149445822</x:v>
      </x:c>
      <x:c r="AO448" s="39" t="n">
        <x:v>0.0819345337</x:v>
      </x:c>
      <x:c r="AP448" s="39" t="n">
        <x:v>-0.0261128407</x:v>
      </x:c>
      <x:c r="AQ448" s="39" t="n">
        <x:v>-0.0414775583</x:v>
      </x:c>
      <x:c r="AR448" s="39" t="n">
        <x:v>-0.0143458161</x:v>
      </x:c>
      <x:c r="AS448" s="39" t="n">
        <x:v>-0.0435397736</x:v>
      </x:c>
    </x:row>
    <x:row r="449" ht="19" customHeight="1">
      <x:c r="A449" s="30" t="str">
        <x:v>Other sectors</x:v>
      </x:c>
      <x:c r="B449" s="40" t="d">
        <x:v>2023-11-06T00:00:00.000Z</x:v>
      </x:c>
      <x:c r="C449" s="39" t="n">
        <x:v>0.0031731581</x:v>
      </x:c>
      <x:c r="D449" s="39" t="n">
        <x:v>-0.142835557</x:v>
      </x:c>
      <x:c r="E449" s="39" t="n">
        <x:v>0.031042157</x:v>
      </x:c>
      <x:c r="F449" s="39" t="n">
        <x:v>0.0086852844</x:v>
      </x:c>
      <x:c r="G449" s="39" t="n">
        <x:v>0.0061987255</x:v>
      </x:c>
      <x:c r="H449" s="39" t="n">
        <x:v>0.1339165816</x:v>
      </x:c>
      <x:c r="I449" s="39" t="n">
        <x:v>0.0661691521</x:v>
      </x:c>
      <x:c r="J449" s="39" t="n">
        <x:v>0.0948486156</x:v>
      </x:c>
      <x:c r="K449" s="39" t="n">
        <x:v>-0.0800098077</x:v>
      </x:c>
      <x:c r="L449" s="39" t="n">
        <x:v>0.0485986091</x:v>
      </x:c>
      <x:c r="M449" s="39" t="n">
        <x:v>0.0056466751</x:v>
      </x:c>
      <x:c r="N449" s="39" t="n">
        <x:v>-0.0849348018</x:v>
      </x:c>
      <x:c r="O449" s="39" t="n">
        <x:v>0.103410607</x:v>
      </x:c>
      <x:c r="P449" s="39" t="n">
        <x:v>-0.1498344739</x:v>
      </x:c>
      <x:c r="Q449" s="39" t="n">
        <x:v>-0.0482650939</x:v>
      </x:c>
      <x:c r="R449" s="39" t="n">
        <x:v>0.0470581054</x:v>
      </x:c>
      <x:c r="S449" s="39" t="n">
        <x:v>-0.0175009998</x:v>
      </x:c>
      <x:c r="T449" s="39" t="n">
        <x:v>0.0449524789</x:v>
      </x:c>
      <x:c r="U449" s="39" t="n">
        <x:v>-0.3288185283</x:v>
      </x:c>
      <x:c r="V449" s="39" t="n">
        <x:v>0.0022371393</x:v>
      </x:c>
      <x:c r="W449" s="39" t="n">
        <x:v>0.1805292991</x:v>
      </x:c>
      <x:c r="X449" s="39" t="n">
        <x:v>-0.0385647177</x:v>
      </x:c>
      <x:c r="Y449" s="39" t="n">
        <x:v>-0.0772978473</x:v>
      </x:c>
      <x:c r="Z449" s="39" t="n">
        <x:v>-0.1704553378</x:v>
      </x:c>
      <x:c r="AA449" s="39" t="n">
        <x:v>0.0069179185</x:v>
      </x:c>
      <x:c r="AB449" s="39" t="n">
        <x:v>-0.1874525077</x:v>
      </x:c>
      <x:c r="AC449" s="39" t="n">
        <x:v>-0.3505551548</x:v>
      </x:c>
      <x:c r="AD449" s="39" t="n">
        <x:v>0.0045753238</x:v>
      </x:c>
      <x:c r="AE449" s="39" t="n">
        <x:v>-0.1956433263</x:v>
      </x:c>
      <x:c r="AF449" s="39" t="n">
        <x:v>-0.095052101</x:v>
      </x:c>
      <x:c r="AG449" s="39" t="n">
        <x:v>0.0171317087</x:v>
      </x:c>
      <x:c r="AH449" s="39" t="n">
        <x:v>0.0143771775</x:v>
      </x:c>
      <x:c r="AI449" s="39" t="n">
        <x:v>-0.0349513765</x:v>
      </x:c>
      <x:c r="AJ449" s="39" t="n">
        <x:v>-0.0144363376</x:v>
      </x:c>
      <x:c r="AK449" s="39" t="n">
        <x:v>-0.0020198012</x:v>
      </x:c>
      <x:c r="AL449" s="39" t="n">
        <x:v>-0.0437607307</x:v>
      </x:c>
      <x:c r="AM449" s="39" t="n">
        <x:v>0.0778808057</x:v>
      </x:c>
      <x:c r="AN449" s="39" t="n">
        <x:v>-0.0986662571</x:v>
      </x:c>
      <x:c r="AO449" s="39" t="n">
        <x:v>-0.0141323301</x:v>
      </x:c>
      <x:c r="AP449" s="39" t="n">
        <x:v>-0.0070889704</x:v>
      </x:c>
      <x:c r="AQ449" s="39" t="n">
        <x:v>0.0280115952</x:v>
      </x:c>
      <x:c r="AR449" s="39" t="n">
        <x:v>-0.0433502099</x:v>
      </x:c>
      <x:c r="AS449" s="39" t="n">
        <x:v>0.0133008504</x:v>
      </x:c>
    </x:row>
    <x:row r="450" ht="19" customHeight="1">
      <x:c r="A450" s="30" t="str">
        <x:v>Other sectors</x:v>
      </x:c>
      <x:c r="B450" s="40" t="d">
        <x:v>2023-12-04T00:00:00.000Z</x:v>
      </x:c>
      <x:c r="C450" s="39" t="n">
        <x:v>0.0098173166</x:v>
      </x:c>
      <x:c r="D450" s="39" t="n">
        <x:v>0.1378949624</x:v>
      </x:c>
      <x:c r="E450" s="39" t="n">
        <x:v>-0.0564594168</x:v>
      </x:c>
      <x:c r="F450" s="39" t="n">
        <x:v>0.0125006169</x:v>
      </x:c>
      <x:c r="G450" s="39" t="n">
        <x:v>-0.0097360523</x:v>
      </x:c>
      <x:c r="H450" s="39" t="n">
        <x:v>-0.0242909212</x:v>
      </x:c>
      <x:c r="I450" s="39" t="n">
        <x:v>-0.0420223141</x:v>
      </x:c>
      <x:c r="J450" s="39" t="n">
        <x:v>-0.0315165997</x:v>
      </x:c>
      <x:c r="K450" s="39" t="n">
        <x:v>0.0099315791</x:v>
      </x:c>
      <x:c r="L450" s="39" t="n">
        <x:v>0.0130817402</x:v>
      </x:c>
      <x:c r="M450" s="39" t="n">
        <x:v>-0.0475773531</x:v>
      </x:c>
      <x:c r="N450" s="39" t="n">
        <x:v>-0.0370576989</x:v>
      </x:c>
      <x:c r="O450" s="39" t="n">
        <x:v>-0.0803580234</x:v>
      </x:c>
      <x:c r="P450" s="39" t="n">
        <x:v>-0.0755458996</x:v>
      </x:c>
      <x:c r="Q450" s="39" t="n">
        <x:v>0.1448919434</x:v>
      </x:c>
      <x:c r="R450" s="39" t="n">
        <x:v>0.217480787</x:v>
      </x:c>
      <x:c r="S450" s="39" t="n">
        <x:v>-0.0410519306</x:v>
      </x:c>
      <x:c r="T450" s="39" t="n">
        <x:v>0.108150254</x:v>
      </x:c>
      <x:c r="U450" s="39" t="n">
        <x:v>0.0318743496</x:v>
      </x:c>
      <x:c r="V450" s="39" t="n">
        <x:v>-0.0245286749</x:v>
      </x:c>
      <x:c r="W450" s="39" t="n">
        <x:v>-0.0136882894</x:v>
      </x:c>
      <x:c r="X450" s="39" t="n">
        <x:v>-0.0272053241</x:v>
      </x:c>
      <x:c r="Y450" s="39" t="n">
        <x:v>-0.0798004068</x:v>
      </x:c>
      <x:c r="Z450" s="39" t="n">
        <x:v>-0.0041773672</x:v>
      </x:c>
      <x:c r="AA450" s="39" t="n">
        <x:v>-0.0280971946</x:v>
      </x:c>
      <x:c r="AB450" s="39" t="n">
        <x:v>-0.0263483567</x:v>
      </x:c>
      <x:c r="AC450" s="39" t="n">
        <x:v>0.4946794733</x:v>
      </x:c>
      <x:c r="AD450" s="39" t="n">
        <x:v>-0.0876219653</x:v>
      </x:c>
      <x:c r="AE450" s="39" t="n">
        <x:v>-0.012792031</x:v>
      </x:c>
      <x:c r="AF450" s="39" t="n">
        <x:v>-0.0118941818</x:v>
      </x:c>
      <x:c r="AG450" s="39" t="n">
        <x:v>0.1090891575</x:v>
      </x:c>
      <x:c r="AH450" s="39" t="n">
        <x:v>-0.0003830822</x:v>
      </x:c>
      <x:c r="AI450" s="39" t="n">
        <x:v>-0.0101930812</x:v>
      </x:c>
      <x:c r="AJ450" s="39" t="n">
        <x:v>-0.0497437612</x:v>
      </x:c>
      <x:c r="AK450" s="39" t="n">
        <x:v>-0.115314078</x:v>
      </x:c>
      <x:c r="AL450" s="39" t="n">
        <x:v>-0.0971520364</x:v>
      </x:c>
      <x:c r="AM450" s="39" t="n">
        <x:v>-0.0175944126</x:v>
      </x:c>
      <x:c r="AN450" s="39" t="n">
        <x:v>-0.0057991233</x:v>
      </x:c>
      <x:c r="AO450" s="39" t="n">
        <x:v>-0.0016871612</x:v>
      </x:c>
      <x:c r="AP450" s="39" t="n">
        <x:v>0.0326063156</x:v>
      </x:c>
      <x:c r="AQ450" s="39" t="n">
        <x:v>0.0089485637</x:v>
      </x:c>
      <x:c r="AR450" s="39" t="n">
        <x:v>0.0023614256</x:v>
      </x:c>
      <x:c r="AS450" s="39" t="n">
        <x:v>-0.0524689239</x:v>
      </x:c>
    </x:row>
    <x:row r="451" ht="19" customHeight="1">
      <x:c r="A451" s="30" t="str">
        <x:v>Other sectors</x:v>
      </x:c>
      <x:c r="B451" s="40" t="d">
        <x:v>2024-01-01T00:00:00.000Z</x:v>
      </x:c>
      <x:c r="C451" s="39" t="n">
        <x:v>0.0478867898</x:v>
      </x:c>
      <x:c r="D451" s="39" t="n">
        <x:v>-0.0401986844</x:v>
      </x:c>
      <x:c r="E451" s="39" t="n">
        <x:v>0.0094487628</x:v>
      </x:c>
      <x:c r="F451" s="39" t="n">
        <x:v>-0.0141311725</x:v>
      </x:c>
      <x:c r="G451" s="39" t="n">
        <x:v>-0.0407086023</x:v>
      </x:c>
      <x:c r="H451" s="39" t="n">
        <x:v>-0.0193496583</x:v>
      </x:c>
      <x:c r="I451" s="39" t="n">
        <x:v>-0.0019077104</x:v>
      </x:c>
      <x:c r="J451" s="39" t="n">
        <x:v>-0.0210101954</x:v>
      </x:c>
      <x:c r="K451" s="39" t="n">
        <x:v>0.0056017609</x:v>
      </x:c>
      <x:c r="L451" s="39" t="n">
        <x:v>-0.0060426228</x:v>
      </x:c>
      <x:c r="M451" s="39" t="n">
        <x:v>0.029587215</x:v>
      </x:c>
      <x:c r="N451" s="39" t="n">
        <x:v>-0.0372029773</x:v>
      </x:c>
      <x:c r="O451" s="39" t="n">
        <x:v>0.0733558315</x:v>
      </x:c>
      <x:c r="P451" s="39" t="n">
        <x:v>0.0494207454</x:v>
      </x:c>
      <x:c r="Q451" s="39" t="n">
        <x:v>0.1501424535</x:v>
      </x:c>
      <x:c r="R451" s="39" t="n">
        <x:v>0.178262336</x:v>
      </x:c>
      <x:c r="S451" s="39" t="n">
        <x:v>-0.0674816894</x:v>
      </x:c>
      <x:c r="T451" s="39" t="n">
        <x:v>-0.0097355233</x:v>
      </x:c>
      <x:c r="U451" s="39" t="n">
        <x:v>0.2649080426</x:v>
      </x:c>
      <x:c r="V451" s="39" t="n">
        <x:v>0.0093518009</x:v>
      </x:c>
      <x:c r="W451" s="39" t="n">
        <x:v>0.0441417625</x:v>
      </x:c>
      <x:c r="X451" s="39" t="n">
        <x:v>-0.0147986819</x:v>
      </x:c>
      <x:c r="Y451" s="39" t="n">
        <x:v>0.096228857</x:v>
      </x:c>
      <x:c r="Z451" s="39" t="n">
        <x:v>-0.0511075344</x:v>
      </x:c>
      <x:c r="AA451" s="39" t="n">
        <x:v>-0.0356518796</x:v>
      </x:c>
      <x:c r="AB451" s="39" t="n">
        <x:v>-0.0918035147</x:v>
      </x:c>
      <x:c r="AC451" s="39" t="n">
        <x:v>-0.0985364118</x:v>
      </x:c>
      <x:c r="AD451" s="39" t="n">
        <x:v>-0.0237079047</x:v>
      </x:c>
      <x:c r="AE451" s="39" t="n">
        <x:v>0.0312625019</x:v>
      </x:c>
      <x:c r="AF451" s="39" t="n">
        <x:v>0.0671973557</x:v>
      </x:c>
      <x:c r="AG451" s="39" t="n">
        <x:v>-0.0205725698</x:v>
      </x:c>
      <x:c r="AH451" s="39" t="n">
        <x:v>-0.0193499941</x:v>
      </x:c>
      <x:c r="AI451" s="39" t="n">
        <x:v>0.113696171</x:v>
      </x:c>
      <x:c r="AJ451" s="39" t="n">
        <x:v>-0.0259670019</x:v>
      </x:c>
      <x:c r="AK451" s="39" t="n">
        <x:v>-0.0846973646</x:v>
      </x:c>
      <x:c r="AL451" s="39" t="n">
        <x:v>0.1031340233</x:v>
      </x:c>
      <x:c r="AM451" s="39" t="n">
        <x:v>-0.0196297538</x:v>
      </x:c>
      <x:c r="AN451" s="39" t="n">
        <x:v>-0.0059491733</x:v>
      </x:c>
      <x:c r="AO451" s="39" t="n">
        <x:v>0.0702683337</x:v>
      </x:c>
      <x:c r="AP451" s="39" t="n">
        <x:v>0.0336138064</x:v>
      </x:c>
      <x:c r="AQ451" s="39" t="n">
        <x:v>-0.032831293</x:v>
      </x:c>
      <x:c r="AR451" s="39" t="n">
        <x:v>-0.0322972515</x:v>
      </x:c>
      <x:c r="AS451" s="39" t="n">
        <x:v>-0.018427884</x:v>
      </x:c>
    </x:row>
    <x:row r="452" ht="19" customHeight="1">
      <x:c r="A452" s="30" t="str">
        <x:v>Other sectors</x:v>
      </x:c>
      <x:c r="B452" s="40" t="d">
        <x:v>2024-01-29T00:00:00.000Z</x:v>
      </x:c>
      <x:c r="C452" s="39" t="n">
        <x:v>0.1264261544</x:v>
      </x:c>
      <x:c r="D452" s="39" t="n">
        <x:v>0.0673743242</x:v>
      </x:c>
      <x:c r="E452" s="39" t="n">
        <x:v>0.0206783528</x:v>
      </x:c>
      <x:c r="F452" s="39" t="n">
        <x:v>0.0067862945</x:v>
      </x:c>
      <x:c r="G452" s="39" t="n">
        <x:v>0.0203650124</x:v>
      </x:c>
      <x:c r="H452" s="39" t="n">
        <x:v>0.1213404604</x:v>
      </x:c>
      <x:c r="I452" s="39" t="n">
        <x:v>0.0829714226</x:v>
      </x:c>
      <x:c r="J452" s="39" t="n">
        <x:v>0.0295481595</x:v>
      </x:c>
      <x:c r="K452" s="39" t="n">
        <x:v>-0.0375752071</x:v>
      </x:c>
      <x:c r="L452" s="39" t="n">
        <x:v>0.0791455051</x:v>
      </x:c>
      <x:c r="M452" s="39" t="n">
        <x:v>0.0188361282</x:v>
      </x:c>
      <x:c r="N452" s="39" t="n">
        <x:v>-0.0282720067</x:v>
      </x:c>
      <x:c r="O452" s="39" t="n">
        <x:v>0.0175574765</x:v>
      </x:c>
      <x:c r="P452" s="39" t="n">
        <x:v>0.0649271902</x:v>
      </x:c>
      <x:c r="Q452" s="39" t="n">
        <x:v>0.0667976039</x:v>
      </x:c>
      <x:c r="R452" s="39" t="n">
        <x:v>-0.0987407671</x:v>
      </x:c>
      <x:c r="S452" s="39" t="n">
        <x:v>0.0436175128</x:v>
      </x:c>
      <x:c r="T452" s="39" t="n">
        <x:v>0.0512421888</x:v>
      </x:c>
      <x:c r="U452" s="39" t="n">
        <x:v>-0.0734181708</x:v>
      </x:c>
      <x:c r="V452" s="39" t="n">
        <x:v>0.0378782677</x:v>
      </x:c>
      <x:c r="W452" s="39" t="n">
        <x:v>0.0996468505</x:v>
      </x:c>
      <x:c r="X452" s="39" t="n">
        <x:v>0.0235993389</x:v>
      </x:c>
      <x:c r="Y452" s="39" t="n">
        <x:v>-0.1180297182</x:v>
      </x:c>
      <x:c r="Z452" s="39" t="n">
        <x:v>-0.0749315877</x:v>
      </x:c>
      <x:c r="AA452" s="39" t="n">
        <x:v>0.0959342677</x:v>
      </x:c>
      <x:c r="AB452" s="39" t="n">
        <x:v>0.0470398863</x:v>
      </x:c>
      <x:c r="AC452" s="39" t="n">
        <x:v>-0.1092445834</x:v>
      </x:c>
      <x:c r="AD452" s="39" t="n">
        <x:v>0.0708901731</x:v>
      </x:c>
      <x:c r="AE452" s="39" t="n">
        <x:v>0.0323651309</x:v>
      </x:c>
      <x:c r="AF452" s="39" t="n">
        <x:v>-0.1886293315</x:v>
      </x:c>
      <x:c r="AG452" s="39" t="n">
        <x:v>-0.1721165905</x:v>
      </x:c>
      <x:c r="AH452" s="39" t="n">
        <x:v>0.1186172867</x:v>
      </x:c>
      <x:c r="AI452" s="39" t="n">
        <x:v>0.1239718832</x:v>
      </x:c>
      <x:c r="AJ452" s="39" t="n">
        <x:v>0.0337729937</x:v>
      </x:c>
      <x:c r="AK452" s="39" t="n">
        <x:v>0.0291676542</x:v>
      </x:c>
      <x:c r="AL452" s="39" t="n">
        <x:v>-0.0276084366</x:v>
      </x:c>
      <x:c r="AM452" s="39" t="n">
        <x:v>0.0309322693</x:v>
      </x:c>
      <x:c r="AN452" s="39" t="n">
        <x:v>-0.1332160598</x:v>
      </x:c>
      <x:c r="AO452" s="39" t="n">
        <x:v>0.0728551667</x:v>
      </x:c>
      <x:c r="AP452" s="39" t="n">
        <x:v>0.0552626767</x:v>
      </x:c>
      <x:c r="AQ452" s="39" t="n">
        <x:v>0.0054905022</x:v>
      </x:c>
      <x:c r="AR452" s="39" t="n">
        <x:v>-0.0207926465</x:v>
      </x:c>
      <x:c r="AS452" s="39" t="n">
        <x:v>0.0707511981</x:v>
      </x:c>
    </x:row>
    <x:row r="453" ht="19" customHeight="1">
      <x:c r="A453" s="30" t="str">
        <x:v>Other sectors</x:v>
      </x:c>
      <x:c r="B453" s="40" t="d">
        <x:v>2024-02-26T00:00:00.000Z</x:v>
      </x:c>
      <x:c r="C453" s="39" t="n">
        <x:v>0.1809963224</x:v>
      </x:c>
      <x:c r="D453" s="39" t="n">
        <x:v>0.1086523336</x:v>
      </x:c>
      <x:c r="E453" s="39" t="n">
        <x:v>0.1108369107</x:v>
      </x:c>
      <x:c r="F453" s="39" t="n">
        <x:v>0.0002523417</x:v>
      </x:c>
      <x:c r="G453" s="39" t="n">
        <x:v>0.1548217116</x:v>
      </x:c>
      <x:c r="H453" s="39" t="n">
        <x:v>0.0871360152</x:v>
      </x:c>
      <x:c r="I453" s="39" t="n">
        <x:v>0.004081555</x:v>
      </x:c>
      <x:c r="J453" s="39" t="n">
        <x:v>0.2592666331</x:v>
      </x:c>
      <x:c r="K453" s="39" t="n">
        <x:v>0.0284997203</x:v>
      </x:c>
      <x:c r="L453" s="39" t="n">
        <x:v>-0.0247403768</x:v>
      </x:c>
      <x:c r="M453" s="39" t="n">
        <x:v>0.0350507792</x:v>
      </x:c>
      <x:c r="N453" s="39" t="n">
        <x:v>0.0217147156</x:v>
      </x:c>
      <x:c r="O453" s="39" t="n">
        <x:v>-0.0965054812</x:v>
      </x:c>
      <x:c r="P453" s="39" t="n">
        <x:v>0.0451959639</x:v>
      </x:c>
      <x:c r="Q453" s="39" t="n">
        <x:v>0.0655478781</x:v>
      </x:c>
      <x:c r="R453" s="39" t="n">
        <x:v>0.0156267533</x:v>
      </x:c>
      <x:c r="S453" s="39" t="n">
        <x:v>0.0645346835</x:v>
      </x:c>
      <x:c r="T453" s="39" t="n">
        <x:v>0.1006253751</x:v>
      </x:c>
      <x:c r="U453" s="39" t="n">
        <x:v>0.0033787003</x:v>
      </x:c>
      <x:c r="V453" s="39" t="n">
        <x:v>0.1346531871</x:v>
      </x:c>
      <x:c r="W453" s="39" t="n">
        <x:v>0.1145492143</x:v>
      </x:c>
      <x:c r="X453" s="39" t="n">
        <x:v>-0.0081212779</x:v>
      </x:c>
      <x:c r="Y453" s="39" t="n">
        <x:v>0.0790732188</x:v>
      </x:c>
      <x:c r="Z453" s="39" t="n">
        <x:v>-0.0626695107</x:v>
      </x:c>
      <x:c r="AA453" s="39" t="n">
        <x:v>0.028893497</x:v>
      </x:c>
      <x:c r="AB453" s="39" t="n">
        <x:v>-0.0502032357</x:v>
      </x:c>
      <x:c r="AC453" s="39" t="n">
        <x:v>-0.2704367373</x:v>
      </x:c>
      <x:c r="AD453" s="39" t="n">
        <x:v>0.0233649242</x:v>
      </x:c>
      <x:c r="AE453" s="39" t="n">
        <x:v>0.0430508007</x:v>
      </x:c>
      <x:c r="AF453" s="39" t="n">
        <x:v>-0.0741159007</x:v>
      </x:c>
      <x:c r="AG453" s="39" t="n">
        <x:v>-0.039089702</x:v>
      </x:c>
      <x:c r="AH453" s="39" t="n">
        <x:v>0.1032844594</x:v>
      </x:c>
      <x:c r="AI453" s="39" t="n">
        <x:v>0.1075640144</x:v>
      </x:c>
      <x:c r="AJ453" s="39" t="n">
        <x:v>0.1253032063</x:v>
      </x:c>
      <x:c r="AK453" s="39" t="n">
        <x:v>0.0464658346</x:v>
      </x:c>
      <x:c r="AL453" s="39" t="n">
        <x:v>-0.035310032</x:v>
      </x:c>
      <x:c r="AM453" s="39" t="n">
        <x:v>-0.0189080812</x:v>
      </x:c>
      <x:c r="AN453" s="39" t="n">
        <x:v>-0.020502856</x:v>
      </x:c>
      <x:c r="AO453" s="39" t="n">
        <x:v>0.0482554424</x:v>
      </x:c>
      <x:c r="AP453" s="39" t="n">
        <x:v>0.0518051109</x:v>
      </x:c>
      <x:c r="AQ453" s="39" t="n">
        <x:v>-0.0058252203</x:v>
      </x:c>
      <x:c r="AR453" s="39" t="n">
        <x:v>0.0336938521</x:v>
      </x:c>
      <x:c r="AS453" s="39" t="n">
        <x:v>0.0291200494</x:v>
      </x:c>
    </x:row>
    <x:row r="454" ht="19" customHeight="1">
      <x:c r="A454" s="30" t="str">
        <x:v>Other sectors</x:v>
      </x:c>
      <x:c r="B454" s="40" t="d">
        <x:v>2024-03-25T00:00:00.000Z</x:v>
      </x:c>
      <x:c r="C454" s="39" t="n">
        <x:v>0.1791367333</x:v>
      </x:c>
      <x:c r="D454" s="39" t="n">
        <x:v>-0.0032672844</x:v>
      </x:c>
      <x:c r="E454" s="39" t="n">
        <x:v>-0.0531399101</x:v>
      </x:c>
      <x:c r="F454" s="39" t="n">
        <x:v>-0.0237336409</x:v>
      </x:c>
      <x:c r="G454" s="39" t="n">
        <x:v>0.0635950278</x:v>
      </x:c>
      <x:c r="H454" s="39" t="n">
        <x:v>0.1117732879</x:v>
      </x:c>
      <x:c r="I454" s="39" t="n">
        <x:v>0.0451096503</x:v>
      </x:c>
      <x:c r="J454" s="39" t="n">
        <x:v>-0.0543437986</x:v>
      </x:c>
      <x:c r="K454" s="39" t="n">
        <x:v>-0.0131147792</x:v>
      </x:c>
      <x:c r="L454" s="39" t="n">
        <x:v>0.0647554897</x:v>
      </x:c>
      <x:c r="M454" s="39" t="n">
        <x:v>-0.0700794919</x:v>
      </x:c>
      <x:c r="N454" s="39" t="n">
        <x:v>0.0147329763</x:v>
      </x:c>
      <x:c r="O454" s="39" t="n">
        <x:v>-0.0471672243</x:v>
      </x:c>
      <x:c r="P454" s="39" t="n">
        <x:v>0.0808509844</x:v>
      </x:c>
      <x:c r="Q454" s="39" t="n">
        <x:v>-0.0193503748</x:v>
      </x:c>
      <x:c r="R454" s="39" t="n">
        <x:v>0.0000682356</x:v>
      </x:c>
      <x:c r="S454" s="39" t="n">
        <x:v>-0.0444807326</x:v>
      </x:c>
      <x:c r="T454" s="39" t="n">
        <x:v>-0.0460687886</x:v>
      </x:c>
      <x:c r="U454" s="39" t="n">
        <x:v>0.1172753608</x:v>
      </x:c>
      <x:c r="V454" s="39" t="n">
        <x:v>-0.0410598502</x:v>
      </x:c>
      <x:c r="W454" s="39" t="n">
        <x:v>-0.0451435547</x:v>
      </x:c>
      <x:c r="X454" s="39" t="n">
        <x:v>-0.0220602057</x:v>
      </x:c>
      <x:c r="Y454" s="39" t="n">
        <x:v>0.2408277242</x:v>
      </x:c>
      <x:c r="Z454" s="39" t="n">
        <x:v>0.0858002269</x:v>
      </x:c>
      <x:c r="AA454" s="39" t="n">
        <x:v>0.0583809647</x:v>
      </x:c>
      <x:c r="AB454" s="39" t="n">
        <x:v>0.0311397243</x:v>
      </x:c>
      <x:c r="AC454" s="39" t="n">
        <x:v>-0.0528985426</x:v>
      </x:c>
      <x:c r="AD454" s="39" t="n">
        <x:v>0.0051875324</x:v>
      </x:c>
      <x:c r="AE454" s="39" t="n">
        <x:v>0.0536180873</x:v>
      </x:c>
      <x:c r="AF454" s="39" t="n">
        <x:v>0.103592138</x:v>
      </x:c>
      <x:c r="AG454" s="39" t="n">
        <x:v>-0.0370985421</x:v>
      </x:c>
      <x:c r="AH454" s="39" t="n">
        <x:v>-0.0287186464</x:v>
      </x:c>
      <x:c r="AI454" s="39" t="n">
        <x:v>-0.0553895335</x:v>
      </x:c>
      <x:c r="AJ454" s="39" t="n">
        <x:v>-0.0021285474</x:v>
      </x:c>
      <x:c r="AK454" s="39" t="n">
        <x:v>-0.0235804408</x:v>
      </x:c>
      <x:c r="AL454" s="39" t="n">
        <x:v>0.0059461284</x:v>
      </x:c>
      <x:c r="AM454" s="39" t="n">
        <x:v>0.0147832728</x:v>
      </x:c>
      <x:c r="AN454" s="39" t="n">
        <x:v>0.1012637561</x:v>
      </x:c>
      <x:c r="AO454" s="39" t="n">
        <x:v>-0.0365509149</x:v>
      </x:c>
      <x:c r="AP454" s="39" t="n">
        <x:v>-0.0048552834</x:v>
      </x:c>
      <x:c r="AQ454" s="39" t="n">
        <x:v>0.0029505259</x:v>
      </x:c>
      <x:c r="AR454" s="39" t="n">
        <x:v>-0.0474725738</x:v>
      </x:c>
      <x:c r="AS454" s="39" t="n">
        <x:v>0.0049544409</x:v>
      </x:c>
    </x:row>
    <x:row r="455" ht="19" customHeight="1">
      <x:c r="A455" s="30" t="str">
        <x:v>Other sectors</x:v>
      </x:c>
      <x:c r="B455" s="40" t="d">
        <x:v>2024-04-22T00:00:00.000Z</x:v>
      </x:c>
      <x:c r="C455" s="39" t="n">
        <x:v>0.0056098077</x:v>
      </x:c>
      <x:c r="D455" s="39" t="n">
        <x:v>-0.0238215369</x:v>
      </x:c>
      <x:c r="E455" s="39" t="n">
        <x:v>-0.0248345569</x:v>
      </x:c>
      <x:c r="F455" s="39" t="n">
        <x:v>-0.0087099508</x:v>
      </x:c>
      <x:c r="G455" s="39" t="n">
        <x:v>-0.0663190684</x:v>
      </x:c>
      <x:c r="H455" s="39" t="n">
        <x:v>0.1251352116</x:v>
      </x:c>
      <x:c r="I455" s="39" t="n">
        <x:v>0.0497618222</x:v>
      </x:c>
      <x:c r="J455" s="39" t="n">
        <x:v>-0.1233915989</x:v>
      </x:c>
      <x:c r="K455" s="39" t="n">
        <x:v>0.0034745053</x:v>
      </x:c>
      <x:c r="L455" s="39" t="n">
        <x:v>-0.0511374684</x:v>
      </x:c>
      <x:c r="M455" s="39" t="n">
        <x:v>-0.0649621641</x:v>
      </x:c>
      <x:c r="N455" s="39" t="n">
        <x:v>-0.032183603</x:v>
      </x:c>
      <x:c r="O455" s="39" t="n">
        <x:v>-0.0053085945</x:v>
      </x:c>
      <x:c r="P455" s="39" t="n">
        <x:v>0.0720864285</x:v>
      </x:c>
      <x:c r="Q455" s="39" t="n">
        <x:v>-0.0905978593</x:v>
      </x:c>
      <x:c r="R455" s="39" t="n">
        <x:v>-0.0924073874</x:v>
      </x:c>
      <x:c r="S455" s="39" t="n">
        <x:v>-0.0348942478</x:v>
      </x:c>
      <x:c r="T455" s="39" t="n">
        <x:v>-0.0606330768</x:v>
      </x:c>
      <x:c r="U455" s="39" t="n">
        <x:v>0.0393266206</x:v>
      </x:c>
      <x:c r="V455" s="39" t="n">
        <x:v>0.0138235413</x:v>
      </x:c>
      <x:c r="W455" s="39" t="n">
        <x:v>-0.0686638584</x:v>
      </x:c>
      <x:c r="X455" s="39" t="n">
        <x:v>-0.1193872088</x:v>
      </x:c>
      <x:c r="Y455" s="39" t="n">
        <x:v>-0.0221093524</x:v>
      </x:c>
      <x:c r="Z455" s="39" t="n">
        <x:v>0.1715933039</x:v>
      </x:c>
      <x:c r="AA455" s="39" t="n">
        <x:v>0.0114463742</x:v>
      </x:c>
      <x:c r="AB455" s="39" t="n">
        <x:v>0.7350802915</x:v>
      </x:c>
      <x:c r="AC455" s="39" t="n">
        <x:v>-0.0850619186</x:v>
      </x:c>
      <x:c r="AD455" s="39" t="n">
        <x:v>0.0076233943</x:v>
      </x:c>
      <x:c r="AE455" s="39" t="n">
        <x:v>-0.0158999972</x:v>
      </x:c>
      <x:c r="AF455" s="39" t="n">
        <x:v>-0.0223533604</x:v>
      </x:c>
      <x:c r="AG455" s="39" t="n">
        <x:v>-0.1357461646</x:v>
      </x:c>
      <x:c r="AH455" s="39" t="n">
        <x:v>-0.081131927</x:v>
      </x:c>
      <x:c r="AI455" s="39" t="n">
        <x:v>-0.0933577589</x:v>
      </x:c>
      <x:c r="AJ455" s="39" t="n">
        <x:v>-0.0075862136</x:v>
      </x:c>
      <x:c r="AK455" s="39" t="n">
        <x:v>0.0483353714</x:v>
      </x:c>
      <x:c r="AL455" s="39" t="n">
        <x:v>0.0775105411</x:v>
      </x:c>
      <x:c r="AM455" s="39" t="n">
        <x:v>0.0077089214</x:v>
      </x:c>
      <x:c r="AN455" s="39" t="n">
        <x:v>0.1132012609</x:v>
      </x:c>
      <x:c r="AO455" s="39" t="n">
        <x:v>-0.0000696166</x:v>
      </x:c>
      <x:c r="AP455" s="39" t="n">
        <x:v>-0.1148387119</x:v>
      </x:c>
      <x:c r="AQ455" s="39" t="n">
        <x:v>-0.0024805719</x:v>
      </x:c>
      <x:c r="AR455" s="39" t="n">
        <x:v>-0.056745758</x:v>
      </x:c>
      <x:c r="AS455" s="39" t="n">
        <x:v>-0.029500029</x:v>
      </x:c>
    </x:row>
    <x:row r="456" ht="19" customHeight="1">
      <x:c r="A456" s="30" t="str">
        <x:v>Other sectors</x:v>
      </x:c>
      <x:c r="B456" s="40" t="d">
        <x:v>2024-05-20T00:00:00.000Z</x:v>
      </x:c>
      <x:c r="C456" s="39" t="n">
        <x:v>0.2745300067</x:v>
      </x:c>
      <x:c r="D456" s="39" t="n">
        <x:v>0.0639669508</x:v>
      </x:c>
      <x:c r="E456" s="39" t="n">
        <x:v>-0.0371967735</x:v>
      </x:c>
      <x:c r="F456" s="39" t="n">
        <x:v>-0.048119449</x:v>
      </x:c>
      <x:c r="G456" s="39" t="n">
        <x:v>-0.1459206224</x:v>
      </x:c>
      <x:c r="H456" s="39" t="n">
        <x:v>-0.0460299776</x:v>
      </x:c>
      <x:c r="I456" s="39" t="n">
        <x:v>-0.0126982308</x:v>
      </x:c>
      <x:c r="J456" s="39" t="n">
        <x:v>0.0228648556</x:v>
      </x:c>
      <x:c r="K456" s="39" t="n">
        <x:v>-0.0693605244</x:v>
      </x:c>
      <x:c r="L456" s="39" t="n">
        <x:v>0.0256920505</x:v>
      </x:c>
      <x:c r="M456" s="39" t="n">
        <x:v>0.0628895636</x:v>
      </x:c>
      <x:c r="N456" s="39" t="n">
        <x:v>0.1217805201</x:v>
      </x:c>
      <x:c r="O456" s="39" t="n">
        <x:v>-0.0199535876</x:v>
      </x:c>
      <x:c r="P456" s="39" t="n">
        <x:v>-0.0760954684</x:v>
      </x:c>
      <x:c r="Q456" s="39" t="n">
        <x:v>-0.0804541352</x:v>
      </x:c>
      <x:c r="R456" s="39" t="n">
        <x:v>0.0202867221</x:v>
      </x:c>
      <x:c r="S456" s="39" t="n">
        <x:v>0.0089694523</x:v>
      </x:c>
      <x:c r="T456" s="39" t="n">
        <x:v>-0.1671271541</x:v>
      </x:c>
      <x:c r="U456" s="39" t="n">
        <x:v>0.4287787011</x:v>
      </x:c>
      <x:c r="V456" s="39" t="n">
        <x:v>-0.0561495657</x:v>
      </x:c>
      <x:c r="W456" s="39" t="n">
        <x:v>0.0662466326</x:v>
      </x:c>
      <x:c r="X456" s="39" t="n">
        <x:v>-0.0062327084</x:v>
      </x:c>
      <x:c r="Y456" s="39" t="n">
        <x:v>-0.1090719209</x:v>
      </x:c>
      <x:c r="Z456" s="39" t="n">
        <x:v>-0.0838729574</x:v>
      </x:c>
      <x:c r="AA456" s="39" t="n">
        <x:v>-0.0337046113</x:v>
      </x:c>
      <x:c r="AB456" s="39" t="n">
        <x:v>-0.0912997581</x:v>
      </x:c>
      <x:c r="AC456" s="39" t="n">
        <x:v>-0.0283866288</x:v>
      </x:c>
      <x:c r="AD456" s="39" t="n">
        <x:v>-0.0124382534</x:v>
      </x:c>
      <x:c r="AE456" s="39" t="n">
        <x:v>-0.0931725039</x:v>
      </x:c>
      <x:c r="AF456" s="39" t="n">
        <x:v>0.0149353908</x:v>
      </x:c>
      <x:c r="AG456" s="39" t="n">
        <x:v>-0.0210481624</x:v>
      </x:c>
      <x:c r="AH456" s="39" t="n">
        <x:v>-0.0919673845</x:v>
      </x:c>
      <x:c r="AI456" s="39" t="n">
        <x:v>-0.1182141673</x:v>
      </x:c>
      <x:c r="AJ456" s="39" t="n">
        <x:v>0.039734448</x:v>
      </x:c>
      <x:c r="AK456" s="39" t="n">
        <x:v>0.0364190934</x:v>
      </x:c>
      <x:c r="AL456" s="39" t="n">
        <x:v>0.0032622425</x:v>
      </x:c>
      <x:c r="AM456" s="39" t="n">
        <x:v>-0.0112697193</x:v>
      </x:c>
      <x:c r="AN456" s="39" t="n">
        <x:v>-0.0686886891</x:v>
      </x:c>
      <x:c r="AO456" s="39" t="n">
        <x:v>0.088867708</x:v>
      </x:c>
      <x:c r="AP456" s="39" t="n">
        <x:v>-0.0276912579</x:v>
      </x:c>
      <x:c r="AQ456" s="39" t="n">
        <x:v>-0.0484429663</x:v>
      </x:c>
      <x:c r="AR456" s="39" t="n">
        <x:v>-0.0172235661</x:v>
      </x:c>
      <x:c r="AS456" s="39" t="n">
        <x:v>-0.0090759344</x:v>
      </x:c>
    </x:row>
    <x:row r="457" ht="19" customHeight="1">
      <x:c r="A457" s="30" t="str">
        <x:v>Other sectors</x:v>
      </x:c>
      <x:c r="B457" s="40" t="d">
        <x:v>2024-06-17T00:00:00.000Z</x:v>
      </x:c>
      <x:c r="C457" s="39" t="n">
        <x:v>-0.1891109157</x:v>
      </x:c>
      <x:c r="D457" s="39" t="n">
        <x:v>-0.03691287</x:v>
      </x:c>
      <x:c r="E457" s="39" t="n">
        <x:v>-0.005710485</x:v>
      </x:c>
      <x:c r="F457" s="39" t="n">
        <x:v>-0.0100883843</x:v>
      </x:c>
      <x:c r="G457" s="39" t="n">
        <x:v>-0.0005623575</x:v>
      </x:c>
      <x:c r="H457" s="39" t="n">
        <x:v>-0.0163848164</x:v>
      </x:c>
      <x:c r="I457" s="39" t="n">
        <x:v>-0.04127561</x:v>
      </x:c>
      <x:c r="J457" s="39" t="n">
        <x:v>-0.1612860384</x:v>
      </x:c>
      <x:c r="K457" s="39" t="n">
        <x:v>0.0040020714</x:v>
      </x:c>
      <x:c r="L457" s="39" t="n">
        <x:v>-0.067176454</x:v>
      </x:c>
      <x:c r="M457" s="39" t="n">
        <x:v>-0.0271335116</x:v>
      </x:c>
      <x:c r="N457" s="39" t="n">
        <x:v>-0.1119839297</x:v>
      </x:c>
      <x:c r="O457" s="39" t="n">
        <x:v>0.0319517002</x:v>
      </x:c>
      <x:c r="P457" s="39" t="n">
        <x:v>-0.0400548674</x:v>
      </x:c>
      <x:c r="Q457" s="39" t="n">
        <x:v>-0.0279872738</x:v>
      </x:c>
      <x:c r="R457" s="39" t="n">
        <x:v>-0.1457680145</x:v>
      </x:c>
      <x:c r="S457" s="39" t="n">
        <x:v>-0.1148083513</x:v>
      </x:c>
      <x:c r="T457" s="39" t="n">
        <x:v>-0.0162450358</x:v>
      </x:c>
      <x:c r="U457" s="39" t="n">
        <x:v>-0.2604496475</x:v>
      </x:c>
      <x:c r="V457" s="39" t="n">
        <x:v>0.036281267</x:v>
      </x:c>
      <x:c r="W457" s="39" t="n">
        <x:v>0.0564659051</x:v>
      </x:c>
      <x:c r="X457" s="39" t="n">
        <x:v>0.0079498296</x:v>
      </x:c>
      <x:c r="Y457" s="39" t="n">
        <x:v>-0.0394816185</x:v>
      </x:c>
      <x:c r="Z457" s="39" t="n">
        <x:v>0.0044059164</x:v>
      </x:c>
      <x:c r="AA457" s="39" t="n">
        <x:v>0.0359899797</x:v>
      </x:c>
      <x:c r="AB457" s="39" t="n">
        <x:v>-0.0065694711</x:v>
      </x:c>
      <x:c r="AC457" s="39" t="n">
        <x:v>-0.0640804449</x:v>
      </x:c>
      <x:c r="AD457" s="39" t="n">
        <x:v>0.0066266616</x:v>
      </x:c>
      <x:c r="AE457" s="39" t="n">
        <x:v>-0.0770138709</x:v>
      </x:c>
      <x:c r="AF457" s="39" t="n">
        <x:v>0.1214597158</x:v>
      </x:c>
      <x:c r="AG457" s="39" t="n">
        <x:v>-0.009630876</x:v>
      </x:c>
      <x:c r="AH457" s="39" t="n">
        <x:v>-0.0001049691</x:v>
      </x:c>
      <x:c r="AI457" s="39" t="n">
        <x:v>-0.1720802865</x:v>
      </x:c>
      <x:c r="AJ457" s="39" t="n">
        <x:v>0.053653989</x:v>
      </x:c>
      <x:c r="AK457" s="39" t="n">
        <x:v>-0.0382782422</x:v>
      </x:c>
      <x:c r="AL457" s="39" t="n">
        <x:v>-0.0955131604</x:v>
      </x:c>
      <x:c r="AM457" s="39" t="n">
        <x:v>-0.0246253873</x:v>
      </x:c>
      <x:c r="AN457" s="39" t="n">
        <x:v>-0.0583838509</x:v>
      </x:c>
      <x:c r="AO457" s="39" t="n">
        <x:v>0.0099630252</x:v>
      </x:c>
      <x:c r="AP457" s="39" t="n">
        <x:v>0.1059519022</x:v>
      </x:c>
      <x:c r="AQ457" s="39" t="n">
        <x:v>0.003354003</x:v>
      </x:c>
      <x:c r="AR457" s="39" t="n">
        <x:v>0.0014460943</x:v>
      </x:c>
      <x:c r="AS457" s="39" t="n">
        <x:v>0.0051331687</x:v>
      </x:c>
    </x:row>
    <x:row r="458" ht="19" customHeight="1">
      <x:c r="A458" s="30" t="str">
        <x:v>Other sectors</x:v>
      </x:c>
      <x:c r="B458" s="40" t="d">
        <x:v>2024-07-15T00:00:00.000Z</x:v>
      </x:c>
      <x:c r="C458" s="39" t="n">
        <x:v>-0.172377109</x:v>
      </x:c>
      <x:c r="D458" s="39" t="n">
        <x:v>0.086127646</x:v>
      </x:c>
      <x:c r="E458" s="39" t="n">
        <x:v>0.0396614812</x:v>
      </x:c>
      <x:c r="F458" s="39" t="n">
        <x:v>0.0213239516</x:v>
      </x:c>
      <x:c r="G458" s="39" t="n">
        <x:v>-0.0820958054</x:v>
      </x:c>
      <x:c r="H458" s="39" t="n">
        <x:v>-0.2149442269</x:v>
      </x:c>
      <x:c r="I458" s="39" t="n">
        <x:v>-0.0681515554</x:v>
      </x:c>
      <x:c r="J458" s="39" t="n">
        <x:v>-0.0031582809</x:v>
      </x:c>
      <x:c r="K458" s="39" t="n">
        <x:v>0.0359956828</x:v>
      </x:c>
      <x:c r="L458" s="39" t="n">
        <x:v>-0.0715405996</x:v>
      </x:c>
      <x:c r="M458" s="39" t="n">
        <x:v>-0.0853054495</x:v>
      </x:c>
      <x:c r="N458" s="39" t="n">
        <x:v>-0.0391597581</x:v>
      </x:c>
      <x:c r="O458" s="39" t="n">
        <x:v>0.0358487654</x:v>
      </x:c>
      <x:c r="P458" s="39" t="n">
        <x:v>-0.0303242872</x:v>
      </x:c>
      <x:c r="Q458" s="39" t="n">
        <x:v>0.0367381862</x:v>
      </x:c>
      <x:c r="R458" s="39" t="n">
        <x:v>0.0456453986</x:v>
      </x:c>
      <x:c r="S458" s="39" t="n">
        <x:v>0.0183513124</x:v>
      </x:c>
      <x:c r="T458" s="39" t="n">
        <x:v>-0.0520600572</x:v>
      </x:c>
      <x:c r="U458" s="39" t="n">
        <x:v>-0.115893519</x:v>
      </x:c>
      <x:c r="V458" s="39" t="n">
        <x:v>0.0031559769</x:v>
      </x:c>
      <x:c r="W458" s="39" t="n">
        <x:v>-0.0627432862</x:v>
      </x:c>
      <x:c r="X458" s="39" t="n">
        <x:v>0.0480257402</x:v>
      </x:c>
      <x:c r="Y458" s="39" t="n">
        <x:v>-0.1066849749</x:v>
      </x:c>
      <x:c r="Z458" s="39" t="n">
        <x:v>0.093356484</x:v>
      </x:c>
      <x:c r="AA458" s="39" t="n">
        <x:v>0.017879525</x:v>
      </x:c>
      <x:c r="AB458" s="39" t="n">
        <x:v>-0.0968521498</x:v>
      </x:c>
      <x:c r="AC458" s="39" t="n">
        <x:v>0.2452694616</x:v>
      </x:c>
      <x:c r="AD458" s="39" t="n">
        <x:v>-0.0039382249</x:v>
      </x:c>
      <x:c r="AE458" s="39" t="n">
        <x:v>0.1600329064</x:v>
      </x:c>
      <x:c r="AF458" s="39" t="n">
        <x:v>0.0075890686</x:v>
      </x:c>
      <x:c r="AG458" s="39" t="n">
        <x:v>0.0170034185</x:v>
      </x:c>
      <x:c r="AH458" s="39" t="n">
        <x:v>0.0400290093</x:v>
      </x:c>
      <x:c r="AI458" s="39" t="n">
        <x:v>0.0403778286</x:v>
      </x:c>
      <x:c r="AJ458" s="39" t="n">
        <x:v>-0.0297521566</x:v>
      </x:c>
      <x:c r="AK458" s="39" t="n">
        <x:v>-0.0556458865</x:v>
      </x:c>
      <x:c r="AL458" s="39" t="n">
        <x:v>0.0345091294</x:v>
      </x:c>
      <x:c r="AM458" s="39" t="n">
        <x:v>-0.0134761773</x:v>
      </x:c>
      <x:c r="AN458" s="39" t="n">
        <x:v>0.0139113519</x:v>
      </x:c>
      <x:c r="AO458" s="39" t="n">
        <x:v>-0.0348623505</x:v>
      </x:c>
      <x:c r="AP458" s="39" t="n">
        <x:v>-0.0060821787</x:v>
      </x:c>
      <x:c r="AQ458" s="39" t="n">
        <x:v>0.0356381728</x:v>
      </x:c>
      <x:c r="AR458" s="39" t="n">
        <x:v>0.0208596526</x:v>
      </x:c>
      <x:c r="AS458" s="39" t="n">
        <x:v>0.0354364836</x:v>
      </x:c>
    </x:row>
    <x:row r="459" ht="19" customHeight="1">
      <x:c r="A459" s="30" t="str">
        <x:v>Other sectors</x:v>
      </x:c>
      <x:c r="B459" s="40" t="d">
        <x:v>2024-08-12T00:00:00.000Z</x:v>
      </x:c>
      <x:c r="C459" s="39" t="n">
        <x:v>0.0011661877</x:v>
      </x:c>
      <x:c r="D459" s="39" t="n">
        <x:v>0.0684709778</x:v>
      </x:c>
      <x:c r="E459" s="39" t="n">
        <x:v>-0.0154546107</x:v>
      </x:c>
      <x:c r="F459" s="39" t="n">
        <x:v>0.0106261851</x:v>
      </x:c>
      <x:c r="G459" s="39" t="n">
        <x:v>-0.0681866254</x:v>
      </x:c>
      <x:c r="H459" s="39" t="n">
        <x:v>-0.0143686394</x:v>
      </x:c>
      <x:c r="I459" s="39" t="n">
        <x:v>-0.0103100986</x:v>
      </x:c>
      <x:c r="J459" s="39" t="n">
        <x:v>0.0932562826</x:v>
      </x:c>
      <x:c r="K459" s="39" t="n">
        <x:v>-0.0937030778</x:v>
      </x:c>
      <x:c r="L459" s="39" t="n">
        <x:v>0.0396886576</x:v>
      </x:c>
      <x:c r="M459" s="39" t="n">
        <x:v>0.1863997903</x:v>
      </x:c>
      <x:c r="N459" s="39" t="n">
        <x:v>-0.0751859896</x:v>
      </x:c>
      <x:c r="O459" s="39" t="n">
        <x:v>0.0203135509</x:v>
      </x:c>
      <x:c r="P459" s="39" t="n">
        <x:v>-0.1164918257</x:v>
      </x:c>
      <x:c r="Q459" s="39" t="n">
        <x:v>-0.001377415</x:v>
      </x:c>
      <x:c r="R459" s="39" t="n">
        <x:v>0.1968664908</x:v>
      </x:c>
      <x:c r="S459" s="39" t="n">
        <x:v>0.0343756575</x:v>
      </x:c>
      <x:c r="T459" s="39" t="n">
        <x:v>0.1234623959</x:v>
      </x:c>
      <x:c r="U459" s="39" t="n">
        <x:v>-0.3882307879</x:v>
      </x:c>
      <x:c r="V459" s="39" t="n">
        <x:v>0.2208890018</x:v>
      </x:c>
      <x:c r="W459" s="39" t="n">
        <x:v>0.0328563493</x:v>
      </x:c>
      <x:c r="X459" s="39" t="n">
        <x:v>-0.0121201339</x:v>
      </x:c>
      <x:c r="Y459" s="39" t="n">
        <x:v>-0.118944009</x:v>
      </x:c>
      <x:c r="Z459" s="39" t="n">
        <x:v>0.0712967334</x:v>
      </x:c>
      <x:c r="AA459" s="39" t="n">
        <x:v>0.0478845902</x:v>
      </x:c>
      <x:c r="AB459" s="39" t="n">
        <x:v>-0.1186287631</x:v>
      </x:c>
      <x:c r="AC459" s="39" t="n">
        <x:v>0.3644314381</x:v>
      </x:c>
      <x:c r="AD459" s="39" t="n">
        <x:v>-0.0352975486</x:v>
      </x:c>
      <x:c r="AE459" s="39" t="n">
        <x:v>-0.2974770461</x:v>
      </x:c>
      <x:c r="AF459" s="39" t="n">
        <x:v>-0.0930901465</x:v>
      </x:c>
      <x:c r="AG459" s="39" t="n">
        <x:v>-0.0095334701</x:v>
      </x:c>
      <x:c r="AH459" s="39" t="n">
        <x:v>0.0198107518</x:v>
      </x:c>
      <x:c r="AI459" s="39" t="n">
        <x:v>-0.0105630931</x:v>
      </x:c>
      <x:c r="AJ459" s="39" t="n">
        <x:v>0.0273728753</x:v>
      </x:c>
      <x:c r="AK459" s="39" t="n">
        <x:v>0.0382081987</x:v>
      </x:c>
      <x:c r="AL459" s="39" t="n">
        <x:v>0.1406420456</x:v>
      </x:c>
      <x:c r="AM459" s="39" t="n">
        <x:v>-0.0477021937</x:v>
      </x:c>
      <x:c r="AN459" s="39" t="n">
        <x:v>-0.1011966521</x:v>
      </x:c>
      <x:c r="AO459" s="39" t="n">
        <x:v>0.0389795211</x:v>
      </x:c>
      <x:c r="AP459" s="39" t="n">
        <x:v>0.0145357836</x:v>
      </x:c>
      <x:c r="AQ459" s="39" t="n">
        <x:v>0.020204115</x:v>
      </x:c>
      <x:c r="AR459" s="39" t="n">
        <x:v>-0.0166728592</x:v>
      </x:c>
      <x:c r="AS459" s="39" t="n">
        <x:v>-0.0003344289</x:v>
      </x:c>
    </x:row>
    <x:row r="460" ht="19" customHeight="1">
      <x:c r="A460" s="30" t="str">
        <x:v>Other sectors</x:v>
      </x:c>
      <x:c r="B460" s="40" t="d">
        <x:v>2024-09-09T00:00:00.000Z</x:v>
      </x:c>
      <x:c r="C460" s="39" t="n">
        <x:v>0.0314031761</x:v>
      </x:c>
      <x:c r="D460" s="39" t="n">
        <x:v>-0.0026591648</x:v>
      </x:c>
      <x:c r="E460" s="39" t="n">
        <x:v>0.0041098421</x:v>
      </x:c>
      <x:c r="F460" s="39" t="n">
        <x:v>0.0240194888</x:v>
      </x:c>
      <x:c r="G460" s="39" t="n">
        <x:v>0.016284134</x:v>
      </x:c>
      <x:c r="H460" s="39" t="n">
        <x:v>0.0187627392</x:v>
      </x:c>
      <x:c r="I460" s="39" t="n">
        <x:v>0.0088476773</x:v>
      </x:c>
      <x:c r="J460" s="39" t="n">
        <x:v>0.073180484</x:v>
      </x:c>
      <x:c r="K460" s="39" t="n">
        <x:v>-0.0114855406</x:v>
      </x:c>
      <x:c r="L460" s="39" t="n">
        <x:v>-0.0592392017</x:v>
      </x:c>
      <x:c r="M460" s="39" t="n">
        <x:v>-0.0212933151</x:v>
      </x:c>
      <x:c r="N460" s="39" t="n">
        <x:v>-0.0276239215</x:v>
      </x:c>
      <x:c r="O460" s="39" t="n">
        <x:v>-0.029518979</x:v>
      </x:c>
      <x:c r="P460" s="39" t="n">
        <x:v>-0.0010389677</x:v>
      </x:c>
      <x:c r="Q460" s="39" t="n">
        <x:v>-0.1975698891</x:v>
      </x:c>
      <x:c r="R460" s="39" t="n">
        <x:v>0.1858876292</x:v>
      </x:c>
      <x:c r="S460" s="39" t="n">
        <x:v>0.0394434683</x:v>
      </x:c>
      <x:c r="T460" s="39" t="n">
        <x:v>-0.0799386014</x:v>
      </x:c>
      <x:c r="U460" s="39" t="n">
        <x:v>-0.3005378621</x:v>
      </x:c>
      <x:c r="V460" s="39" t="n">
        <x:v>-0.0726344978</x:v>
      </x:c>
      <x:c r="W460" s="39" t="n">
        <x:v>0.0245734233</x:v>
      </x:c>
      <x:c r="X460" s="39" t="n">
        <x:v>0.0049556335</x:v>
      </x:c>
      <x:c r="Y460" s="39" t="n">
        <x:v>-0.1279724779</x:v>
      </x:c>
      <x:c r="Z460" s="39" t="n">
        <x:v>0.0416068727</x:v>
      </x:c>
      <x:c r="AA460" s="39" t="n">
        <x:v>0.0545833591</x:v>
      </x:c>
      <x:c r="AB460" s="39" t="n">
        <x:v>0.2841833179</x:v>
      </x:c>
      <x:c r="AC460" s="39" t="n">
        <x:v>0.0560267581</x:v>
      </x:c>
      <x:c r="AD460" s="39" t="n">
        <x:v>-0.0194074512</x:v>
      </x:c>
      <x:c r="AE460" s="39" t="n">
        <x:v>-0.0281115608</x:v>
      </x:c>
      <x:c r="AF460" s="39" t="n">
        <x:v>-0.0332698841</x:v>
      </x:c>
      <x:c r="AG460" s="39" t="n">
        <x:v>-0.208685887</x:v>
      </x:c>
      <x:c r="AH460" s="39" t="n">
        <x:v>-0.065742883</x:v>
      </x:c>
      <x:c r="AI460" s="39" t="n">
        <x:v>0.0587015632</x:v>
      </x:c>
      <x:c r="AJ460" s="39" t="n">
        <x:v>-0.0247635546</x:v>
      </x:c>
      <x:c r="AK460" s="39" t="n">
        <x:v>0.0173723672</x:v>
      </x:c>
      <x:c r="AL460" s="39" t="n">
        <x:v>0.0968584226</x:v>
      </x:c>
      <x:c r="AM460" s="39" t="n">
        <x:v>0.0378792141</x:v>
      </x:c>
      <x:c r="AN460" s="39" t="n">
        <x:v>-0.0022414127</x:v>
      </x:c>
      <x:c r="AO460" s="39" t="n">
        <x:v>-0.0049337067</x:v>
      </x:c>
      <x:c r="AP460" s="39" t="n">
        <x:v>0.0119951724</x:v>
      </x:c>
      <x:c r="AQ460" s="39" t="n">
        <x:v>0.0122783682</x:v>
      </x:c>
      <x:c r="AR460" s="39" t="n">
        <x:v>0.0091307295</x:v>
      </x:c>
      <x:c r="AS460" s="39" t="n">
        <x:v>-0.0146505514</x:v>
      </x:c>
    </x:row>
    <x:row r="461" ht="19" customHeight="1">
      <x:c r="A461" s="30" t="str">
        <x:v>Other sectors</x:v>
      </x:c>
      <x:c r="B461" s="40" t="d">
        <x:v>2024-10-07T00:00:00.000Z</x:v>
      </x:c>
      <x:c r="C461" s="39" t="n">
        <x:v>0.3637800469</x:v>
      </x:c>
      <x:c r="D461" s="39" t="n">
        <x:v>-0.0965476449</x:v>
      </x:c>
      <x:c r="E461" s="39" t="n">
        <x:v>-0.0632079185</x:v>
      </x:c>
      <x:c r="F461" s="39" t="n">
        <x:v>0.008114467</x:v>
      </x:c>
      <x:c r="G461" s="39" t="n">
        <x:v>-0.0267116764</x:v>
      </x:c>
      <x:c r="H461" s="39" t="n">
        <x:v>0.0626549181</x:v>
      </x:c>
      <x:c r="I461" s="39" t="n">
        <x:v>-0.0138601443</x:v>
      </x:c>
      <x:c r="J461" s="39" t="n">
        <x:v>0.0382534014</x:v>
      </x:c>
      <x:c r="K461" s="39" t="n">
        <x:v>-0.0232358722</x:v>
      </x:c>
      <x:c r="L461" s="39" t="n">
        <x:v>-0.0689804959</x:v>
      </x:c>
      <x:c r="M461" s="39" t="n">
        <x:v>0.0466187035</x:v>
      </x:c>
      <x:c r="N461" s="39" t="n">
        <x:v>0.0385596872</x:v>
      </x:c>
      <x:c r="O461" s="39" t="n">
        <x:v>-0.0283884359</x:v>
      </x:c>
      <x:c r="P461" s="39" t="n">
        <x:v>-0.1653618337</x:v>
      </x:c>
      <x:c r="Q461" s="39" t="n">
        <x:v>0.0950659371</x:v>
      </x:c>
      <x:c r="R461" s="39" t="n">
        <x:v>-0.0354030047</x:v>
      </x:c>
      <x:c r="S461" s="39" t="n">
        <x:v>0.0215404256</x:v>
      </x:c>
      <x:c r="T461" s="39" t="n">
        <x:v>0.0746531705</x:v>
      </x:c>
      <x:c r="U461" s="39" t="n">
        <x:v>-0.1858522364</x:v>
      </x:c>
      <x:c r="V461" s="39" t="n">
        <x:v>0.0716812251</x:v>
      </x:c>
      <x:c r="W461" s="39" t="n">
        <x:v>-0.0096202707</x:v>
      </x:c>
      <x:c r="X461" s="39" t="n">
        <x:v>0.0245557977</x:v>
      </x:c>
      <x:c r="Y461" s="39" t="n">
        <x:v>0.0681574399</x:v>
      </x:c>
      <x:c r="Z461" s="39" t="n">
        <x:v>-0.034040697</x:v>
      </x:c>
      <x:c r="AA461" s="39" t="n">
        <x:v>-0.01188296</x:v>
      </x:c>
      <x:c r="AB461" s="39" t="n">
        <x:v>0.0211149966</x:v>
      </x:c>
      <x:c r="AC461" s="39" t="n">
        <x:v>0.0899612483</x:v>
      </x:c>
      <x:c r="AD461" s="39" t="n">
        <x:v>0.0204233777</x:v>
      </x:c>
      <x:c r="AE461" s="39" t="n">
        <x:v>-0.0417771343</x:v>
      </x:c>
      <x:c r="AF461" s="39" t="n">
        <x:v>0.087145313</x:v>
      </x:c>
      <x:c r="AG461" s="39" t="n">
        <x:v>-0.0651360459</x:v>
      </x:c>
      <x:c r="AH461" s="39" t="n">
        <x:v>-0.0520063464</x:v>
      </x:c>
      <x:c r="AI461" s="39" t="n">
        <x:v>0.0134668923</x:v>
      </x:c>
      <x:c r="AJ461" s="39" t="n">
        <x:v>0.020613279</x:v>
      </x:c>
      <x:c r="AK461" s="39" t="n">
        <x:v>-0.0177734562</x:v>
      </x:c>
      <x:c r="AL461" s="39" t="n">
        <x:v>-0.029122864</x:v>
      </x:c>
      <x:c r="AM461" s="39" t="n">
        <x:v>-0.0665413061</x:v>
      </x:c>
      <x:c r="AN461" s="39" t="n">
        <x:v>-0.0526070429</x:v>
      </x:c>
      <x:c r="AO461" s="39" t="n">
        <x:v>-0.0274188364</x:v>
      </x:c>
      <x:c r="AP461" s="39" t="n">
        <x:v>0.0511906519</x:v>
      </x:c>
      <x:c r="AQ461" s="39" t="n">
        <x:v>-0.0088680692</x:v>
      </x:c>
      <x:c r="AR461" s="39" t="n">
        <x:v>0.0029138098</x:v>
      </x:c>
      <x:c r="AS461" s="39" t="n">
        <x:v>0.0130027913</x:v>
      </x:c>
    </x:row>
    <x:row r="462" ht="19" customHeight="1">
      <x:c r="A462" s="30" t="str">
        <x:v>Other sectors</x:v>
      </x:c>
      <x:c r="B462" s="40" t="d">
        <x:v>2024-11-04T00:00:00.000Z</x:v>
      </x:c>
      <x:c r="C462" s="39" t="n">
        <x:v>0.0609498484</x:v>
      </x:c>
      <x:c r="D462" s="39" t="n">
        <x:v>-0.1106504716</x:v>
      </x:c>
      <x:c r="E462" s="39" t="n">
        <x:v>0.0246027973</x:v>
      </x:c>
      <x:c r="F462" s="39" t="n">
        <x:v>0.1513617427</x:v>
      </x:c>
      <x:c r="G462" s="39" t="n">
        <x:v>0.0003942124</x:v>
      </x:c>
      <x:c r="H462" s="39" t="n">
        <x:v>-0.0190847825</x:v>
      </x:c>
      <x:c r="I462" s="39" t="n">
        <x:v>-0.0418761166</x:v>
      </x:c>
      <x:c r="J462" s="39" t="n">
        <x:v>0.111672922</x:v>
      </x:c>
      <x:c r="K462" s="39" t="n">
        <x:v>-0.0276429406</x:v>
      </x:c>
      <x:c r="L462" s="39" t="n">
        <x:v>-0.0748371953</x:v>
      </x:c>
      <x:c r="M462" s="39" t="n">
        <x:v>-0.0884540506</x:v>
      </x:c>
      <x:c r="N462" s="39" t="n">
        <x:v>0.0652015686</x:v>
      </x:c>
      <x:c r="O462" s="39" t="n">
        <x:v>0.0737702199</x:v>
      </x:c>
      <x:c r="P462" s="39" t="n">
        <x:v>0.1207546523</x:v>
      </x:c>
      <x:c r="Q462" s="39" t="n">
        <x:v>-0.0272980559</x:v>
      </x:c>
      <x:c r="R462" s="39" t="n">
        <x:v>-0.1678864334</x:v>
      </x:c>
      <x:c r="S462" s="39" t="n">
        <x:v>0.0563787902</x:v>
      </x:c>
      <x:c r="T462" s="39" t="n">
        <x:v>-0.2200908345</x:v>
      </x:c>
      <x:c r="U462" s="39" t="n">
        <x:v>-0.1492450704</x:v>
      </x:c>
      <x:c r="V462" s="39" t="n">
        <x:v>0.2869857516</x:v>
      </x:c>
      <x:c r="W462" s="39" t="n">
        <x:v>0.0634985896</x:v>
      </x:c>
      <x:c r="X462" s="39" t="n">
        <x:v>0.0880851282</x:v>
      </x:c>
      <x:c r="Y462" s="39" t="n">
        <x:v>0.1843175694</x:v>
      </x:c>
      <x:c r="Z462" s="39" t="n">
        <x:v>-0.1071705938</x:v>
      </x:c>
      <x:c r="AA462" s="39" t="n">
        <x:v>0.0135016452</x:v>
      </x:c>
      <x:c r="AB462" s="39" t="n">
        <x:v>0.0310347032</x:v>
      </x:c>
      <x:c r="AC462" s="39" t="n">
        <x:v>0.4463096001</x:v>
      </x:c>
      <x:c r="AD462" s="39" t="n">
        <x:v>0.0267271302</x:v>
      </x:c>
      <x:c r="AE462" s="39" t="n">
        <x:v>0.039556987</x:v>
      </x:c>
      <x:c r="AF462" s="39" t="n">
        <x:v>0.0351503127</x:v>
      </x:c>
      <x:c r="AG462" s="39" t="n">
        <x:v>0.0493721663</x:v>
      </x:c>
      <x:c r="AH462" s="39" t="n">
        <x:v>-0.2387784781</x:v>
      </x:c>
      <x:c r="AI462" s="39" t="n">
        <x:v>-0.120806894</x:v>
      </x:c>
      <x:c r="AJ462" s="39" t="n">
        <x:v>-0.0888613318</x:v>
      </x:c>
      <x:c r="AK462" s="39" t="n">
        <x:v>0.1073762575</x:v>
      </x:c>
      <x:c r="AL462" s="39" t="n">
        <x:v>0.0606304053</x:v>
      </x:c>
      <x:c r="AM462" s="39" t="n">
        <x:v>-0.0211072847</x:v>
      </x:c>
      <x:c r="AN462" s="39" t="n">
        <x:v>0.0101312127</x:v>
      </x:c>
      <x:c r="AO462" s="39" t="n">
        <x:v>0.0697337026</x:v>
      </x:c>
      <x:c r="AP462" s="39" t="n">
        <x:v>-0.0554222367</x:v>
      </x:c>
      <x:c r="AQ462" s="39" t="n">
        <x:v>-0.0294792706</x:v>
      </x:c>
      <x:c r="AR462" s="39" t="n">
        <x:v>0.0204671652</x:v>
      </x:c>
      <x:c r="AS462" s="39" t="n">
        <x:v>0.0109603439</x:v>
      </x:c>
    </x:row>
    <x:row r="463" ht="19" customHeight="1">
      <x:c r="A463" s="30" t="str">
        <x:v>Other sectors</x:v>
      </x:c>
      <x:c r="B463" s="40" t="d">
        <x:v>2024-12-02T00:00:00.000Z</x:v>
      </x:c>
      <x:c r="C463" s="39" t="n">
        <x:v>0.0537082317</x:v>
      </x:c>
      <x:c r="D463" s="39" t="n">
        <x:v>0.1443578929</x:v>
      </x:c>
      <x:c r="E463" s="39" t="n">
        <x:v>0.0115912773</x:v>
      </x:c>
      <x:c r="F463" s="39" t="n">
        <x:v>0.0158924618</x:v>
      </x:c>
      <x:c r="G463" s="39" t="n">
        <x:v>0.1694459367</x:v>
      </x:c>
      <x:c r="H463" s="39" t="n">
        <x:v>0.1020844725</x:v>
      </x:c>
      <x:c r="I463" s="39" t="n">
        <x:v>-0.0348709096</x:v>
      </x:c>
      <x:c r="J463" s="39" t="n">
        <x:v>0.1036937404</x:v>
      </x:c>
      <x:c r="K463" s="39" t="n">
        <x:v>-0.0314281881</x:v>
      </x:c>
      <x:c r="L463" s="39" t="n">
        <x:v>-0.0039376125</x:v>
      </x:c>
      <x:c r="M463" s="39" t="n">
        <x:v>0.0667173792</x:v>
      </x:c>
      <x:c r="N463" s="39" t="n">
        <x:v>0.0648136593</x:v>
      </x:c>
      <x:c r="O463" s="39" t="n">
        <x:v>0.1017331567</x:v>
      </x:c>
      <x:c r="P463" s="39" t="n">
        <x:v>0.1157913178</x:v>
      </x:c>
      <x:c r="Q463" s="39" t="n">
        <x:v>0.1019512264</x:v>
      </x:c>
      <x:c r="R463" s="39" t="n">
        <x:v>0.0800650062</x:v>
      </x:c>
      <x:c r="S463" s="39" t="n">
        <x:v>0.0931031037</x:v>
      </x:c>
      <x:c r="T463" s="39" t="n">
        <x:v>0.1394027934</x:v>
      </x:c>
      <x:c r="U463" s="39" t="n">
        <x:v>0.0691204665</x:v>
      </x:c>
      <x:c r="V463" s="39" t="n">
        <x:v>0.1053147174</x:v>
      </x:c>
      <x:c r="W463" s="39" t="n">
        <x:v>0.1439583739</x:v>
      </x:c>
      <x:c r="X463" s="39" t="n">
        <x:v>-0.0032072864</x:v>
      </x:c>
      <x:c r="Y463" s="39" t="n">
        <x:v>0.0258167223</x:v>
      </x:c>
      <x:c r="Z463" s="39" t="n">
        <x:v>0.0290535948</x:v>
      </x:c>
      <x:c r="AA463" s="39" t="n">
        <x:v>-0.0608733516</x:v>
      </x:c>
      <x:c r="AB463" s="39" t="n">
        <x:v>-0.2775449598</x:v>
      </x:c>
      <x:c r="AC463" s="39" t="n">
        <x:v>-0.192835123</x:v>
      </x:c>
      <x:c r="AD463" s="39" t="n">
        <x:v>0.046933162</x:v>
      </x:c>
      <x:c r="AE463" s="39" t="n">
        <x:v>-0.0345763639</x:v>
      </x:c>
      <x:c r="AF463" s="39" t="n">
        <x:v>0.1059966334</x:v>
      </x:c>
      <x:c r="AG463" s="39" t="n">
        <x:v>0.0787321621</x:v>
      </x:c>
      <x:c r="AH463" s="39" t="n">
        <x:v>-0.0013563971</x:v>
      </x:c>
      <x:c r="AI463" s="39" t="n">
        <x:v>-0.0377271377</x:v>
      </x:c>
      <x:c r="AJ463" s="39" t="n">
        <x:v>0.0557058087</x:v>
      </x:c>
      <x:c r="AK463" s="39" t="n">
        <x:v>-0.0450113853</x:v>
      </x:c>
      <x:c r="AL463" s="39" t="n">
        <x:v>-0.0694697871</x:v>
      </x:c>
      <x:c r="AM463" s="39" t="n">
        <x:v>0.025897744</x:v>
      </x:c>
      <x:c r="AN463" s="39" t="n">
        <x:v>-0.098251766</x:v>
      </x:c>
      <x:c r="AO463" s="39" t="n">
        <x:v>0.0321319431</x:v>
      </x:c>
      <x:c r="AP463" s="39" t="n">
        <x:v>0.0715416422</x:v>
      </x:c>
      <x:c r="AQ463" s="39" t="n">
        <x:v>0.0263591591</x:v>
      </x:c>
      <x:c r="AR463" s="39" t="n">
        <x:v>0.0254977851</x:v>
      </x:c>
      <x:c r="AS463" s="39" t="n">
        <x:v>0.0427724453</x:v>
      </x:c>
    </x:row>
    <x:row r="464" ht="19" customHeight="1">
      <x:c r="A464" s="30" t="str">
        <x:v>Other sectors</x:v>
      </x:c>
      <x:c r="B464" s="40" t="d">
        <x:v>2024-12-30T00:00:00.000Z</x:v>
      </x:c>
      <x:c r="C464" s="39" t="n">
        <x:v>0.0247340661</x:v>
      </x:c>
      <x:c r="D464" s="39" t="n">
        <x:v>-0.0320690677</x:v>
      </x:c>
      <x:c r="E464" s="39" t="n">
        <x:v>-0.0058762133</x:v>
      </x:c>
      <x:c r="F464" s="39" t="n">
        <x:v>0.0349713174</x:v>
      </x:c>
      <x:c r="G464" s="39" t="n">
        <x:v>0.0202182945</x:v>
      </x:c>
      <x:c r="H464" s="39" t="n">
        <x:v>-0.0736547515</x:v>
      </x:c>
      <x:c r="I464" s="39" t="n">
        <x:v>-0.0354385647</x:v>
      </x:c>
      <x:c r="J464" s="39" t="n">
        <x:v>-0.1067840165</x:v>
      </x:c>
      <x:c r="K464" s="39" t="n">
        <x:v>0.0044590662</x:v>
      </x:c>
      <x:c r="L464" s="39" t="n">
        <x:v>-0.0256321169</x:v>
      </x:c>
      <x:c r="M464" s="39" t="n">
        <x:v>0.0573565207</x:v>
      </x:c>
      <x:c r="N464" s="39" t="n">
        <x:v>0.0971046319</x:v>
      </x:c>
      <x:c r="O464" s="39" t="n">
        <x:v>-0.0326496563</x:v>
      </x:c>
      <x:c r="P464" s="39" t="n">
        <x:v>-0.0163763635</x:v>
      </x:c>
      <x:c r="Q464" s="39" t="n">
        <x:v>0.1020135914</x:v>
      </x:c>
      <x:c r="R464" s="39" t="n">
        <x:v>-0.097543514</x:v>
      </x:c>
      <x:c r="S464" s="39" t="n">
        <x:v>0.0424345887</x:v>
      </x:c>
      <x:c r="T464" s="39" t="n">
        <x:v>0.0232263774</x:v>
      </x:c>
      <x:c r="U464" s="39" t="n">
        <x:v>0.0484892726</x:v>
      </x:c>
      <x:c r="V464" s="39" t="n">
        <x:v>-0.0918212391</x:v>
      </x:c>
      <x:c r="W464" s="39" t="n">
        <x:v>-0.0297727305</x:v>
      </x:c>
      <x:c r="X464" s="39" t="n">
        <x:v>-0.0692210163</x:v>
      </x:c>
      <x:c r="Y464" s="39" t="n">
        <x:v>-0.0949526803</x:v>
      </x:c>
      <x:c r="Z464" s="39" t="n">
        <x:v>0.0518823172</x:v>
      </x:c>
      <x:c r="AA464" s="39" t="n">
        <x:v>-0.0286474973</x:v>
      </x:c>
      <x:c r="AB464" s="39" t="n">
        <x:v>-0.0761357669</x:v>
      </x:c>
      <x:c r="AC464" s="39" t="n">
        <x:v>-0.1293419265</x:v>
      </x:c>
      <x:c r="AD464" s="39" t="n">
        <x:v>0.0059252664</x:v>
      </x:c>
      <x:c r="AE464" s="39" t="n">
        <x:v>0.015131857</x:v>
      </x:c>
      <x:c r="AF464" s="39" t="n">
        <x:v>-0.1022769456</x:v>
      </x:c>
      <x:c r="AG464" s="39" t="n">
        <x:v>0.210482015</x:v>
      </x:c>
      <x:c r="AH464" s="39" t="n">
        <x:v>0.0705600641</x:v>
      </x:c>
      <x:c r="AI464" s="39" t="n">
        <x:v>-0.0578147809</x:v>
      </x:c>
      <x:c r="AJ464" s="39" t="n">
        <x:v>-0.0489279602</x:v>
      </x:c>
      <x:c r="AK464" s="39" t="n">
        <x:v>-0.0034822167</x:v>
      </x:c>
      <x:c r="AL464" s="39" t="n">
        <x:v>0.0996685896</x:v>
      </x:c>
      <x:c r="AM464" s="39" t="n">
        <x:v>-0.0443253586</x:v>
      </x:c>
      <x:c r="AN464" s="39" t="n">
        <x:v>0.0674899745</x:v>
      </x:c>
      <x:c r="AO464" s="39" t="n">
        <x:v>-0.0481991501</x:v>
      </x:c>
      <x:c r="AP464" s="39" t="n">
        <x:v>-0.0475115115</x:v>
      </x:c>
      <x:c r="AQ464" s="39" t="n">
        <x:v>0.0272648529</x:v>
      </x:c>
      <x:c r="AR464" s="39" t="n">
        <x:v>0.0047194548</x:v>
      </x:c>
      <x:c r="AS464" s="39" t="n">
        <x:v>-0.0076154831</x:v>
      </x:c>
    </x:row>
    <x:row r="465" ht="19" customHeight="1">
      <x:c r="A465" s="30" t="str">
        <x:v>Other sectors</x:v>
      </x:c>
      <x:c r="B465" s="40" t="d">
        <x:v>2025-01-27T00:00:00.000Z</x:v>
      </x:c>
      <x:c r="C465" s="39" t="n">
        <x:v>0.0640674137</x:v>
      </x:c>
      <x:c r="D465" s="39" t="n">
        <x:v>0.0217529316</x:v>
      </x:c>
      <x:c r="E465" s="39" t="n">
        <x:v>0.0751977474</x:v>
      </x:c>
      <x:c r="F465" s="39" t="n">
        <x:v>0.0501598008</x:v>
      </x:c>
      <x:c r="G465" s="39" t="n">
        <x:v>-0.0056460761</x:v>
      </x:c>
      <x:c r="H465" s="39" t="n">
        <x:v>-0.0514608846</x:v>
      </x:c>
      <x:c r="I465" s="39" t="n">
        <x:v>0.0829941759</x:v>
      </x:c>
      <x:c r="J465" s="39" t="n">
        <x:v>-0.0728650121</x:v>
      </x:c>
      <x:c r="K465" s="39" t="n">
        <x:v>0.1354973047</x:v>
      </x:c>
      <x:c r="L465" s="39" t="n">
        <x:v>0.082844572</x:v>
      </x:c>
      <x:c r="M465" s="39" t="n">
        <x:v>-0.0008406823</x:v>
      </x:c>
      <x:c r="N465" s="39" t="n">
        <x:v>0.0904424916</x:v>
      </x:c>
      <x:c r="O465" s="39" t="n">
        <x:v>0.1237636691</x:v>
      </x:c>
      <x:c r="P465" s="39" t="n">
        <x:v>0.0447246295</x:v>
      </x:c>
      <x:c r="Q465" s="39" t="n">
        <x:v>-0.1255596843</x:v>
      </x:c>
      <x:c r="R465" s="39" t="n">
        <x:v>0.2965984163</x:v>
      </x:c>
      <x:c r="S465" s="39" t="n">
        <x:v>0.0238162574</x:v>
      </x:c>
      <x:c r="T465" s="39" t="n">
        <x:v>0.1836216405</x:v>
      </x:c>
      <x:c r="U465" s="39" t="n">
        <x:v>-0.1234125454</x:v>
      </x:c>
      <x:c r="V465" s="39" t="n">
        <x:v>0.0105040916</x:v>
      </x:c>
      <x:c r="W465" s="39" t="n">
        <x:v>0.1126415676</x:v>
      </x:c>
      <x:c r="X465" s="39" t="n">
        <x:v>-0.1689920965</x:v>
      </x:c>
      <x:c r="Y465" s="39" t="n">
        <x:v>0.1175701218</x:v>
      </x:c>
      <x:c r="Z465" s="39" t="n">
        <x:v>0.0828463022</x:v>
      </x:c>
      <x:c r="AA465" s="39" t="n">
        <x:v>0.001688293</x:v>
      </x:c>
      <x:c r="AB465" s="39" t="n">
        <x:v>-0.4632849779</x:v>
      </x:c>
      <x:c r="AC465" s="39" t="n">
        <x:v>0.0021028846</x:v>
      </x:c>
      <x:c r="AD465" s="39" t="n">
        <x:v>0.0030497195</x:v>
      </x:c>
      <x:c r="AE465" s="39" t="n">
        <x:v>-0.0089500523</x:v>
      </x:c>
      <x:c r="AF465" s="39" t="n">
        <x:v>-0.0195964038</x:v>
      </x:c>
      <x:c r="AG465" s="39" t="n">
        <x:v>0.0163120813</x:v>
      </x:c>
      <x:c r="AH465" s="39" t="n">
        <x:v>0.0206624121</x:v>
      </x:c>
      <x:c r="AI465" s="39" t="n">
        <x:v>0.0062530837</x:v>
      </x:c>
      <x:c r="AJ465" s="39" t="n">
        <x:v>-0.0199995683</x:v>
      </x:c>
      <x:c r="AK465" s="39" t="n">
        <x:v>0.0604150235</x:v>
      </x:c>
      <x:c r="AL465" s="39" t="n">
        <x:v>0.0962300116</x:v>
      </x:c>
      <x:c r="AM465" s="39" t="n">
        <x:v>-0.0064186494</x:v>
      </x:c>
      <x:c r="AN465" s="39" t="n">
        <x:v>0.0845950072</x:v>
      </x:c>
      <x:c r="AO465" s="39" t="n">
        <x:v>0.0738592802</x:v>
      </x:c>
      <x:c r="AP465" s="39" t="n">
        <x:v>0.027777692</x:v>
      </x:c>
      <x:c r="AQ465" s="39" t="n">
        <x:v>0.0514598677</x:v>
      </x:c>
      <x:c r="AR465" s="39" t="n">
        <x:v>-0.0048086495</x:v>
      </x:c>
      <x:c r="AS465" s="39" t="n">
        <x:v>-0.0202257383</x:v>
      </x:c>
    </x:row>
    <x:row r="466" ht="19" customHeight="1">
      <x:c r="A466" s="30" t="str">
        <x:v>Other sectors</x:v>
      </x:c>
      <x:c r="B466" s="40" t="d">
        <x:v>2025-02-24T00:00:00.000Z</x:v>
      </x:c>
      <x:c r="C466" s="39" t="n">
        <x:v>-0.2822144265</x:v>
      </x:c>
      <x:c r="D466" s="39" t="n">
        <x:v>-0.1188892313</x:v>
      </x:c>
      <x:c r="E466" s="39" t="n">
        <x:v>0.064521692</x:v>
      </x:c>
      <x:c r="F466" s="39" t="n">
        <x:v>0.0743436631</x:v>
      </x:c>
      <x:c r="G466" s="39" t="n">
        <x:v>0.0381633716</x:v>
      </x:c>
      <x:c r="H466" s="39" t="n">
        <x:v>-0.030416997</x:v>
      </x:c>
      <x:c r="I466" s="39" t="n">
        <x:v>-0.0275941023</x:v>
      </x:c>
      <x:c r="J466" s="39" t="n">
        <x:v>-0.1386285835</x:v>
      </x:c>
      <x:c r="K466" s="39" t="n">
        <x:v>0.0656483673</x:v>
      </x:c>
      <x:c r="L466" s="39" t="n">
        <x:v>-0.0824574633</x:v>
      </x:c>
      <x:c r="M466" s="39" t="n">
        <x:v>-0.1682214584</x:v>
      </x:c>
      <x:c r="N466" s="39" t="n">
        <x:v>-0.0269068747</x:v>
      </x:c>
      <x:c r="O466" s="39" t="n">
        <x:v>0.0012663567</x:v>
      </x:c>
      <x:c r="P466" s="39" t="n">
        <x:v>0.0296673264</x:v>
      </x:c>
      <x:c r="Q466" s="39" t="n">
        <x:v>0.2182121769</x:v>
      </x:c>
      <x:c r="R466" s="39" t="n">
        <x:v>0.0543151927</x:v>
      </x:c>
      <x:c r="S466" s="39" t="n">
        <x:v>0.0500817274</x:v>
      </x:c>
      <x:c r="T466" s="39" t="n">
        <x:v>0.2236085005</x:v>
      </x:c>
      <x:c r="U466" s="39" t="n">
        <x:v>-0.2972061987</x:v>
      </x:c>
      <x:c r="V466" s="39" t="n">
        <x:v>-0.1912140853</x:v>
      </x:c>
      <x:c r="W466" s="39" t="n">
        <x:v>0.0044744992</x:v>
      </x:c>
      <x:c r="X466" s="39" t="n">
        <x:v>0.0515671637</x:v>
      </x:c>
      <x:c r="Y466" s="39" t="n">
        <x:v>-0.032689591</x:v>
      </x:c>
      <x:c r="Z466" s="39" t="n">
        <x:v>0.0019150066</x:v>
      </x:c>
      <x:c r="AA466" s="39" t="n">
        <x:v>0.1110321621</x:v>
      </x:c>
      <x:c r="AB466" s="39" t="n">
        <x:v>-0.3400088869</x:v>
      </x:c>
      <x:c r="AC466" s="39" t="n">
        <x:v>0.1085022935</x:v>
      </x:c>
      <x:c r="AD466" s="39" t="n">
        <x:v>0.0082186762</x:v>
      </x:c>
      <x:c r="AE466" s="39" t="n">
        <x:v>0.030398548</x:v>
      </x:c>
      <x:c r="AF466" s="39" t="n">
        <x:v>-0.0530948364</x:v>
      </x:c>
      <x:c r="AG466" s="39" t="n">
        <x:v>0.0256465816</x:v>
      </x:c>
      <x:c r="AH466" s="39" t="n">
        <x:v>-0.1405738759</x:v>
      </x:c>
      <x:c r="AI466" s="39" t="n">
        <x:v>-0.1333156608</x:v>
      </x:c>
      <x:c r="AJ466" s="39" t="n">
        <x:v>0.1217790517</x:v>
      </x:c>
      <x:c r="AK466" s="39" t="n">
        <x:v>0.0902193099</x:v>
      </x:c>
      <x:c r="AL466" s="39" t="n">
        <x:v>0.0701478411</x:v>
      </x:c>
      <x:c r="AM466" s="39" t="n">
        <x:v>-0.0278704497</x:v>
      </x:c>
      <x:c r="AN466" s="39" t="n">
        <x:v>-0.1638884225</x:v>
      </x:c>
      <x:c r="AO466" s="39" t="n">
        <x:v>0.0924530721</x:v>
      </x:c>
      <x:c r="AP466" s="39" t="n">
        <x:v>0.0222664461</x:v>
      </x:c>
      <x:c r="AQ466" s="39" t="n">
        <x:v>0.061582472</x:v>
      </x:c>
      <x:c r="AR466" s="39" t="n">
        <x:v>0.0574873863</x:v>
      </x:c>
      <x:c r="AS466" s="39" t="n">
        <x:v>0.0935981928</x:v>
      </x:c>
    </x:row>
    <x:row r="467" ht="19" customHeight="1">
      <x:c r="A467" s="30" t="str">
        <x:v>Other sectors</x:v>
      </x:c>
      <x:c r="B467" s="40" t="d">
        <x:v>2025-03-24T00:00:00.000Z</x:v>
      </x:c>
      <x:c r="C467" s="39" t="n">
        <x:v>-0.0841460465</x:v>
      </x:c>
      <x:c r="D467" s="39" t="n">
        <x:v>-0.1259602202</x:v>
      </x:c>
      <x:c r="E467" s="39" t="n">
        <x:v>-0.0280217961</x:v>
      </x:c>
      <x:c r="F467" s="39" t="n">
        <x:v>-0.0429000458</x:v>
      </x:c>
      <x:c r="G467" s="39" t="n">
        <x:v>-0.1023345901</x:v>
      </x:c>
      <x:c r="H467" s="39" t="n">
        <x:v>-0.055054128</x:v>
      </x:c>
      <x:c r="I467" s="39" t="n">
        <x:v>0.0420592982</x:v>
      </x:c>
      <x:c r="J467" s="39" t="n">
        <x:v>-0.1006636432</x:v>
      </x:c>
      <x:c r="K467" s="39" t="n">
        <x:v>-0.1331085973</x:v>
      </x:c>
      <x:c r="L467" s="39" t="n">
        <x:v>-0.0222300467</x:v>
      </x:c>
      <x:c r="M467" s="39" t="n">
        <x:v>-0.1251714206</x:v>
      </x:c>
      <x:c r="N467" s="39" t="n">
        <x:v>-0.0997563471</x:v>
      </x:c>
      <x:c r="O467" s="39" t="n">
        <x:v>-0.072564167</x:v>
      </x:c>
      <x:c r="P467" s="39" t="n">
        <x:v>-0.2181184144</x:v>
      </x:c>
      <x:c r="Q467" s="39" t="n">
        <x:v>-0.0400900327</x:v>
      </x:c>
      <x:c r="R467" s="39" t="n">
        <x:v>-0.1853427449</x:v>
      </x:c>
      <x:c r="S467" s="39" t="n">
        <x:v>0.0228839113</x:v>
      </x:c>
      <x:c r="T467" s="39" t="n">
        <x:v>-0.1842239792</x:v>
      </x:c>
      <x:c r="U467" s="39" t="n">
        <x:v>-0.0414462756</x:v>
      </x:c>
      <x:c r="V467" s="39" t="n">
        <x:v>0.0747385619</x:v>
      </x:c>
      <x:c r="W467" s="39" t="n">
        <x:v>0.0129666371</x:v>
      </x:c>
      <x:c r="X467" s="39" t="n">
        <x:v>0.0171783722</x:v>
      </x:c>
      <x:c r="Y467" s="39" t="n">
        <x:v>-0.0525816627</x:v>
      </x:c>
      <x:c r="Z467" s="39" t="n">
        <x:v>0.0557063399</x:v>
      </x:c>
      <x:c r="AA467" s="39" t="n">
        <x:v>0.0021807701</x:v>
      </x:c>
      <x:c r="AB467" s="39" t="n">
        <x:v>0.263600403</x:v>
      </x:c>
      <x:c r="AC467" s="39" t="n">
        <x:v>-0.1697172214</x:v>
      </x:c>
      <x:c r="AD467" s="39" t="n">
        <x:v>-0.031690891</x:v>
      </x:c>
      <x:c r="AE467" s="39" t="n">
        <x:v>0.0595256924</x:v>
      </x:c>
      <x:c r="AF467" s="39" t="n">
        <x:v>-0.1731904183</x:v>
      </x:c>
      <x:c r="AG467" s="39" t="n">
        <x:v>0.0030634543</x:v>
      </x:c>
      <x:c r="AH467" s="39" t="n">
        <x:v>0.1115648077</x:v>
      </x:c>
      <x:c r="AI467" s="39" t="n">
        <x:v>0.1551986498</x:v>
      </x:c>
      <x:c r="AJ467" s="39" t="n">
        <x:v>-0.1393999737</x:v>
      </x:c>
      <x:c r="AK467" s="39" t="n">
        <x:v>-0.0268879945</x:v>
      </x:c>
      <x:c r="AL467" s="39" t="n">
        <x:v>0.1456699729</x:v>
      </x:c>
      <x:c r="AM467" s="39" t="n">
        <x:v>0.0617173122</x:v>
      </x:c>
      <x:c r="AN467" s="39" t="n">
        <x:v>-0.0277595001</x:v>
      </x:c>
      <x:c r="AO467" s="39" t="n">
        <x:v>-0.1357678585</x:v>
      </x:c>
      <x:c r="AP467" s="39" t="n">
        <x:v>-0.0767405955</x:v>
      </x:c>
      <x:c r="AQ467" s="39" t="n">
        <x:v>-0.0267628137</x:v>
      </x:c>
      <x:c r="AR467" s="39" t="n">
        <x:v>-0.0431140277</x:v>
      </x:c>
      <x:c r="AS467" s="39" t="n">
        <x:v>0.0308145583</x:v>
      </x:c>
    </x:row>
    <x:row r="468" ht="19" customHeight="1">
      <x:c r="A468" s="30" t="str">
        <x:v>Other sectors</x:v>
      </x:c>
      <x:c r="B468" s="40" t="d">
        <x:v>2025-04-21T00:00:00.000Z</x:v>
      </x:c>
      <x:c r="C468" s="39" t="n">
        <x:v>0.0187998963</x:v>
      </x:c>
      <x:c r="D468" s="39" t="n">
        <x:v>0.0778306043</x:v>
      </x:c>
      <x:c r="E468" s="39" t="n">
        <x:v>-0.0321185461</x:v>
      </x:c>
      <x:c r="F468" s="39" t="n">
        <x:v>-0.0087537859</x:v>
      </x:c>
      <x:c r="G468" s="39" t="n">
        <x:v>-0.1149894031</x:v>
      </x:c>
      <x:c r="H468" s="39" t="n">
        <x:v>-0.027586657</x:v>
      </x:c>
      <x:c r="I468" s="39" t="n">
        <x:v>-0.0422875877</x:v>
      </x:c>
      <x:c r="J468" s="39" t="n">
        <x:v>0.1794524649</x:v>
      </x:c>
      <x:c r="K468" s="39" t="n">
        <x:v>-0.1341914631</x:v>
      </x:c>
      <x:c r="L468" s="39" t="n">
        <x:v>-0.012938914</x:v>
      </x:c>
      <x:c r="M468" s="39" t="n">
        <x:v>0.1188257131</x:v>
      </x:c>
      <x:c r="N468" s="39" t="n">
        <x:v>0.0585811551</x:v>
      </x:c>
      <x:c r="O468" s="39" t="n">
        <x:v>0.0030092863</x:v>
      </x:c>
      <x:c r="P468" s="39" t="n">
        <x:v>-0.1169750836</x:v>
      </x:c>
      <x:c r="Q468" s="39" t="n">
        <x:v>0.0437762525</x:v>
      </x:c>
      <x:c r="R468" s="39" t="n">
        <x:v>-0.0622793263</x:v>
      </x:c>
      <x:c r="S468" s="39" t="n">
        <x:v>0.0176531221</x:v>
      </x:c>
      <x:c r="T468" s="39" t="n">
        <x:v>0.1131893353</x:v>
      </x:c>
      <x:c r="U468" s="39" t="n">
        <x:v>-0.1961537234</x:v>
      </x:c>
      <x:c r="V468" s="39" t="n">
        <x:v>0.1420324801</x:v>
      </x:c>
      <x:c r="W468" s="39" t="n">
        <x:v>0.2137215053</x:v>
      </x:c>
      <x:c r="X468" s="39" t="n">
        <x:v>-0.0625626258</x:v>
      </x:c>
      <x:c r="Y468" s="39" t="n">
        <x:v>-0.2342965215</x:v>
      </x:c>
      <x:c r="Z468" s="39" t="n">
        <x:v>0.0716162761</x:v>
      </x:c>
      <x:c r="AA468" s="39" t="n">
        <x:v>-0.0643278462</x:v>
      </x:c>
      <x:c r="AB468" s="39" t="n">
        <x:v>-0.3556530673</x:v>
      </x:c>
      <x:c r="AC468" s="39" t="n">
        <x:v>0.0579954637</x:v>
      </x:c>
      <x:c r="AD468" s="39" t="n">
        <x:v>-0.1005391684</x:v>
      </x:c>
      <x:c r="AE468" s="39" t="n">
        <x:v>-0.002840291</x:v>
      </x:c>
      <x:c r="AF468" s="39" t="n">
        <x:v>0.0595609723</x:v>
      </x:c>
      <x:c r="AG468" s="39" t="n">
        <x:v>-0.0475168318</x:v>
      </x:c>
      <x:c r="AH468" s="39" t="n">
        <x:v>0.0723410348</x:v>
      </x:c>
      <x:c r="AI468" s="39" t="n">
        <x:v>-0.1917941376</x:v>
      </x:c>
      <x:c r="AJ468" s="39" t="n">
        <x:v>0.1339327329</x:v>
      </x:c>
      <x:c r="AK468" s="39" t="n">
        <x:v>-0.0763907066</x:v>
      </x:c>
      <x:c r="AL468" s="39" t="n">
        <x:v>-0.0520601536</x:v>
      </x:c>
      <x:c r="AM468" s="39" t="n">
        <x:v>0.0521575431</x:v>
      </x:c>
      <x:c r="AN468" s="39" t="n">
        <x:v>0.0166486066</x:v>
      </x:c>
      <x:c r="AO468" s="39" t="n">
        <x:v>0.0187619222</x:v>
      </x:c>
      <x:c r="AP468" s="39" t="n">
        <x:v>-0.0208169382</x:v>
      </x:c>
      <x:c r="AQ468" s="39" t="n">
        <x:v>-0.0090681862</x:v>
      </x:c>
      <x:c r="AR468" s="39" t="n">
        <x:v>-0.0487212164</x:v>
      </x:c>
      <x:c r="AS468" s="39" t="n">
        <x:v>0.0252229294</x:v>
      </x:c>
    </x:row>
    <x:row r="469" ht="19" customHeight="1">
      <x:c r="A469" s="30" t="str">
        <x:v>Other sectors</x:v>
      </x:c>
      <x:c r="B469" s="40" t="d">
        <x:v>2025-05-19T00:00:00.000Z</x:v>
      </x:c>
      <x:c r="C469" s="39" t="n">
        <x:v>0.085887703</x:v>
      </x:c>
      <x:c r="D469" s="39" t="n">
        <x:v>-0.064178185</x:v>
      </x:c>
      <x:c r="E469" s="39" t="n">
        <x:v>-0.0585519485</x:v>
      </x:c>
      <x:c r="F469" s="39" t="n">
        <x:v>-0.0694937476</x:v>
      </x:c>
      <x:c r="G469" s="39" t="n">
        <x:v>0.1176068904</x:v>
      </x:c>
      <x:c r="H469" s="39" t="n">
        <x:v>-0.0951467806</x:v>
      </x:c>
      <x:c r="I469" s="39" t="n">
        <x:v>-0.0304532923</x:v>
      </x:c>
      <x:c r="J469" s="39" t="n">
        <x:v>-0.0016841948</x:v>
      </x:c>
      <x:c r="K469" s="39" t="n">
        <x:v>0.1123259028</x:v>
      </x:c>
      <x:c r="L469" s="39" t="n">
        <x:v>0.1628147901</x:v>
      </x:c>
      <x:c r="M469" s="39" t="n">
        <x:v>0.1855313074</x:v>
      </x:c>
      <x:c r="N469" s="39" t="n">
        <x:v>0.1461260268</x:v>
      </x:c>
      <x:c r="O469" s="39" t="n">
        <x:v>0.0180523981</x:v>
      </x:c>
      <x:c r="P469" s="39" t="n">
        <x:v>-0.025885723</x:v>
      </x:c>
      <x:c r="Q469" s="39" t="n">
        <x:v>-0.010521758</x:v>
      </x:c>
      <x:c r="R469" s="39" t="n">
        <x:v>-0.2570781433</x:v>
      </x:c>
      <x:c r="S469" s="39" t="n">
        <x:v>0.0774788481</x:v>
      </x:c>
      <x:c r="T469" s="39" t="n">
        <x:v>0.2161818857</x:v>
      </x:c>
      <x:c r="U469" s="39" t="n">
        <x:v>-0.0308217333</x:v>
      </x:c>
      <x:c r="V469" s="39" t="n">
        <x:v>0.0860495052</x:v>
      </x:c>
      <x:c r="W469" s="39" t="n">
        <x:v>-0.0107702479</x:v>
      </x:c>
      <x:c r="X469" s="39" t="n">
        <x:v>-0.0129584068</x:v>
      </x:c>
      <x:c r="Y469" s="39" t="n">
        <x:v>0.0189248951</x:v>
      </x:c>
      <x:c r="Z469" s="39" t="n">
        <x:v>-0.0764756106</x:v>
      </x:c>
      <x:c r="AA469" s="39" t="n">
        <x:v>0.0442596934</x:v>
      </x:c>
      <x:c r="AB469" s="39" t="n">
        <x:v>0.0198674625</x:v>
      </x:c>
      <x:c r="AC469" s="39" t="n">
        <x:v>-0.4142975317</x:v>
      </x:c>
      <x:c r="AD469" s="39" t="n">
        <x:v>0.0181897349</x:v>
      </x:c>
      <x:c r="AE469" s="39" t="n">
        <x:v>-0.0396804789</x:v>
      </x:c>
      <x:c r="AF469" s="39" t="n">
        <x:v>-0.0324134065</x:v>
      </x:c>
      <x:c r="AG469" s="39" t="n">
        <x:v>0.0717074649</x:v>
      </x:c>
      <x:c r="AH469" s="39" t="n">
        <x:v>-0.0733861778</x:v>
      </x:c>
      <x:c r="AI469" s="39" t="n">
        <x:v>-0.0477383885</x:v>
      </x:c>
      <x:c r="AJ469" s="39" t="n">
        <x:v>-0.1907280254</x:v>
      </x:c>
      <x:c r="AK469" s="39" t="n">
        <x:v>0.0125099989</x:v>
      </x:c>
      <x:c r="AL469" s="39" t="n">
        <x:v>0.0152898602</x:v>
      </x:c>
      <x:c r="AM469" s="39" t="n">
        <x:v>0.1282850527</x:v>
      </x:c>
      <x:c r="AN469" s="39" t="n">
        <x:v>-0.0908386103</x:v>
      </x:c>
      <x:c r="AO469" s="39" t="n">
        <x:v>-0.0060799684</x:v>
      </x:c>
      <x:c r="AP469" s="39" t="n">
        <x:v>-0.0824014157</x:v>
      </x:c>
      <x:c r="AQ469" s="39" t="n">
        <x:v>-0.0094710395</x:v>
      </x:c>
      <x:c r="AR469" s="39" t="n">
        <x:v>0.0813263665</x:v>
      </x:c>
      <x:c r="AS469" s="39" t="n">
        <x:v>-0.0631884449</x:v>
      </x:c>
    </x:row>
    <x:row r="470" ht="19" customHeight="1">
      <x:c r="A470" s="30" t="str">
        <x:v>Other sectors</x:v>
      </x:c>
      <x:c r="B470" s="40" t="d">
        <x:v>2025-06-16T00:00:00.000Z</x:v>
      </x:c>
      <x:c r="C470" s="39" t="n">
        <x:v>0.1788572723</x:v>
      </x:c>
      <x:c r="D470" s="39" t="n">
        <x:v>-0.0831311649</x:v>
      </x:c>
      <x:c r="E470" s="39" t="n">
        <x:v>-0.0103915387</x:v>
      </x:c>
      <x:c r="F470" s="39" t="n">
        <x:v>-0.0328283284</x:v>
      </x:c>
      <x:c r="G470" s="39" t="n">
        <x:v>0.0828703045</x:v>
      </x:c>
      <x:c r="H470" s="39" t="n">
        <x:v>0.0922659108</x:v>
      </x:c>
      <x:c r="I470" s="39" t="n">
        <x:v>0.0321867406</x:v>
      </x:c>
      <x:c r="J470" s="39" t="n">
        <x:v>0.0087913969</x:v>
      </x:c>
      <x:c r="K470" s="39" t="n">
        <x:v>-0.0052370531</x:v>
      </x:c>
      <x:c r="L470" s="39" t="n">
        <x:v>-0.0180920195</x:v>
      </x:c>
      <x:c r="M470" s="39" t="n">
        <x:v>0.119573636</x:v>
      </x:c>
      <x:c r="N470" s="39" t="n">
        <x:v>-0.0643492876</x:v>
      </x:c>
      <x:c r="O470" s="39" t="n">
        <x:v>-0.0051166033</x:v>
      </x:c>
      <x:c r="P470" s="39" t="n">
        <x:v>0.1197896276</x:v>
      </x:c>
      <x:c r="Q470" s="39" t="n">
        <x:v>0.0837571729</x:v>
      </x:c>
      <x:c r="R470" s="39" t="n">
        <x:v>-0.2278397446</x:v>
      </x:c>
      <x:c r="S470" s="39" t="n">
        <x:v>-0.058877505</x:v>
      </x:c>
      <x:c r="T470" s="39" t="n">
        <x:v>0.0889312432</x:v>
      </x:c>
      <x:c r="U470" s="39" t="n">
        <x:v>-0.0120851355</x:v>
      </x:c>
      <x:c r="V470" s="39" t="n">
        <x:v>0.1004847568</x:v>
      </x:c>
      <x:c r="W470" s="39" t="n">
        <x:v>0.0107626996</x:v>
      </x:c>
      <x:c r="X470" s="39" t="n">
        <x:v>-0.0126289385</x:v>
      </x:c>
      <x:c r="Y470" s="39" t="n">
        <x:v>0.1805593826</x:v>
      </x:c>
      <x:c r="Z470" s="39" t="n">
        <x:v>0.1188580952</x:v>
      </x:c>
      <x:c r="AA470" s="39" t="n">
        <x:v>-0.0656672242</x:v>
      </x:c>
      <x:c r="AB470" s="39" t="n">
        <x:v>0.0549315138</x:v>
      </x:c>
      <x:c r="AC470" s="39" t="n">
        <x:v>0.3253485563</x:v>
      </x:c>
      <x:c r="AD470" s="39" t="n">
        <x:v>-0.0223578418</x:v>
      </x:c>
      <x:c r="AE470" s="39" t="n">
        <x:v>0.0172532288</x:v>
      </x:c>
      <x:c r="AF470" s="39" t="n">
        <x:v>-0.0349104716</x:v>
      </x:c>
      <x:c r="AG470" s="39" t="n">
        <x:v>-0.0025767159</x:v>
      </x:c>
      <x:c r="AH470" s="39" t="n">
        <x:v>0.0861597456</x:v>
      </x:c>
      <x:c r="AI470" s="39" t="n">
        <x:v>0.0506957085</x:v>
      </x:c>
      <x:c r="AJ470" s="39" t="n">
        <x:v>0.0308218162</x:v>
      </x:c>
      <x:c r="AK470" s="39" t="n">
        <x:v>-0.0142741475</x:v>
      </x:c>
      <x:c r="AL470" s="39" t="n">
        <x:v>-0.1767535997</x:v>
      </x:c>
      <x:c r="AM470" s="39" t="n">
        <x:v>0.0110694127</x:v>
      </x:c>
      <x:c r="AN470" s="39" t="n">
        <x:v>-0.0712363327</x:v>
      </x:c>
      <x:c r="AO470" s="39" t="n">
        <x:v>-0.0364157247</x:v>
      </x:c>
      <x:c r="AP470" s="39" t="n">
        <x:v>-0.0231720963</x:v>
      </x:c>
      <x:c r="AQ470" s="39" t="n">
        <x:v>-0.0520726126</x:v>
      </x:c>
      <x:c r="AR470" s="39" t="n">
        <x:v>-0.020599797</x:v>
      </x:c>
      <x:c r="AS470" s="39" t="n">
        <x:v>-0.0549480473</x:v>
      </x:c>
    </x:row>
    <x:row r="471" ht="19" customHeight="1">
      <x:c r="A471" s="30" t="str">
        <x:v>Other sectors</x:v>
      </x:c>
      <x:c r="B471" s="40" t="d">
        <x:v>2025-07-14T00:00:00.000Z</x:v>
      </x:c>
      <x:c r="C471" s="39" t="n">
        <x:v>-0.0936798746</x:v>
      </x:c>
      <x:c r="D471" s="39" t="n">
        <x:v>-0.2119052507</x:v>
      </x:c>
      <x:c r="E471" s="39" t="n">
        <x:v>0.0393230884</x:v>
      </x:c>
      <x:c r="F471" s="39" t="n">
        <x:v>0.027110745</x:v>
      </x:c>
      <x:c r="G471" s="39" t="n">
        <x:v>-0.0370076243</x:v>
      </x:c>
      <x:c r="H471" s="39" t="n">
        <x:v>-0.0334638327</x:v>
      </x:c>
      <x:c r="I471" s="39" t="n">
        <x:v>0.006372586</x:v>
      </x:c>
      <x:c r="J471" s="39" t="n">
        <x:v>-0.0593652101</x:v>
      </x:c>
      <x:c r="K471" s="39" t="n">
        <x:v>0.0057954807</x:v>
      </x:c>
      <x:c r="L471" s="39" t="n">
        <x:v>0.0732634619</x:v>
      </x:c>
      <x:c r="M471" s="39" t="n">
        <x:v>-0.0623645297</x:v>
      </x:c>
      <x:c r="N471" s="39" t="n">
        <x:v>0.0226131424</x:v>
      </x:c>
      <x:c r="O471" s="39" t="n">
        <x:v>-0.0272385847</x:v>
      </x:c>
      <x:c r="P471" s="39" t="n">
        <x:v>-0.0284556977</x:v>
      </x:c>
      <x:c r="Q471" s="39" t="n">
        <x:v>-0.080839134</x:v>
      </x:c>
      <x:c r="R471" s="39" t="n">
        <x:v>0.0047549902</x:v>
      </x:c>
      <x:c r="S471" s="39" t="n">
        <x:v>0.0103861519</x:v>
      </x:c>
      <x:c r="T471" s="39" t="n">
        <x:v>0.0153716726</x:v>
      </x:c>
      <x:c r="U471" s="39" t="n">
        <x:v>0.250253884</x:v>
      </x:c>
      <x:c r="V471" s="39" t="n">
        <x:v>-0.1457189687</x:v>
      </x:c>
      <x:c r="W471" s="39" t="n">
        <x:v>-0.0939911247</x:v>
      </x:c>
      <x:c r="X471" s="39" t="n">
        <x:v>0.0361915062</x:v>
      </x:c>
      <x:c r="Y471" s="39" t="n">
        <x:v>-0.2901433767</x:v>
      </x:c>
      <x:c r="Z471" s="39" t="n">
        <x:v>-0.0517252828</x:v>
      </x:c>
      <x:c r="AA471" s="39" t="n">
        <x:v>-0.096559545</x:v>
      </x:c>
      <x:c r="AB471" s="39" t="n">
        <x:v>0.1890769977</x:v>
      </x:c>
      <x:c r="AC471" s="39" t="n">
        <x:v>0.1916076315</x:v>
      </x:c>
      <x:c r="AD471" s="39" t="n">
        <x:v>-0.039593392</x:v>
      </x:c>
      <x:c r="AE471" s="39" t="n">
        <x:v>-0.0133159221</x:v>
      </x:c>
      <x:c r="AF471" s="39" t="n">
        <x:v>0.0679235209</x:v>
      </x:c>
      <x:c r="AG471" s="39" t="n">
        <x:v>0.1089643174</x:v>
      </x:c>
      <x:c r="AH471" s="39" t="n">
        <x:v>0.0876419944</x:v>
      </x:c>
      <x:c r="AI471" s="39" t="n">
        <x:v>0.0760031151</x:v>
      </x:c>
      <x:c r="AJ471" s="39" t="n">
        <x:v>0.012244586</x:v>
      </x:c>
      <x:c r="AK471" s="39" t="n">
        <x:v>0.0569870369</x:v>
      </x:c>
      <x:c r="AL471" s="39" t="n">
        <x:v>-0.1779615785</x:v>
      </x:c>
      <x:c r="AM471" s="39" t="n">
        <x:v>0.0061387816</x:v>
      </x:c>
      <x:c r="AN471" s="39" t="n">
        <x:v>0.0383233056</x:v>
      </x:c>
      <x:c r="AO471" s="39" t="n">
        <x:v>-0.0745781969</x:v>
      </x:c>
      <x:c r="AP471" s="39" t="n">
        <x:v>-0.029974251</x:v>
      </x:c>
      <x:c r="AQ471" s="39" t="n">
        <x:v>0.0104689166</x:v>
      </x:c>
      <x:c r="AR471" s="39" t="n">
        <x:v>0.1519793767</x:v>
      </x:c>
      <x:c r="AS471" s="39" t="n">
        <x:v>-0.0482535519</x:v>
      </x:c>
    </x:row>
    <x:row r="472" ht="19" customHeight="1">
      <x:c r="A472" s="30" t="str">
        <x:v>Other sectors</x:v>
      </x:c>
      <x:c r="B472" s="40" t="d">
        <x:v>2025-08-11T00:00:00.000Z</x:v>
      </x:c>
      <x:c r="C472" s="39" t="n">
        <x:v>-0.0030849095</x:v>
      </x:c>
      <x:c r="D472" s="39" t="n">
        <x:v>-0.090448046</x:v>
      </x:c>
      <x:c r="E472" s="39" t="n">
        <x:v>0.0487612016</x:v>
      </x:c>
      <x:c r="F472" s="39" t="n">
        <x:v>0.0161450765</x:v>
      </x:c>
      <x:c r="G472" s="39" t="n">
        <x:v>-0.0710670055</x:v>
      </x:c>
      <x:c r="H472" s="39" t="n">
        <x:v>-0.2966484265</x:v>
      </x:c>
      <x:c r="I472" s="39" t="n">
        <x:v>-0.0454894169</x:v>
      </x:c>
      <x:c r="J472" s="39" t="n">
        <x:v>0.1828179133</x:v>
      </x:c>
      <x:c r="K472" s="39" t="n">
        <x:v>0.0110136441</x:v>
      </x:c>
      <x:c r="L472" s="39" t="n">
        <x:v>-0.0836669993</x:v>
      </x:c>
      <x:c r="M472" s="39" t="n">
        <x:v>-0.0777236474</x:v>
      </x:c>
      <x:c r="N472" s="39" t="n">
        <x:v>-0.0354281223</x:v>
      </x:c>
      <x:c r="O472" s="39" t="n">
        <x:v>0.0581163014</x:v>
      </x:c>
      <x:c r="P472" s="39" t="n">
        <x:v>0.2058492033</x:v>
      </x:c>
      <x:c r="Q472" s="39" t="n">
        <x:v>0.1798334475</x:v>
      </x:c>
      <x:c r="R472" s="39" t="n">
        <x:v>0.086237445</x:v>
      </x:c>
      <x:c r="S472" s="39" t="n">
        <x:v>-0.0111330425</x:v>
      </x:c>
      <x:c r="T472" s="39" t="n">
        <x:v>-0.0324500146</x:v>
      </x:c>
      <x:c r="U472" s="39" t="n">
        <x:v>-0.1418385597</x:v>
      </x:c>
      <x:c r="V472" s="39" t="n">
        <x:v>0.0066975477</x:v>
      </x:c>
      <x:c r="W472" s="39" t="n">
        <x:v>-0.0268046605</x:v>
      </x:c>
      <x:c r="X472" s="39" t="n">
        <x:v>-0.0661697397</x:v>
      </x:c>
      <x:c r="Y472" s="39" t="n">
        <x:v>0.084975857</x:v>
      </x:c>
      <x:c r="Z472" s="39" t="n">
        <x:v>0.2698010788</x:v>
      </x:c>
      <x:c r="AA472" s="39" t="n">
        <x:v>0.0022241884</x:v>
      </x:c>
      <x:c r="AB472" s="39" t="n">
        <x:v>0.1290489871</x:v>
      </x:c>
      <x:c r="AC472" s="39" t="n">
        <x:v>-0.2193463084</x:v>
      </x:c>
      <x:c r="AD472" s="39" t="n">
        <x:v>-0.0161316379</x:v>
      </x:c>
      <x:c r="AE472" s="39" t="n">
        <x:v>0.0340598459</x:v>
      </x:c>
      <x:c r="AF472" s="39" t="n">
        <x:v>0.0241722839</x:v>
      </x:c>
      <x:c r="AG472" s="39" t="n">
        <x:v>0.0429294553</x:v>
      </x:c>
      <x:c r="AH472" s="39" t="n">
        <x:v>0.1084915986</x:v>
      </x:c>
      <x:c r="AI472" s="39" t="n">
        <x:v>0.1735546725</x:v>
      </x:c>
      <x:c r="AJ472" s="39" t="n">
        <x:v>-0.1823751265</x:v>
      </x:c>
      <x:c r="AK472" s="39" t="n">
        <x:v>0.030608876</x:v>
      </x:c>
      <x:c r="AL472" s="39" t="n">
        <x:v>-0.1515802057</x:v>
      </x:c>
      <x:c r="AM472" s="39" t="n">
        <x:v>-0.0281825431</x:v>
      </x:c>
      <x:c r="AN472" s="39" t="n">
        <x:v>0.020289213</x:v>
      </x:c>
      <x:c r="AO472" s="39" t="n">
        <x:v>-0.0022529711</x:v>
      </x:c>
      <x:c r="AP472" s="39" t="n">
        <x:v>0.1535703879</x:v>
      </x:c>
      <x:c r="AQ472" s="39" t="n">
        <x:v>0.000774859</x:v>
      </x:c>
      <x:c r="AR472" s="39" t="n">
        <x:v>0.0705803626</x:v>
      </x:c>
      <x:c r="AS472" s="39" t="n">
        <x:v>0.0045238821</x:v>
      </x:c>
    </x:row>
    <x:row r="473" ht="19" customHeight="1">
      <x:c r="A473" s="30" t="str">
        <x:v>Other sectors</x:v>
      </x:c>
      <x:c r="B473" s="40" t="d">
        <x:v>2025-09-08T00:00:00.000Z</x:v>
      </x:c>
      <x:c r="C473" s="39" t="n">
        <x:v>0.0560899844</x:v>
      </x:c>
      <x:c r="D473" s="39" t="n">
        <x:v>-0.2741875769</x:v>
      </x:c>
      <x:c r="E473" s="39" t="n">
        <x:v>-0.0510280847</x:v>
      </x:c>
      <x:c r="F473" s="39" t="n">
        <x:v>0.0129461899</x:v>
      </x:c>
      <x:c r="G473" s="39" t="n">
        <x:v>-0.0537395024</x:v>
      </x:c>
      <x:c r="H473" s="39" t="n">
        <x:v>-0.2195707063</x:v>
      </x:c>
      <x:c r="I473" s="39" t="n">
        <x:v>-0.0830674576</x:v>
      </x:c>
      <x:c r="J473" s="39" t="n">
        <x:v>0.0754215246</x:v>
      </x:c>
      <x:c r="K473" s="39" t="n">
        <x:v>0.2919252225</x:v>
      </x:c>
      <x:c r="L473" s="39" t="n">
        <x:v>0.1210619816</x:v>
      </x:c>
      <x:c r="M473" s="39" t="n">
        <x:v>-0.0638476188</x:v>
      </x:c>
      <x:c r="N473" s="39" t="n">
        <x:v>-0.0306490241</x:v>
      </x:c>
      <x:c r="O473" s="39" t="n">
        <x:v>0.0017295261</x:v>
      </x:c>
      <x:c r="P473" s="39" t="n">
        <x:v>0.331851878</x:v>
      </x:c>
      <x:c r="Q473" s="39" t="n">
        <x:v>-0.0392460783</x:v>
      </x:c>
      <x:c r="R473" s="39" t="n">
        <x:v>0.1559011558</x:v>
      </x:c>
      <x:c r="S473" s="39" t="n">
        <x:v>-0.0586248573</x:v>
      </x:c>
      <x:c r="T473" s="39" t="n">
        <x:v>-0.0135713582</x:v>
      </x:c>
      <x:c r="U473" s="39" t="n">
        <x:v>-0.2964175109</x:v>
      </x:c>
      <x:c r="V473" s="39" t="n">
        <x:v>-0.0354627928</x:v>
      </x:c>
      <x:c r="W473" s="39" t="n">
        <x:v>-0.112092124</x:v>
      </x:c>
      <x:c r="X473" s="39" t="n">
        <x:v>-0.0817305646</x:v>
      </x:c>
      <x:c r="Y473" s="39" t="n">
        <x:v>0.3325968105</x:v>
      </x:c>
      <x:c r="Z473" s="39" t="n">
        <x:v>0.1090115526</x:v>
      </x:c>
      <x:c r="AA473" s="39" t="n">
        <x:v>0.0092899019</x:v>
      </x:c>
      <x:c r="AB473" s="39" t="n">
        <x:v>0.0547608623</x:v>
      </x:c>
      <x:c r="AC473" s="39" t="n">
        <x:v>-0.0693536138</x:v>
      </x:c>
      <x:c r="AD473" s="39" t="n">
        <x:v>0.0543662505</x:v>
      </x:c>
      <x:c r="AE473" s="39" t="n">
        <x:v>-0.0508644333</x:v>
      </x:c>
      <x:c r="AF473" s="39" t="n">
        <x:v>0.218458485</x:v>
      </x:c>
      <x:c r="AG473" s="39" t="n">
        <x:v>-0.1565777354</x:v>
      </x:c>
      <x:c r="AH473" s="39" t="n">
        <x:v>0.0280007383</x:v>
      </x:c>
      <x:c r="AI473" s="39" t="n">
        <x:v>-0.2158813363</x:v>
      </x:c>
      <x:c r="AJ473" s="39" t="n">
        <x:v>0.0788052988</x:v>
      </x:c>
      <x:c r="AK473" s="39" t="n">
        <x:v>-0.0209633818</x:v>
      </x:c>
      <x:c r="AL473" s="39" t="n">
        <x:v>0.074935405</x:v>
      </x:c>
      <x:c r="AM473" s="39" t="n">
        <x:v>-0.0643148068</x:v>
      </x:c>
      <x:c r="AN473" s="39" t="n">
        <x:v>0.152618601</x:v>
      </x:c>
      <x:c r="AO473" s="39" t="n">
        <x:v>-0.0282616862</x:v>
      </x:c>
      <x:c r="AP473" s="39" t="n">
        <x:v>0.0459921783</x:v>
      </x:c>
      <x:c r="AQ473" s="39" t="n">
        <x:v>-0.0269625511</x:v>
      </x:c>
      <x:c r="AR473" s="39" t="n">
        <x:v>0.0085704559</x:v>
      </x:c>
      <x:c r="AS473" s="39" t="n">
        <x:v>0.0160433317</x:v>
      </x:c>
    </x:row>
    <x:row r="474" ht="19" customHeight="1">
      <x:c r="A474" s="30" t="str">
        <x:v>Other sectors</x:v>
      </x:c>
      <x:c r="B474" s="40" t="d">
        <x:v>2025-10-06T00:00:00.000Z</x:v>
      </x:c>
      <x:c r="C474" s="39" t="n">
        <x:v>-0.1132246607</x:v>
      </x:c>
      <x:c r="D474" s="39" t="n">
        <x:v>0.118172487</x:v>
      </x:c>
      <x:c r="E474" s="39" t="n">
        <x:v>0.0239856268</x:v>
      </x:c>
      <x:c r="F474" s="39" t="n">
        <x:v>-0.0125606216</x:v>
      </x:c>
      <x:c r="G474" s="39" t="n">
        <x:v>0.01628348</x:v>
      </x:c>
      <x:c r="H474" s="39" t="n">
        <x:v>0.0737653011</x:v>
      </x:c>
      <x:c r="I474" s="39" t="n">
        <x:v>-0.0583332739</x:v>
      </x:c>
      <x:c r="J474" s="39" t="n">
        <x:v>0.046040906</x:v>
      </x:c>
      <x:c r="K474" s="39" t="n">
        <x:v>0.0829432996</x:v>
      </x:c>
      <x:c r="L474" s="39" t="n">
        <x:v>0.0578138141</x:v>
      </x:c>
      <x:c r="M474" s="39" t="n">
        <x:v>0.1178246356</x:v>
      </x:c>
      <x:c r="N474" s="39" t="n">
        <x:v>0.1384091229</x:v>
      </x:c>
      <x:c r="O474" s="39" t="n">
        <x:v>-0.0434796574</x:v>
      </x:c>
      <x:c r="P474" s="39" t="n">
        <x:v>0.1350725297</x:v>
      </x:c>
      <x:c r="Q474" s="39" t="n">
        <x:v>0.0890588806</x:v>
      </x:c>
      <x:c r="R474" s="39" t="n">
        <x:v>-0.0025137116</x:v>
      </x:c>
      <x:c r="S474" s="39" t="n">
        <x:v>0.0688014359</x:v>
      </x:c>
      <x:c r="T474" s="39" t="n">
        <x:v>0.0028076771</x:v>
      </x:c>
      <x:c r="U474" s="39" t="n">
        <x:v>0.2070180289</x:v>
      </x:c>
      <x:c r="V474" s="39" t="n">
        <x:v>-0.0570849554</x:v>
      </x:c>
      <x:c r="W474" s="39" t="n">
        <x:v>0.0110980292</x:v>
      </x:c>
      <x:c r="X474" s="39" t="n">
        <x:v>-0.0449837525</x:v>
      </x:c>
      <x:c r="Y474" s="39" t="n">
        <x:v>0.0321969627</x:v>
      </x:c>
      <x:c r="Z474" s="39" t="n">
        <x:v>0.1712984485</x:v>
      </x:c>
      <x:c r="AA474" s="39" t="n">
        <x:v>-0.0183162505</x:v>
      </x:c>
      <x:c r="AB474" s="39" t="n">
        <x:v>0.5877660125</x:v>
      </x:c>
      <x:c r="AC474" s="39" t="n">
        <x:v>-0.1640236981</x:v>
      </x:c>
      <x:c r="AD474" s="39" t="n">
        <x:v>-0.0422707525</x:v>
      </x:c>
      <x:c r="AE474" s="39" t="n">
        <x:v>0.0241394559</x:v>
      </x:c>
      <x:c r="AF474" s="39" t="n">
        <x:v>-0.0882607645</x:v>
      </x:c>
      <x:c r="AG474" s="39" t="n">
        <x:v>-0.0106258539</x:v>
      </x:c>
      <x:c r="AH474" s="39" t="n">
        <x:v>0.0596893369</x:v>
      </x:c>
      <x:c r="AI474" s="39" t="n">
        <x:v>0.3246186132</x:v>
      </x:c>
      <x:c r="AJ474" s="39" t="n">
        <x:v>0.0192438909</x:v>
      </x:c>
      <x:c r="AK474" s="39" t="n">
        <x:v>0.0144393915</x:v>
      </x:c>
      <x:c r="AL474" s="39" t="n">
        <x:v>0.1894385045</x:v>
      </x:c>
      <x:c r="AM474" s="39" t="n">
        <x:v>-0.0069291109</x:v>
      </x:c>
      <x:c r="AN474" s="39" t="n">
        <x:v>-0.0614634475</x:v>
      </x:c>
      <x:c r="AO474" s="39" t="n">
        <x:v>-0.0232340277</x:v>
      </x:c>
      <x:c r="AP474" s="39" t="n">
        <x:v>-0.1097839501</x:v>
      </x:c>
      <x:c r="AQ474" s="39" t="n">
        <x:v>-0.0010016636</x:v>
      </x:c>
      <x:c r="AR474" s="39" t="n">
        <x:v>0.0544168633</x:v>
      </x:c>
      <x:c r="AS474" s="39" t="n">
        <x:v>-0.0105384464</x:v>
      </x:c>
    </x:row>
    <x:row r="475" ht="19" customHeight="1">
      <x:c r="A475" s="30" t="str">
        <x:v>Other sectors</x:v>
      </x:c>
      <x:c r="B475" s="40" t="d">
        <x:v>2025-11-03T00:00:00.000Z</x:v>
      </x:c>
      <x:c r="C475" s="39" t="n">
        <x:v>-0.0575897703</x:v>
      </x:c>
      <x:c r="D475" s="39" t="n">
        <x:v>0.3017773154</x:v>
      </x:c>
      <x:c r="E475" s="39" t="n">
        <x:v>0.0765975948</x:v>
      </x:c>
      <x:c r="F475" s="39" t="n">
        <x:v>0.0296267245</x:v>
      </x:c>
      <x:c r="G475" s="39" t="n">
        <x:v>0.0426543754</x:v>
      </x:c>
      <x:c r="H475" s="39" t="n">
        <x:v>-0.3701273278</x:v>
      </x:c>
      <x:c r="I475" s="39" t="n">
        <x:v>0.0828861052</x:v>
      </x:c>
      <x:c r="J475" s="39" t="n">
        <x:v>0.1440052317</x:v>
      </x:c>
      <x:c r="K475" s="39" t="n">
        <x:v>0.2844025664</x:v>
      </x:c>
      <x:c r="L475" s="39" t="n">
        <x:v>0.0548814818</x:v>
      </x:c>
      <x:c r="M475" s="39" t="n">
        <x:v>-0.1192442185</x:v>
      </x:c>
      <x:c r="N475" s="39" t="n">
        <x:v>-0.045052137</x:v>
      </x:c>
      <x:c r="O475" s="39" t="n">
        <x:v>-0.2499622871</x:v>
      </x:c>
      <x:c r="P475" s="39" t="n">
        <x:v>0.4509542879</x:v>
      </x:c>
      <x:c r="Q475" s="39" t="n">
        <x:v>-0.1028099594</x:v>
      </x:c>
      <x:c r="R475" s="39" t="n">
        <x:v>0.311493827</x:v>
      </x:c>
      <x:c r="S475" s="39" t="n">
        <x:v>0.0327726227</x:v>
      </x:c>
      <x:c r="T475" s="39" t="n">
        <x:v>-0.0160906991</x:v>
      </x:c>
      <x:c r="U475" s="39" t="n">
        <x:v>-0.1097998472</x:v>
      </x:c>
      <x:c r="V475" s="39" t="n">
        <x:v>-0.2686227084</x:v>
      </x:c>
      <x:c r="W475" s="39" t="n">
        <x:v>-0.1106681825</x:v>
      </x:c>
      <x:c r="X475" s="39" t="n">
        <x:v>-0.0457551776</x:v>
      </x:c>
      <x:c r="Y475" s="39" t="n">
        <x:v>0.3447768436</x:v>
      </x:c>
      <x:c r="Z475" s="39" t="n">
        <x:v>0.0150424042</x:v>
      </x:c>
      <x:c r="AA475" s="39" t="n">
        <x:v>-0.1282184694</x:v>
      </x:c>
      <x:c r="AB475" s="39" t="n">
        <x:v>0.0803731876</x:v>
      </x:c>
      <x:c r="AC475" s="39" t="n">
        <x:v>-0.3252059156</x:v>
      </x:c>
      <x:c r="AD475" s="39" t="n">
        <x:v>0.0332017377</x:v>
      </x:c>
      <x:c r="AE475" s="39" t="n">
        <x:v>0.2106510857</x:v>
      </x:c>
      <x:c r="AF475" s="39" t="n">
        <x:v>-0.1575254762</x:v>
      </x:c>
      <x:c r="AG475" s="39" t="n">
        <x:v>-0.0950211942</x:v>
      </x:c>
      <x:c r="AH475" s="39" t="n">
        <x:v>0.1497784368</x:v>
      </x:c>
      <x:c r="AI475" s="39" t="n">
        <x:v>0.0669620183</x:v>
      </x:c>
      <x:c r="AJ475" s="39" t="n">
        <x:v>0.0895642369</x:v>
      </x:c>
      <x:c r="AK475" s="39" t="n">
        <x:v>0.1620863177</x:v>
      </x:c>
      <x:c r="AL475" s="39" t="n">
        <x:v>0.3076584462</x:v>
      </x:c>
      <x:c r="AM475" s="39" t="n">
        <x:v>-0.0866762784</x:v>
      </x:c>
      <x:c r="AN475" s="39" t="n">
        <x:v>0.1785938646</x:v>
      </x:c>
      <x:c r="AO475" s="39" t="n">
        <x:v>-0.0089461293</x:v>
      </x:c>
      <x:c r="AP475" s="39" t="n">
        <x:v>-0.0325024757</x:v>
      </x:c>
      <x:c r="AQ475" s="39" t="n">
        <x:v>0.0884075411</x:v>
      </x:c>
      <x:c r="AR475" s="39" t="n">
        <x:v>-0.0428761073</x:v>
      </x:c>
      <x:c r="AS475" s="39" t="n">
        <x:v>0.0189152442</x:v>
      </x:c>
    </x:row>
    <x:row r="476" ht="19" customHeight="1">
      <x:c r="A476" s="30" t="str">
        <x:v>Other sectors</x:v>
      </x:c>
      <x:c r="B476" s="40" t="d">
        <x:v>2025-12-01T00:00:00.000Z</x:v>
      </x:c>
      <x:c r="C476" s="39" t="n">
        <x:v>-0.1368782609</x:v>
      </x:c>
      <x:c r="D476" s="39" t="n">
        <x:v>0.0704477644</x:v>
      </x:c>
      <x:c r="E476" s="39" t="n">
        <x:v>-0.0110491184</x:v>
      </x:c>
      <x:c r="F476" s="39" t="n">
        <x:v>0.0055324847</x:v>
      </x:c>
      <x:c r="G476" s="39" t="n">
        <x:v>-0.1142866304</x:v>
      </x:c>
      <x:c r="H476" s="39" t="n">
        <x:v>0.1131564631</x:v>
      </x:c>
      <x:c r="I476" s="39" t="n">
        <x:v>-0.1110420989</x:v>
      </x:c>
      <x:c r="J476" s="39" t="n">
        <x:v>-0.0815302879</x:v>
      </x:c>
      <x:c r="K476" s="39" t="n">
        <x:v>-0.0724652027</x:v>
      </x:c>
      <x:c r="L476" s="39" t="n">
        <x:v>-0.0583342373</x:v>
      </x:c>
      <x:c r="M476" s="39" t="n">
        <x:v>-0.0961277063</x:v>
      </x:c>
      <x:c r="N476" s="39" t="n">
        <x:v>0.0312449244</x:v>
      </x:c>
      <x:c r="O476" s="39" t="n">
        <x:v>0.0794735744</x:v>
      </x:c>
      <x:c r="P476" s="39" t="n">
        <x:v>-0.0074889768</x:v>
      </x:c>
      <x:c r="Q476" s="39" t="n">
        <x:v>0.0151016209</x:v>
      </x:c>
      <x:c r="R476" s="39" t="n">
        <x:v>-0.0580011119</x:v>
      </x:c>
      <x:c r="S476" s="39" t="n">
        <x:v>-0.0769532661</x:v>
      </x:c>
      <x:c r="T476" s="39" t="n">
        <x:v>-0.2484052045</x:v>
      </x:c>
      <x:c r="U476" s="39" t="n">
        <x:v>0.054105693</x:v>
      </x:c>
      <x:c r="V476" s="39" t="n">
        <x:v>-0.1371364622</x:v>
      </x:c>
      <x:c r="W476" s="39" t="n">
        <x:v>-0.1534506504</x:v>
      </x:c>
      <x:c r="X476" s="39" t="n">
        <x:v>-0.1018468716</x:v>
      </x:c>
      <x:c r="Y476" s="39" t="n">
        <x:v>-0.1162757891</x:v>
      </x:c>
      <x:c r="Z476" s="39" t="n">
        <x:v>-0.0339566165</x:v>
      </x:c>
      <x:c r="AA476" s="39" t="n">
        <x:v>0.0116107197</x:v>
      </x:c>
      <x:c r="AB476" s="39" t="n">
        <x:v>0.2252249921</x:v>
      </x:c>
      <x:c r="AC476" s="39" t="n">
        <x:v>0.3353449181</x:v>
      </x:c>
      <x:c r="AD476" s="39" t="n">
        <x:v>-0.0883534788</x:v>
      </x:c>
      <x:c r="AE476" s="39" t="n">
        <x:v>-0.1170122952</x:v>
      </x:c>
      <x:c r="AF476" s="39" t="n">
        <x:v>-0.0258494011</x:v>
      </x:c>
      <x:c r="AG476" s="39" t="n">
        <x:v>-0.0209198913</x:v>
      </x:c>
      <x:c r="AH476" s="39" t="n">
        <x:v>-0.0677819315</x:v>
      </x:c>
      <x:c r="AI476" s="39" t="n">
        <x:v>-0.1794788582</x:v>
      </x:c>
      <x:c r="AJ476" s="39" t="n">
        <x:v>0.0411220635</x:v>
      </x:c>
      <x:c r="AK476" s="39" t="n">
        <x:v>0.0587816525</x:v>
      </x:c>
      <x:c r="AL476" s="39" t="n">
        <x:v>-0.1919508206</x:v>
      </x:c>
      <x:c r="AM476" s="39" t="n">
        <x:v>-0.077355246</x:v>
      </x:c>
      <x:c r="AN476" s="39" t="n">
        <x:v>0.0980709925</x:v>
      </x:c>
      <x:c r="AO476" s="39" t="n">
        <x:v>-0.1049646891</x:v>
      </x:c>
      <x:c r="AP476" s="39" t="n">
        <x:v>-0.0895477766</x:v>
      </x:c>
      <x:c r="AQ476" s="39" t="n">
        <x:v>-0.0540351008</x:v>
      </x:c>
      <x:c r="AR476" s="39" t="n">
        <x:v>0.0336072493</x:v>
      </x:c>
      <x:c r="AS476" s="39" t="n">
        <x:v>-0.0381811247</x:v>
      </x:c>
    </x:row>
    <x:row r="477" ht="19" customHeight="1">
      <x:c r="A477" s="30" t="str">
        <x:v>Other sectors</x:v>
      </x:c>
      <x:c r="B477" s="40" t="d">
        <x:v>2025-12-29T00:00:00.000Z</x:v>
      </x:c>
      <x:c r="C477" s="39" t="n">
        <x:v>-0.0043700166</x:v>
      </x:c>
      <x:c r="D477" s="39" t="n">
        <x:v>-0.0635907882</x:v>
      </x:c>
      <x:c r="E477" s="39" t="n">
        <x:v>-0.0337098986</x:v>
      </x:c>
      <x:c r="F477" s="39" t="n">
        <x:v>-0.0201445153</x:v>
      </x:c>
      <x:c r="G477" s="39" t="n">
        <x:v>0.0970285186</x:v>
      </x:c>
      <x:c r="H477" s="39" t="n">
        <x:v>0.1430329262</x:v>
      </x:c>
      <x:c r="I477" s="39" t="n">
        <x:v>0.0566909925</x:v>
      </x:c>
      <x:c r="J477" s="39" t="n">
        <x:v>-0.0424420262</x:v>
      </x:c>
      <x:c r="K477" s="39" t="n">
        <x:v>0.0429714173</x:v>
      </x:c>
      <x:c r="L477" s="39" t="n">
        <x:v>-0.0876024758</x:v>
      </x:c>
      <x:c r="M477" s="39" t="n">
        <x:v>-0.0077654952</x:v>
      </x:c>
      <x:c r="N477" s="39" t="n">
        <x:v>-0.0426664672</x:v>
      </x:c>
      <x:c r="O477" s="39" t="n">
        <x:v>-0.0134266946</x:v>
      </x:c>
      <x:c r="P477" s="39" t="n">
        <x:v>0.0992602877</x:v>
      </x:c>
      <x:c r="Q477" s="39" t="n">
        <x:v>0.0333421562</x:v>
      </x:c>
      <x:c r="R477" s="39" t="n">
        <x:v>0.0763096349</x:v>
      </x:c>
      <x:c r="S477" s="39" t="n">
        <x:v>-0.0033932931</x:v>
      </x:c>
      <x:c r="T477" s="39" t="n">
        <x:v>-0.0321007222</x:v>
      </x:c>
      <x:c r="U477" s="39" t="n">
        <x:v>0.1213644592</x:v>
      </x:c>
      <x:c r="V477" s="39" t="n">
        <x:v>-0.0227385547</x:v>
      </x:c>
      <x:c r="W477" s="39" t="n">
        <x:v>-0.1287048369</x:v>
      </x:c>
      <x:c r="X477" s="39" t="n">
        <x:v>0.1087444046</x:v>
      </x:c>
      <x:c r="Y477" s="39" t="n">
        <x:v>0.4143188177</x:v>
      </x:c>
      <x:c r="Z477" s="39" t="n">
        <x:v>0.0882993272</x:v>
      </x:c>
      <x:c r="AA477" s="39" t="n">
        <x:v>-0.0097406283</x:v>
      </x:c>
      <x:c r="AB477" s="39" t="n">
        <x:v>-0.1268346111</x:v>
      </x:c>
      <x:c r="AC477" s="39" t="n">
        <x:v>-0.0093280224</x:v>
      </x:c>
      <x:c r="AD477" s="39" t="n">
        <x:v>-0.0235680824</x:v>
      </x:c>
      <x:c r="AE477" s="39" t="n">
        <x:v>0.0173106841</x:v>
      </x:c>
      <x:c r="AF477" s="39" t="n">
        <x:v>0.0407691273</x:v>
      </x:c>
      <x:c r="AG477" s="39" t="n">
        <x:v>0.14551929</x:v>
      </x:c>
      <x:c r="AH477" s="39" t="n">
        <x:v>0.1427969406</x:v>
      </x:c>
      <x:c r="AI477" s="39" t="n">
        <x:v>0.0701433996</x:v>
      </x:c>
      <x:c r="AJ477" s="39" t="n">
        <x:v>0.0578691005</x:v>
      </x:c>
      <x:c r="AK477" s="39" t="n">
        <x:v>-0.142598981</x:v>
      </x:c>
      <x:c r="AL477" s="39" t="n">
        <x:v>0.1306043781</x:v>
      </x:c>
      <x:c r="AM477" s="39" t="n">
        <x:v>0.0041973526</x:v>
      </x:c>
      <x:c r="AN477" s="39" t="n">
        <x:v>0.026882263</x:v>
      </x:c>
      <x:c r="AO477" s="39" t="n">
        <x:v>-0.0648777143</x:v>
      </x:c>
      <x:c r="AP477" s="39" t="n">
        <x:v>-0.0582498604</x:v>
      </x:c>
      <x:c r="AQ477" s="39" t="n">
        <x:v>-0.019411416</x:v>
      </x:c>
      <x:c r="AR477" s="39" t="n">
        <x:v>-0.0056935336</x:v>
      </x:c>
      <x:c r="AS477" s="39" t="n">
        <x:v>-0.0639596922</x:v>
      </x:c>
    </x:row>
    <x:row r="478" ht="19" customHeight="1">
      <x:c r="A478" s="30" t="str">
        <x:v>Other sectors</x:v>
      </x:c>
      <x:c r="B478" s="40" t="d">
        <x:v>2026-01-26T00:00:00.000Z</x:v>
      </x:c>
      <x:c r="C478" s="39" t="n">
        <x:v>-0.109878319</x:v>
      </x:c>
      <x:c r="D478" s="39" t="n">
        <x:v>0.131349814</x:v>
      </x:c>
      <x:c r="E478" s="39" t="n">
        <x:v>0.0053778864</x:v>
      </x:c>
      <x:c r="F478" s="39" t="n">
        <x:v>0.0223955241</x:v>
      </x:c>
      <x:c r="G478" s="39" t="n">
        <x:v>-0.0388631002</x:v>
      </x:c>
      <x:c r="H478" s="39" t="n">
        <x:v>0.0272318599</x:v>
      </x:c>
      <x:c r="I478" s="39" t="n">
        <x:v>0.1062449615</x:v>
      </x:c>
      <x:c r="J478" s="39" t="n">
        <x:v>-0.0082029663</x:v>
      </x:c>
      <x:c r="K478" s="39" t="n">
        <x:v>0.4084015573</x:v>
      </x:c>
      <x:c r="L478" s="39" t="n">
        <x:v>-0.0697378494</x:v>
      </x:c>
      <x:c r="M478" s="39" t="n">
        <x:v>0.0320344805</x:v>
      </x:c>
      <x:c r="N478" s="39" t="n">
        <x:v>0.0066857022</x:v>
      </x:c>
      <x:c r="O478" s="39" t="n">
        <x:v>-0.0602028481</x:v>
      </x:c>
      <x:c r="P478" s="39" t="n">
        <x:v>0.2587673252</x:v>
      </x:c>
      <x:c r="Q478" s="39" t="n">
        <x:v>0.067559878</x:v>
      </x:c>
      <x:c r="R478" s="39" t="n">
        <x:v>0.1034181168</x:v>
      </x:c>
      <x:c r="S478" s="39" t="n">
        <x:v>-0.0352457316</x:v>
      </x:c>
      <x:c r="T478" s="39" t="n">
        <x:v>-0.183972029</x:v>
      </x:c>
      <x:c r="U478" s="39" t="n">
        <x:v>0.3916382151</x:v>
      </x:c>
      <x:c r="V478" s="39" t="n">
        <x:v>-0.349113103</x:v>
      </x:c>
      <x:c r="W478" s="39" t="n">
        <x:v>-0.1406043744</x:v>
      </x:c>
      <x:c r="X478" s="39" t="n">
        <x:v>-0.0581079698</x:v>
      </x:c>
      <x:c r="Y478" s="39" t="n">
        <x:v>0.3383117617</x:v>
      </x:c>
      <x:c r="Z478" s="39" t="n">
        <x:v>-0.1026167442</x:v>
      </x:c>
      <x:c r="AA478" s="39" t="n">
        <x:v>-0.0666221736</x:v>
      </x:c>
      <x:c r="AB478" s="39" t="n">
        <x:v>0.2864875093</x:v>
      </x:c>
      <x:c r="AC478" s="39" t="n">
        <x:v>-0.1642992476</x:v>
      </x:c>
      <x:c r="AD478" s="39" t="n">
        <x:v>-0.0107384961</x:v>
      </x:c>
      <x:c r="AE478" s="39" t="n">
        <x:v>-0.0855936034</x:v>
      </x:c>
      <x:c r="AF478" s="39" t="n">
        <x:v>-0.1132842155</x:v>
      </x:c>
      <x:c r="AG478" s="39" t="n">
        <x:v>-0.0588897061</x:v>
      </x:c>
      <x:c r="AH478" s="39" t="n">
        <x:v>0.1260879015</x:v>
      </x:c>
      <x:c r="AI478" s="39" t="n">
        <x:v>0.0275880243</x:v>
      </x:c>
      <x:c r="AJ478" s="39" t="n">
        <x:v>-0.0400076583</x:v>
      </x:c>
      <x:c r="AK478" s="39" t="n">
        <x:v>-0.0963804981</x:v>
      </x:c>
      <x:c r="AL478" s="39" t="n">
        <x:v>-0.0593840581</x:v>
      </x:c>
      <x:c r="AM478" s="39" t="n">
        <x:v>-0.1201206717</x:v>
      </x:c>
      <x:c r="AN478" s="39" t="n">
        <x:v>0.0961224775</x:v>
      </x:c>
      <x:c r="AO478" s="39" t="n">
        <x:v>-0.0085020818</x:v>
      </x:c>
      <x:c r="AP478" s="39" t="n">
        <x:v>0.0154582625</x:v>
      </x:c>
      <x:c r="AQ478" s="39" t="n">
        <x:v>-0.0041064379</x:v>
      </x:c>
      <x:c r="AR478" s="39" t="n">
        <x:v>0.0782385616</x:v>
      </x:c>
      <x:c r="AS478" s="39" t="n">
        <x:v>-0.0617150812</x:v>
      </x:c>
    </x:row>
    <x:row r="479" ht="19" customHeight="1">
      <x:c r="A479" s="30" t="str">
        <x:v>Other sectors</x:v>
      </x:c>
      <x:c r="B479" s="40" t="d">
        <x:v>2026-02-23T00:00:00.000Z</x:v>
      </x:c>
      <x:c r="C479" s="39" t="n">
        <x:v>0.0825304055</x:v>
      </x:c>
      <x:c r="D479" s="39" t="n">
        <x:v>-0.167588247</x:v>
      </x:c>
      <x:c r="E479" s="39" t="n">
        <x:v>0.0061960077</x:v>
      </x:c>
      <x:c r="F479" s="39" t="n">
        <x:v>0.028747487</x:v>
      </x:c>
      <x:c r="G479" s="39" t="n">
        <x:v>-0.0319968472</x:v>
      </x:c>
      <x:c r="H479" s="39" t="n">
        <x:v>-0.0264520349</x:v>
      </x:c>
      <x:c r="I479" s="39" t="n">
        <x:v>-0.0311438026</x:v>
      </x:c>
      <x:c r="J479" s="39" t="n">
        <x:v>0.262129022</x:v>
      </x:c>
      <x:c r="K479" s="39" t="n">
        <x:v>0.0222079499</x:v>
      </x:c>
      <x:c r="L479" s="39" t="n">
        <x:v>0.0227578339</x:v>
      </x:c>
      <x:c r="M479" s="39" t="n">
        <x:v>-0.0649691652</x:v>
      </x:c>
      <x:c r="N479" s="39" t="n">
        <x:v>0.0017385991</x:v>
      </x:c>
      <x:c r="O479" s="39" t="n">
        <x:v>-0.016002295</x:v>
      </x:c>
      <x:c r="P479" s="39" t="n">
        <x:v>0.0006889156</x:v>
      </x:c>
      <x:c r="Q479" s="39" t="n">
        <x:v>0.0325738716</x:v>
      </x:c>
      <x:c r="R479" s="39" t="n">
        <x:v>0.0310781269</x:v>
      </x:c>
      <x:c r="S479" s="39" t="n">
        <x:v>0.029622348</x:v>
      </x:c>
      <x:c r="T479" s="39" t="n">
        <x:v>0.0764215542</x:v>
      </x:c>
      <x:c r="U479" s="39" t="n">
        <x:v>0.1866657207</x:v>
      </x:c>
      <x:c r="V479" s="39" t="n">
        <x:v>0.0414919238</x:v>
      </x:c>
      <x:c r="W479" s="39" t="n">
        <x:v>0.1887232975</x:v>
      </x:c>
      <x:c r="X479" s="39" t="n">
        <x:v>-0.0402752408</x:v>
      </x:c>
      <x:c r="Y479" s="39" t="n">
        <x:v>-0.0356359601</x:v>
      </x:c>
      <x:c r="Z479" s="39" t="n">
        <x:v>0.0317064202</x:v>
      </x:c>
      <x:c r="AA479" s="39" t="n">
        <x:v>-0.0040024982</x:v>
      </x:c>
      <x:c r="AB479" s="39" t="n">
        <x:v>0.0053241298</x:v>
      </x:c>
      <x:c r="AC479" s="39" t="n">
        <x:v>-0.2900720656</x:v>
      </x:c>
      <x:c r="AD479" s="39" t="n">
        <x:v>0.0332825483</x:v>
      </x:c>
      <x:c r="AE479" s="39" t="n">
        <x:v>0.0032409693</x:v>
      </x:c>
      <x:c r="AF479" s="39" t="n">
        <x:v>0.1170530086</x:v>
      </x:c>
      <x:c r="AG479" s="39" t="n">
        <x:v>-0.0949219827</x:v>
      </x:c>
      <x:c r="AH479" s="39" t="n">
        <x:v>-0.076049361</x:v>
      </x:c>
      <x:c r="AI479" s="39" t="n">
        <x:v>-0.1851108365</x:v>
      </x:c>
      <x:c r="AJ479" s="39" t="n">
        <x:v>-0.0416660092</x:v>
      </x:c>
      <x:c r="AK479" s="39" t="n">
        <x:v>0.0380382816</x:v>
      </x:c>
      <x:c r="AL479" s="39" t="n">
        <x:v>0.295704409</x:v>
      </x:c>
      <x:c r="AM479" s="39" t="n">
        <x:v>-0.0318512967</x:v>
      </x:c>
      <x:c r="AN479" s="39" t="n">
        <x:v>0.0508760928</x:v>
      </x:c>
      <x:c r="AO479" s="39" t="n">
        <x:v>0.010536019</x:v>
      </x:c>
      <x:c r="AP479" s="39" t="n">
        <x:v>-0.0366420676</x:v>
      </x:c>
      <x:c r="AQ479" s="39" t="n">
        <x:v>0.0006934539</x:v>
      </x:c>
      <x:c r="AR479" s="39" t="n">
        <x:v>0.0171135046</x:v>
      </x:c>
      <x:c r="AS479" s="39" t="n">
        <x:v>0.0554174246</x:v>
      </x:c>
    </x:row>
    <x:row r="480" ht="19" customHeight="1">
      <x:c r="A480" s="30" t="str">
        <x:v>Other sectors</x:v>
      </x:c>
      <x:c r="B480" s="40" t="d">
        <x:v>2026-03-23T00:00:00.000Z</x:v>
      </x:c>
      <x:c r="C480" s="39" t="n">
        <x:v>-0.1610221569</x:v>
      </x:c>
      <x:c r="D480" s="39" t="n">
        <x:v>0.1205730995</x:v>
      </x:c>
      <x:c r="E480" s="39" t="n">
        <x:v>0.0062918227</x:v>
      </x:c>
      <x:c r="F480" s="39" t="n">
        <x:v>0.0850561341</x:v>
      </x:c>
      <x:c r="G480" s="39" t="n">
        <x:v>-0.0629193934</x:v>
      </x:c>
      <x:c r="H480" s="39" t="n">
        <x:v>-0.1036068678</x:v>
      </x:c>
      <x:c r="I480" s="39" t="n">
        <x:v>0.0984197628</x:v>
      </x:c>
      <x:c r="J480" s="39" t="n">
        <x:v>0.1110559972</x:v>
      </x:c>
      <x:c r="K480" s="39" t="n">
        <x:v>0.0089239534</x:v>
      </x:c>
      <x:c r="L480" s="39" t="n">
        <x:v>0.1282718052</x:v>
      </x:c>
      <x:c r="M480" s="39" t="n">
        <x:v>0.3125107014</x:v>
      </x:c>
      <x:c r="N480" s="39" t="n">
        <x:v>-0.0170822176</x:v>
      </x:c>
      <x:c r="O480" s="39" t="n">
        <x:v>-0.080104386</x:v>
      </x:c>
      <x:c r="P480" s="39" t="n">
        <x:v>0.14888828</x:v>
      </x:c>
      <x:c r="Q480" s="39" t="n">
        <x:v>-0.0161210697</x:v>
      </x:c>
      <x:c r="R480" s="39" t="n">
        <x:v>0.4663001399</x:v>
      </x:c>
      <x:c r="S480" s="39" t="n">
        <x:v>-0.057317429</x:v>
      </x:c>
      <x:c r="T480" s="39" t="n">
        <x:v>0.2595187936</x:v>
      </x:c>
      <x:c r="U480" s="39" t="n">
        <x:v>0.0809478119</x:v>
      </x:c>
      <x:c r="V480" s="39" t="n">
        <x:v>-0.1600291047</x:v>
      </x:c>
      <x:c r="W480" s="39" t="n">
        <x:v>0.078693374</x:v>
      </x:c>
      <x:c r="X480" s="39" t="n">
        <x:v>-0.0127216901</x:v>
      </x:c>
      <x:c r="Y480" s="39" t="n">
        <x:v>-0.1607912964</x:v>
      </x:c>
      <x:c r="Z480" s="39" t="n">
        <x:v>-0.2104378279</x:v>
      </x:c>
      <x:c r="AA480" s="39" t="n">
        <x:v>-0.0317577743</x:v>
      </x:c>
      <x:c r="AB480" s="39" t="n">
        <x:v>0.2483644814</x:v>
      </x:c>
      <x:c r="AC480" s="39" t="n">
        <x:v>0.0260314572</x:v>
      </x:c>
      <x:c r="AD480" s="39" t="n">
        <x:v>-0.0516024342</x:v>
      </x:c>
      <x:c r="AE480" s="39" t="n">
        <x:v>-0.1265998912</x:v>
      </x:c>
      <x:c r="AF480" s="39" t="n">
        <x:v>0.145843105</x:v>
      </x:c>
      <x:c r="AG480" s="39" t="n">
        <x:v>-0.0277248478</x:v>
      </x:c>
      <x:c r="AH480" s="39" t="n">
        <x:v>-0.1568591548</x:v>
      </x:c>
      <x:c r="AI480" s="39" t="n">
        <x:v>0.1418175222</x:v>
      </x:c>
      <x:c r="AJ480" s="39" t="n">
        <x:v>-0.1457590667</x:v>
      </x:c>
      <x:c r="AK480" s="39" t="n">
        <x:v>0.0525678176</x:v>
      </x:c>
      <x:c r="AL480" s="39" t="n">
        <x:v>0.007834473</x:v>
      </x:c>
      <x:c r="AM480" s="39" t="n">
        <x:v>-0.0468044513</x:v>
      </x:c>
      <x:c r="AN480" s="39" t="n">
        <x:v>-0.0460008075</x:v>
      </x:c>
      <x:c r="AO480" s="39" t="n">
        <x:v>0.0997741961</x:v>
      </x:c>
      <x:c r="AP480" s="39" t="n">
        <x:v>-0.0735071287</x:v>
      </x:c>
      <x:c r="AQ480" s="39" t="n">
        <x:v>0.0026560885</x:v>
      </x:c>
      <x:c r="AR480" s="39" t="n">
        <x:v>0.0993771884</x:v>
      </x:c>
      <x:c r="AS480" s="39" t="n">
        <x:v>-0.0235962492</x:v>
      </x:c>
    </x:row>
    <x:row r="481" ht="19" customHeight="1">
      <x:c r="A481" s="30" t="str">
        <x:v>Other sectors</x:v>
      </x:c>
      <x:c r="B481" s="40" t="d">
        <x:v>2026-04-20T00:00:00.000Z</x:v>
      </x:c>
      <x:c r="C481" s="39" t="n">
        <x:v>-0.1592193606</x:v>
      </x:c>
      <x:c r="D481" s="39" t="n">
        <x:v>-0.0397447885</x:v>
      </x:c>
      <x:c r="E481" s="39" t="n">
        <x:v>0.0291612849</x:v>
      </x:c>
      <x:c r="F481" s="39" t="n">
        <x:v>0.030572461</x:v>
      </x:c>
      <x:c r="G481" s="39" t="n">
        <x:v>-0.0711318374</x:v>
      </x:c>
      <x:c r="H481" s="39" t="n">
        <x:v>-0.0382881336</x:v>
      </x:c>
      <x:c r="I481" s="39" t="n">
        <x:v>0.145617657</x:v>
      </x:c>
      <x:c r="J481" s="39" t="n">
        <x:v>0.0177150279</x:v>
      </x:c>
      <x:c r="K481" s="39" t="n">
        <x:v>0.1009162321</x:v>
      </x:c>
      <x:c r="L481" s="39" t="n">
        <x:v>0.0258388016</x:v>
      </x:c>
      <x:c r="M481" s="39" t="n">
        <x:v>0.0402904283</x:v>
      </x:c>
      <x:c r="N481" s="39" t="n">
        <x:v>-0.0386763908</x:v>
      </x:c>
      <x:c r="O481" s="39" t="n">
        <x:v>-0.1769802723</x:v>
      </x:c>
      <x:c r="P481" s="39" t="n">
        <x:v>0.0905403897</x:v>
      </x:c>
      <x:c r="Q481" s="39" t="n">
        <x:v>0.025251204</x:v>
      </x:c>
      <x:c r="R481" s="39" t="n">
        <x:v>-0.0807912921</x:v>
      </x:c>
      <x:c r="S481" s="39" t="n">
        <x:v>-0.0438157013</x:v>
      </x:c>
      <x:c r="T481" s="39" t="n">
        <x:v>-0.1983567933</x:v>
      </x:c>
      <x:c r="U481" s="39" t="n">
        <x:v>-0.068525514</x:v>
      </x:c>
      <x:c r="V481" s="39" t="n">
        <x:v>-0.2297853085</x:v>
      </x:c>
      <x:c r="W481" s="39" t="n">
        <x:v>-0.1633472421</x:v>
      </x:c>
      <x:c r="X481" s="39" t="n">
        <x:v>-0.0113851017</x:v>
      </x:c>
      <x:c r="Y481" s="39" t="n">
        <x:v>-0.1052741825</x:v>
      </x:c>
      <x:c r="Z481" s="39" t="n">
        <x:v>0.0958325326</x:v>
      </x:c>
      <x:c r="AA481" s="39" t="n">
        <x:v>0.0109960449</x:v>
      </x:c>
      <x:c r="AB481" s="39" t="n">
        <x:v>0.4667577228</x:v>
      </x:c>
      <x:c r="AC481" s="39" t="n">
        <x:v>-0.0342468998</x:v>
      </x:c>
      <x:c r="AD481" s="39" t="n">
        <x:v>-0.0082624933</x:v>
      </x:c>
      <x:c r="AE481" s="39" t="n">
        <x:v>-0.1279845769</x:v>
      </x:c>
      <x:c r="AF481" s="39" t="n">
        <x:v>-0.0459546254</x:v>
      </x:c>
      <x:c r="AG481" s="39" t="n">
        <x:v>0.0556414311</x:v>
      </x:c>
      <x:c r="AH481" s="39" t="n">
        <x:v>-0.1067279365</x:v>
      </x:c>
      <x:c r="AI481" s="39" t="n">
        <x:v>0.1809081609</x:v>
      </x:c>
      <x:c r="AJ481" s="39" t="n">
        <x:v>-0.0258223571</x:v>
      </x:c>
      <x:c r="AK481" s="39" t="n">
        <x:v>-0.0332224556</x:v>
      </x:c>
      <x:c r="AL481" s="39" t="n">
        <x:v>0.1930826811</x:v>
      </x:c>
      <x:c r="AM481" s="39" t="n">
        <x:v>-0.0178238633</x:v>
      </x:c>
      <x:c r="AN481" s="39" t="n">
        <x:v>0.0652383078</x:v>
      </x:c>
      <x:c r="AO481" s="39" t="n">
        <x:v>-0.0656166758</x:v>
      </x:c>
      <x:c r="AP481" s="39" t="n">
        <x:v>-0.0667052491</x:v>
      </x:c>
      <x:c r="AQ481" s="39" t="n">
        <x:v>-0.0502225058</x:v>
      </x:c>
      <x:c r="AR481" s="39" t="n">
        <x:v>-0.0252900147</x:v>
      </x:c>
      <x:c r="AS481" s="39" t="n">
        <x:v>-0.031014561</x:v>
      </x:c>
    </x:row>
    <x:row r="482" ht="19" customHeight="1">
      <x:c r="A482" s="30" t="str">
        <x:v>Other sectors</x:v>
      </x:c>
      <x:c r="B482" s="40" t="d">
        <x:v>2026-05-18T00:00:00.000Z</x:v>
      </x:c>
      <x:c r="C482" s="39" t="n">
        <x:v>-0.0933056743</x:v>
      </x:c>
      <x:c r="D482" s="39" t="n">
        <x:v>0.0336924383</x:v>
      </x:c>
      <x:c r="E482" s="39" t="n">
        <x:v>0.0050872517</x:v>
      </x:c>
      <x:c r="F482" s="39" t="n">
        <x:v>0.012223025</x:v>
      </x:c>
      <x:c r="G482" s="39" t="n">
        <x:v>0.0138728806</x:v>
      </x:c>
      <x:c r="H482" s="39" t="n">
        <x:v>-0.0427605189</x:v>
      </x:c>
      <x:c r="I482" s="39" t="n">
        <x:v>-0.0933149332</x:v>
      </x:c>
      <x:c r="J482" s="39" t="n">
        <x:v>-0.036088102</x:v>
      </x:c>
      <x:c r="K482" s="39" t="n">
        <x:v>0.1237280689</x:v>
      </x:c>
      <x:c r="L482" s="39" t="n">
        <x:v>-0.0213954703</x:v>
      </x:c>
      <x:c r="M482" s="39" t="n">
        <x:v>0.0833817887</x:v>
      </x:c>
      <x:c r="N482" s="39" t="n">
        <x:v>0.0164585734</x:v>
      </x:c>
      <x:c r="O482" s="39" t="n">
        <x:v>0.0614936648</x:v>
      </x:c>
      <x:c r="P482" s="39" t="n">
        <x:v>0.0431741371</x:v>
      </x:c>
      <x:c r="Q482" s="39" t="n">
        <x:v>0.094388605</x:v>
      </x:c>
      <x:c r="R482" s="39" t="n">
        <x:v>0.4322207469</x:v>
      </x:c>
      <x:c r="S482" s="39" t="n">
        <x:v>0.0067533939</x:v>
      </x:c>
      <x:c r="T482" s="39" t="n">
        <x:v>0.0164678432</x:v>
      </x:c>
      <x:c r="U482" s="39" t="n">
        <x:v>-0.1383655526</x:v>
      </x:c>
      <x:c r="V482" s="39" t="n">
        <x:v>0.0405150772</x:v>
      </x:c>
      <x:c r="W482" s="39" t="n">
        <x:v>-0.0981163107</x:v>
      </x:c>
      <x:c r="X482" s="39" t="n">
        <x:v>-0.0957315395</x:v>
      </x:c>
      <x:c r="Y482" s="39" t="n">
        <x:v>0.2024509762</x:v>
      </x:c>
      <x:c r="Z482" s="39" t="n">
        <x:v>-0.140646634</x:v>
      </x:c>
      <x:c r="AA482" s="39" t="n">
        <x:v>-0.0139661649</x:v>
      </x:c>
      <x:c r="AB482" s="39" t="n">
        <x:v>-0.3439367121</x:v>
      </x:c>
      <x:c r="AC482" s="39" t="n">
        <x:v>-0.2655825003</x:v>
      </x:c>
      <x:c r="AD482" s="39" t="n">
        <x:v>-0.0493658272</x:v>
      </x:c>
      <x:c r="AE482" s="39" t="n">
        <x:v>0.2885278827</x:v>
      </x:c>
      <x:c r="AF482" s="39" t="n">
        <x:v>0.1937676688</x:v>
      </x:c>
      <x:c r="AG482" s="39" t="n">
        <x:v>-0.089184431</x:v>
      </x:c>
      <x:c r="AH482" s="39" t="n">
        <x:v>-0.113308978</x:v>
      </x:c>
      <x:c r="AI482" s="39" t="n">
        <x:v>0.0629499459</x:v>
      </x:c>
      <x:c r="AJ482" s="39" t="n">
        <x:v>0.1440980239</x:v>
      </x:c>
      <x:c r="AK482" s="39" t="n">
        <x:v>0.0536616984</x:v>
      </x:c>
      <x:c r="AL482" s="39" t="n">
        <x:v>0.3946067584</x:v>
      </x:c>
      <x:c r="AM482" s="39" t="n">
        <x:v>-0.1810629198</x:v>
      </x:c>
      <x:c r="AN482" s="39" t="n">
        <x:v>0.0138444619</x:v>
      </x:c>
      <x:c r="AO482" s="39" t="n">
        <x:v>0.0068978078</x:v>
      </x:c>
      <x:c r="AP482" s="39" t="n">
        <x:v>-0.0687847791</x:v>
      </x:c>
      <x:c r="AQ482" s="39" t="n">
        <x:v>0.0151533658</x:v>
      </x:c>
      <x:c r="AR482" s="39" t="n">
        <x:v>0.0111136327</x:v>
      </x:c>
      <x:c r="AS482" s="39" t="n">
        <x:v>0.043904423</x:v>
      </x:c>
    </x:row>
    <x:row r="483" ht="19" customHeight="1">
      <x:c r="A483" s="30" t="str">
        <x:v>Other sectors</x:v>
      </x:c>
      <x:c r="B483" s="40" t="d">
        <x:v>2026-06-15T00:00:00.000Z</x:v>
      </x:c>
      <x:c r="C483" s="39" t="n">
        <x:v>0.0651471047</x:v>
      </x:c>
      <x:c r="D483" s="39" t="n">
        <x:v>-0.0349096708</x:v>
      </x:c>
      <x:c r="E483" s="39" t="n">
        <x:v>0.0196791755</x:v>
      </x:c>
      <x:c r="F483" s="39" t="n">
        <x:v>-0.0064612812</x:v>
      </x:c>
      <x:c r="G483" s="39" t="n">
        <x:v>0.0637669683</x:v>
      </x:c>
      <x:c r="H483" s="39" t="n">
        <x:v>-0.0297065416</x:v>
      </x:c>
      <x:c r="I483" s="39" t="n">
        <x:v>-0.0752547078</x:v>
      </x:c>
      <x:c r="J483" s="39" t="n">
        <x:v>0.0742802929</x:v>
      </x:c>
      <x:c r="K483" s="39" t="n">
        <x:v>0.3243964785</x:v>
      </x:c>
      <x:c r="L483" s="39" t="n">
        <x:v>0.1160502686</x:v>
      </x:c>
      <x:c r="M483" s="39" t="n">
        <x:v>-0.1514281854</x:v>
      </x:c>
      <x:c r="N483" s="39" t="n">
        <x:v>-0.0793110518</x:v>
      </x:c>
      <x:c r="O483" s="39" t="n">
        <x:v>0.1051886723</x:v>
      </x:c>
      <x:c r="P483" s="39" t="n">
        <x:v>0.3594498048</x:v>
      </x:c>
      <x:c r="Q483" s="39" t="n">
        <x:v>-0.0997367804</x:v>
      </x:c>
      <x:c r="R483" s="39" t="n">
        <x:v>0.0628266787</x:v>
      </x:c>
      <x:c r="S483" s="39" t="n">
        <x:v>-0.1905755997</x:v>
      </x:c>
      <x:c r="T483" s="39" t="n">
        <x:v>0.1095357133</x:v>
      </x:c>
      <x:c r="U483" s="39" t="n">
        <x:v>0.5871482615</x:v>
      </x:c>
      <x:c r="V483" s="39" t="n">
        <x:v>0.0478516341</x:v>
      </x:c>
      <x:c r="W483" s="39" t="n">
        <x:v>-0.1701388896</x:v>
      </x:c>
      <x:c r="X483" s="39" t="n">
        <x:v>0.0134760085</x:v>
      </x:c>
      <x:c r="Y483" s="39" t="n">
        <x:v>0.4241338236</x:v>
      </x:c>
      <x:c r="Z483" s="39" t="n">
        <x:v>0.0080638467</x:v>
      </x:c>
      <x:c r="AA483" s="39" t="n">
        <x:v>0.0272080106</x:v>
      </x:c>
      <x:c r="AB483" s="39" t="n">
        <x:v>0.0849700592</x:v>
      </x:c>
      <x:c r="AC483" s="39" t="n">
        <x:v>0.1330473402</x:v>
      </x:c>
      <x:c r="AD483" s="39" t="n">
        <x:v>0.0888750282</x:v>
      </x:c>
      <x:c r="AE483" s="39" t="n">
        <x:v>-0.0307886731</x:v>
      </x:c>
      <x:c r="AF483" s="39" t="n">
        <x:v>0.151753297</x:v>
      </x:c>
      <x:c r="AG483" s="39" t="n">
        <x:v>0.0033433828</x:v>
      </x:c>
      <x:c r="AH483" s="39" t="n">
        <x:v>-0.2031431411</x:v>
      </x:c>
      <x:c r="AI483" s="39" t="n">
        <x:v>0.0074646804</x:v>
      </x:c>
      <x:c r="AJ483" s="39" t="n">
        <x:v>-0.0242332351</x:v>
      </x:c>
      <x:c r="AK483" s="39" t="n">
        <x:v>0.0347072324</x:v>
      </x:c>
      <x:c r="AL483" s="39" t="n">
        <x:v>-0.2868097002</x:v>
      </x:c>
      <x:c r="AM483" s="39" t="n">
        <x:v>-0.150688899</x:v>
      </x:c>
      <x:c r="AN483" s="39" t="n">
        <x:v>0.0448533375</x:v>
      </x:c>
      <x:c r="AO483" s="39" t="n">
        <x:v>-0.0635790157</x:v>
      </x:c>
      <x:c r="AP483" s="39" t="n">
        <x:v>0.1157638779</x:v>
      </x:c>
      <x:c r="AQ483" s="39" t="n">
        <x:v>-0.0116708287</x:v>
      </x:c>
      <x:c r="AR483" s="39" t="n">
        <x:v>-0.0073188085</x:v>
      </x:c>
      <x:c r="AS483" s="39" t="n">
        <x:v>0.0007117391</x:v>
      </x:c>
    </x:row>
    <x:row r="484" ht="19" customHeight="1">
      <x:c r="A484" s="30" t="str">
        <x:v>Other sectors</x:v>
      </x:c>
      <x:c r="B484" s="40" t="d">
        <x:v>2026-07-13T00:00:00.000Z</x:v>
      </x:c>
      <x:c r="C484" s="39" t="n">
        <x:v>0.0248765747</x:v>
      </x:c>
      <x:c r="D484" s="39" t="n">
        <x:v>-0.1302689843</x:v>
      </x:c>
      <x:c r="E484" s="39" t="n">
        <x:v>0.0117355947</x:v>
      </x:c>
      <x:c r="F484" s="39" t="n">
        <x:v>-0.0009321588</x:v>
      </x:c>
      <x:c r="G484" s="39" t="n">
        <x:v>-0.0493412879</x:v>
      </x:c>
      <x:c r="H484" s="39" t="n">
        <x:v>0.1537454434</x:v>
      </x:c>
      <x:c r="I484" s="39" t="n">
        <x:v>0.0260045537</x:v>
      </x:c>
      <x:c r="J484" s="39" t="n">
        <x:v>-0.1158043349</x:v>
      </x:c>
      <x:c r="K484" s="39" t="n">
        <x:v>-0.2293093629</x:v>
      </x:c>
      <x:c r="L484" s="39" t="n">
        <x:v>0.2855558699</x:v>
      </x:c>
      <x:c r="M484" s="39" t="n">
        <x:v>0.1764726249</x:v>
      </x:c>
      <x:c r="N484" s="39" t="n">
        <x:v>0.1344834401</x:v>
      </x:c>
      <x:c r="O484" s="39" t="n">
        <x:v>-0.0327847747</x:v>
      </x:c>
      <x:c r="P484" s="39" t="n">
        <x:v>-0.3884174939</x:v>
      </x:c>
      <x:c r="Q484" s="39" t="n">
        <x:v>0.1581678572</x:v>
      </x:c>
      <x:c r="R484" s="39" t="n">
        <x:v>-0.3820409374</x:v>
      </x:c>
      <x:c r="S484" s="39" t="n">
        <x:v>-0.0387565425</x:v>
      </x:c>
      <x:c r="T484" s="39" t="n">
        <x:v>0.3789230095</x:v>
      </x:c>
      <x:c r="U484" s="39" t="n">
        <x:v>-0.1028402639</x:v>
      </x:c>
      <x:c r="V484" s="39" t="n">
        <x:v>0.314498981</x:v>
      </x:c>
      <x:c r="W484" s="39" t="n">
        <x:v>-0.1238921032</x:v>
      </x:c>
      <x:c r="X484" s="39" t="n">
        <x:v>0.0568745812</x:v>
      </x:c>
      <x:c r="Y484" s="39" t="n">
        <x:v>-0.1502151698</x:v>
      </x:c>
      <x:c r="Z484" s="39" t="n">
        <x:v>-0.2124177202</x:v>
      </x:c>
      <x:c r="AA484" s="39" t="n">
        <x:v>-0.0595400464</x:v>
      </x:c>
      <x:c r="AB484" s="39" t="n">
        <x:v>0.5342571526</x:v>
      </x:c>
      <x:c r="AC484" s="39" t="n">
        <x:v>-0.0307286753</x:v>
      </x:c>
      <x:c r="AD484" s="39" t="n">
        <x:v>-0.0228598605</x:v>
      </x:c>
      <x:c r="AE484" s="39" t="n">
        <x:v>0.045372025</x:v>
      </x:c>
      <x:c r="AF484" s="39" t="n">
        <x:v>0.0563912395</x:v>
      </x:c>
      <x:c r="AG484" s="39" t="n">
        <x:v>-0.0034256307</x:v>
      </x:c>
      <x:c r="AH484" s="39" t="n">
        <x:v>-0.093772898</x:v>
      </x:c>
      <x:c r="AI484" s="39" t="n">
        <x:v>0.2594015417</x:v>
      </x:c>
      <x:c r="AJ484" s="39" t="n">
        <x:v>0.0140968204</x:v>
      </x:c>
      <x:c r="AK484" s="39" t="n">
        <x:v>0.1031550027</x:v>
      </x:c>
      <x:c r="AL484" s="39" t="n">
        <x:v>-0.3117303527</x:v>
      </x:c>
      <x:c r="AM484" s="39" t="n">
        <x:v>0.1237080644</x:v>
      </x:c>
      <x:c r="AN484" s="39" t="n">
        <x:v>-0.0851605223</x:v>
      </x:c>
      <x:c r="AO484" s="39" t="n">
        <x:v>-0.0107609929</x:v>
      </x:c>
      <x:c r="AP484" s="39" t="n">
        <x:v>0.0475428383</x:v>
      </x:c>
      <x:c r="AQ484" s="39" t="n">
        <x:v>-0.0010046219</x:v>
      </x:c>
      <x:c r="AR484" s="39" t="n">
        <x:v>0.0109302067</x:v>
      </x:c>
      <x:c r="AS484" s="39" t="n">
        <x:v>-0.0875187436</x:v>
      </x:c>
    </x:row>
    <x:row r="485" ht="19" customHeight="1">
      <x:c r="A485" s="30" t="str">
        <x:v>Other sectors</x:v>
      </x:c>
      <x:c r="B485" s="40" t="d">
        <x:v>2026-08-10T00:00:00.000Z</x:v>
      </x:c>
      <x:c r="C485" s="39" t="n">
        <x:v>-0.0927763278</x:v>
      </x:c>
      <x:c r="D485" s="39" t="n">
        <x:v>-0.0025210593</x:v>
      </x:c>
      <x:c r="E485" s="39" t="n">
        <x:v>-0.0287950975</x:v>
      </x:c>
      <x:c r="F485" s="39" t="n">
        <x:v>-0.0471141125</x:v>
      </x:c>
      <x:c r="G485" s="39" t="n">
        <x:v>0.0991165138</x:v>
      </x:c>
      <x:c r="H485" s="39" t="n">
        <x:v>-0.0499252562</x:v>
      </x:c>
      <x:c r="I485" s="39" t="n">
        <x:v>0.0430112167</x:v>
      </x:c>
      <x:c r="J485" s="39" t="n">
        <x:v>-0.1212441934</x:v>
      </x:c>
      <x:c r="K485" s="39" t="n">
        <x:v>0.0060466734</x:v>
      </x:c>
      <x:c r="L485" s="39" t="n">
        <x:v>0.0123398957</x:v>
      </x:c>
      <x:c r="M485" s="39" t="n">
        <x:v>-0.0852264671</x:v>
      </x:c>
      <x:c r="N485" s="39" t="n">
        <x:v>-0.0697081991</x:v>
      </x:c>
      <x:c r="O485" s="39" t="n">
        <x:v>-0.0385551595</x:v>
      </x:c>
      <x:c r="P485" s="39" t="n">
        <x:v>-0.1398539859</x:v>
      </x:c>
      <x:c r="Q485" s="39" t="n">
        <x:v>-0.1339499332</x:v>
      </x:c>
      <x:c r="R485" s="39" t="n">
        <x:v>-0.1210540077</x:v>
      </x:c>
      <x:c r="S485" s="39" t="n">
        <x:v>0.1237956178</x:v>
      </x:c>
      <x:c r="T485" s="39" t="n">
        <x:v>0.0924400009</x:v>
      </x:c>
      <x:c r="U485" s="39" t="n">
        <x:v>-0.0284942127</x:v>
      </x:c>
      <x:c r="V485" s="39" t="n">
        <x:v>0.2600666251</x:v>
      </x:c>
      <x:c r="W485" s="39" t="n">
        <x:v>0.1883422864</x:v>
      </x:c>
      <x:c r="X485" s="39" t="n">
        <x:v>0.1343189259</x:v>
      </x:c>
      <x:c r="Y485" s="39" t="n">
        <x:v>-0.0793340814</x:v>
      </x:c>
      <x:c r="Z485" s="39" t="n">
        <x:v>0.3657944333</x:v>
      </x:c>
      <x:c r="AA485" s="39" t="n">
        <x:v>-0.003240083</x:v>
      </x:c>
      <x:c r="AB485" s="39" t="n">
        <x:v>0.2197402566</x:v>
      </x:c>
      <x:c r="AC485" s="39" t="n">
        <x:v>-0.0370553298</x:v>
      </x:c>
      <x:c r="AD485" s="39" t="n">
        <x:v>-0.0549645349</x:v>
      </x:c>
      <x:c r="AE485" s="39" t="n">
        <x:v>-0.0525591347</x:v>
      </x:c>
      <x:c r="AF485" s="39" t="n">
        <x:v>0.1768022324</x:v>
      </x:c>
      <x:c r="AG485" s="39" t="n">
        <x:v>0.0822569904</x:v>
      </x:c>
      <x:c r="AH485" s="39" t="n">
        <x:v>0.3032526018</x:v>
      </x:c>
      <x:c r="AI485" s="39" t="n">
        <x:v>-0.2107953261</x:v>
      </x:c>
      <x:c r="AJ485" s="39" t="n">
        <x:v>-0.1052805284</x:v>
      </x:c>
      <x:c r="AK485" s="39" t="n">
        <x:v>-0.0427730528</x:v>
      </x:c>
      <x:c r="AL485" s="39" t="n">
        <x:v>-0.0642512768</x:v>
      </x:c>
      <x:c r="AM485" s="39" t="n">
        <x:v>0.2779090928</x:v>
      </x:c>
      <x:c r="AN485" s="39" t="n">
        <x:v>-0.117862897</x:v>
      </x:c>
      <x:c r="AO485" s="39" t="n">
        <x:v>0.0048364667</x:v>
      </x:c>
      <x:c r="AP485" s="39" t="n">
        <x:v>-0.0389239656</x:v>
      </x:c>
      <x:c r="AQ485" s="39" t="n">
        <x:v>0.0757803884</x:v>
      </x:c>
      <x:c r="AR485" s="39" t="n">
        <x:v>0.0032156991</x:v>
      </x:c>
      <x:c r="AS485" s="39" t="n">
        <x:v>0.0005893226</x:v>
      </x:c>
    </x:row>
  </x:sheetData>
  <x:pageMargins left="0.7" right="0.7" top="0.75" bottom="0.75" header="0.3" footer="0.3"/>
</x:worksheet>
</file>

<file path=xl/worksheets/sheet13.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15"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15" hidden="0" customWidth="1"/>
    <x:col min="31" max="31" width="15" hidden="0" customWidth="1"/>
    <x:col min="32" max="32" width="15" hidden="0" customWidth="1"/>
    <x:col min="33" max="33" width="15" hidden="0" customWidth="1"/>
    <x:col min="34" max="34" width="15" hidden="0" customWidth="1"/>
    <x:col min="35" max="35" width="15" hidden="0" customWidth="1"/>
    <x:col min="36" max="36" width="15" hidden="0" customWidth="1"/>
    <x:col min="37" max="37" width="15" hidden="0" customWidth="1"/>
    <x:col min="38" max="38" width="15" hidden="0" customWidth="1"/>
    <x:col min="39" max="39" width="15" hidden="0" customWidth="1"/>
    <x:col min="40" max="40" width="15" hidden="0" customWidth="1"/>
    <x:col min="41" max="41" width="15" hidden="0" customWidth="1"/>
    <x:col min="42" max="42" width="15" hidden="0" customWidth="1"/>
    <x:col min="43" max="43" width="15" hidden="0" customWidth="1"/>
    <x:col min="44" max="44" width="15" hidden="0" customWidth="1"/>
    <x:col min="45" max="45" width="15" hidden="0" customWidth="1"/>
    <x:col min="46" max="46" width="15" hidden="0" customWidth="1"/>
    <x:col min="47" max="47" width="15" hidden="0" customWidth="1"/>
    <x:col min="48" max="48" width="15" hidden="0" customWidth="1"/>
    <x:col min="49" max="49" width="15" hidden="0" customWidth="1"/>
    <x:col min="50" max="50" width="15" hidden="0" customWidth="1"/>
    <x:col min="51" max="51" width="15" hidden="0" customWidth="1"/>
    <x:col min="52" max="52" width="15" hidden="0" customWidth="1"/>
    <x:col min="53" max="53" width="15" hidden="0" customWidth="1"/>
    <x:col min="54" max="54" width="15" hidden="0" customWidth="1"/>
    <x:col min="55" max="55" width="15" hidden="0" customWidth="1"/>
    <x:col min="56" max="56" width="15" hidden="0" customWidth="1"/>
    <x:col min="57" max="57" width="15" hidden="0" customWidth="1"/>
    <x:col min="58" max="58" width="15" hidden="0" customWidth="1"/>
    <x:col min="59" max="59" width="15" hidden="0" customWidth="1"/>
    <x:col min="60" max="60" width="15" hidden="0" customWidth="1"/>
    <x:col min="61" max="61" width="15" hidden="0" customWidth="1"/>
    <x:col min="62" max="62"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c r="W1" s="24"/>
      <x:c r="X1" s="24"/>
      <x:c r="Y1" s="24"/>
      <x:c r="Z1" s="24"/>
      <x:c r="AA1" s="24"/>
      <x:c r="AB1" s="24"/>
      <x:c r="AC1" s="24"/>
      <x:c r="AD1" s="24"/>
      <x:c r="AE1" s="24"/>
      <x:c r="AF1" s="24"/>
      <x:c r="AG1" s="24"/>
      <x:c r="AH1" s="24"/>
      <x:c r="AI1" s="24"/>
      <x:c r="AJ1" s="24"/>
      <x:c r="AK1" s="24"/>
      <x:c r="AL1" s="24"/>
      <x:c r="AM1" s="24"/>
      <x:c r="AN1" s="24"/>
      <x:c r="AO1" s="24"/>
      <x:c r="AP1" s="24"/>
      <x:c r="AQ1" s="24"/>
      <x:c r="AR1" s="24"/>
      <x:c r="AS1" s="24"/>
      <x:c r="AT1" s="24"/>
      <x:c r="AU1" s="24"/>
      <x:c r="AV1" s="24"/>
      <x:c r="AW1" s="24"/>
      <x:c r="AX1" s="24"/>
      <x:c r="AY1" s="24"/>
      <x:c r="AZ1" s="24"/>
      <x:c r="BA1" s="24"/>
      <x:c r="BB1" s="24"/>
      <x:c r="BC1" s="24"/>
      <x:c r="BD1" s="24"/>
      <x:c r="BE1" s="24"/>
      <x:c r="BF1" s="24"/>
      <x:c r="BG1" s="24"/>
      <x:c r="BH1" s="24"/>
      <x:c r="BI1" s="24"/>
      <x:c r="BJ1" s="24"/>
    </x:row>
    <x:row r="2" ht="19" customHeight="1">
      <x:c r="A2" s="35" t="str">
        <x:v>Common covariance and PCA sample</x:v>
      </x:c>
      <x:c r="B2" s="24"/>
      <x:c r="C2" s="24"/>
      <x:c r="D2" s="24"/>
      <x:c r="E2" s="24"/>
      <x:c r="F2" s="24"/>
      <x:c r="G2" s="24"/>
      <x:c r="H2" s="24"/>
      <x:c r="I2" s="24"/>
      <x:c r="J2" s="24"/>
      <x:c r="K2" s="24"/>
      <x:c r="L2" s="24"/>
      <x:c r="M2" s="24"/>
      <x:c r="N2" s="24"/>
      <x:c r="O2" s="24"/>
      <x:c r="P2" s="24"/>
      <x:c r="Q2" s="24"/>
      <x:c r="R2" s="24"/>
      <x:c r="S2" s="24"/>
      <x:c r="T2" s="24"/>
      <x:c r="U2" s="24"/>
      <x:c r="V2" s="24"/>
      <x:c r="W2" s="24"/>
      <x:c r="X2" s="24"/>
      <x:c r="Y2" s="24"/>
      <x:c r="Z2" s="24"/>
      <x:c r="AA2" s="24"/>
      <x:c r="AB2" s="24"/>
      <x:c r="AC2" s="24"/>
      <x:c r="AD2" s="24"/>
      <x:c r="AE2" s="24"/>
      <x:c r="AF2" s="24"/>
      <x:c r="AG2" s="24"/>
      <x:c r="AH2" s="24"/>
      <x:c r="AI2" s="24"/>
      <x:c r="AJ2" s="24"/>
      <x:c r="AK2" s="24"/>
      <x:c r="AL2" s="24"/>
      <x:c r="AM2" s="24"/>
      <x:c r="AN2" s="24"/>
      <x:c r="AO2" s="24"/>
      <x:c r="AP2" s="24"/>
      <x:c r="AQ2" s="24"/>
      <x:c r="AR2" s="24"/>
      <x:c r="AS2" s="24"/>
      <x:c r="AT2" s="24"/>
      <x:c r="AU2" s="24"/>
      <x:c r="AV2" s="24"/>
      <x:c r="AW2" s="24"/>
      <x:c r="AX2" s="24"/>
      <x:c r="AY2" s="24"/>
      <x:c r="AZ2" s="24"/>
      <x:c r="BA2" s="24"/>
      <x:c r="BB2" s="24"/>
      <x:c r="BC2" s="24"/>
      <x:c r="BD2" s="24"/>
      <x:c r="BE2" s="24"/>
      <x:c r="BF2" s="24"/>
      <x:c r="BG2" s="24"/>
      <x:c r="BH2" s="24"/>
      <x:c r="BI2" s="24"/>
      <x:c r="BJ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c r="W3" s="24"/>
      <x:c r="X3" s="24"/>
      <x:c r="Y3" s="24"/>
      <x:c r="Z3" s="24"/>
      <x:c r="AA3" s="24"/>
      <x:c r="AB3" s="24"/>
      <x:c r="AC3" s="24"/>
      <x:c r="AD3" s="24"/>
      <x:c r="AE3" s="24"/>
      <x:c r="AF3" s="24"/>
      <x:c r="AG3" s="24"/>
      <x:c r="AH3" s="24"/>
      <x:c r="AI3" s="24"/>
      <x:c r="AJ3" s="24"/>
      <x:c r="AK3" s="24"/>
      <x:c r="AL3" s="24"/>
      <x:c r="AM3" s="24"/>
      <x:c r="AN3" s="24"/>
      <x:c r="AO3" s="24"/>
      <x:c r="AP3" s="24"/>
      <x:c r="AQ3" s="24"/>
      <x:c r="AR3" s="24"/>
      <x:c r="AS3" s="24"/>
      <x:c r="AT3" s="24"/>
      <x:c r="AU3" s="24"/>
      <x:c r="AV3" s="24"/>
      <x:c r="AW3" s="24"/>
      <x:c r="AX3" s="24"/>
      <x:c r="AY3" s="24"/>
      <x:c r="AZ3" s="24"/>
      <x:c r="BA3" s="24"/>
      <x:c r="BB3" s="24"/>
      <x:c r="BC3" s="24"/>
      <x:c r="BD3" s="24"/>
      <x:c r="BE3" s="24"/>
      <x:c r="BF3" s="24"/>
      <x:c r="BG3" s="24"/>
      <x:c r="BH3" s="24"/>
      <x:c r="BI3" s="24"/>
      <x:c r="BJ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c r="W4" s="24"/>
      <x:c r="X4" s="24"/>
      <x:c r="Y4" s="24"/>
      <x:c r="Z4" s="24"/>
      <x:c r="AA4" s="24"/>
      <x:c r="AB4" s="24"/>
      <x:c r="AC4" s="24"/>
      <x:c r="AD4" s="24"/>
      <x:c r="AE4" s="24"/>
      <x:c r="AF4" s="24"/>
      <x:c r="AG4" s="24"/>
      <x:c r="AH4" s="24"/>
      <x:c r="AI4" s="24"/>
      <x:c r="AJ4" s="24"/>
      <x:c r="AK4" s="24"/>
      <x:c r="AL4" s="24"/>
      <x:c r="AM4" s="24"/>
      <x:c r="AN4" s="24"/>
      <x:c r="AO4" s="24"/>
      <x:c r="AP4" s="24"/>
      <x:c r="AQ4" s="24"/>
      <x:c r="AR4" s="24"/>
      <x:c r="AS4" s="24"/>
      <x:c r="AT4" s="24"/>
      <x:c r="AU4" s="24"/>
      <x:c r="AV4" s="24"/>
      <x:c r="AW4" s="24"/>
      <x:c r="AX4" s="24"/>
      <x:c r="AY4" s="24"/>
      <x:c r="AZ4" s="24"/>
      <x:c r="BA4" s="24"/>
      <x:c r="BB4" s="24"/>
      <x:c r="BC4" s="24"/>
      <x:c r="BD4" s="24"/>
      <x:c r="BE4" s="24"/>
      <x:c r="BF4" s="24"/>
      <x:c r="BG4" s="24"/>
      <x:c r="BH4" s="24"/>
      <x:c r="BI4" s="24"/>
      <x:c r="BJ4" s="24"/>
    </x:row>
    <x:row r="5" ht="42" customHeight="1">
      <x:c r="A5" s="36" t="str">
        <x:v>Date</x:v>
      </x:c>
      <x:c r="B5" s="36" t="str">
        <x:v>VST</x:v>
      </x:c>
      <x:c r="C5" s="36" t="str">
        <x:v>VIST</x:v>
      </x:c>
      <x:c r="D5" s="36" t="str">
        <x:v>AEP</x:v>
      </x:c>
      <x:c r="E5" s="36" t="str">
        <x:v>ETR</x:v>
      </x:c>
      <x:c r="F5" s="36" t="str">
        <x:v>DIS</x:v>
      </x:c>
      <x:c r="G5" s="36" t="str">
        <x:v>CMG</x:v>
      </x:c>
      <x:c r="H5" s="36" t="str">
        <x:v>AMZN</x:v>
      </x:c>
      <x:c r="I5" s="36" t="str">
        <x:v>FIX</x:v>
      </x:c>
      <x:c r="J5" s="36" t="str">
        <x:v>STX</x:v>
      </x:c>
      <x:c r="K5" s="36" t="str">
        <x:v>VLO</x:v>
      </x:c>
      <x:c r="L5" s="36" t="str">
        <x:v>CF</x:v>
      </x:c>
      <x:c r="M5" s="36" t="str">
        <x:v>NTR</x:v>
      </x:c>
      <x:c r="N5" s="36" t="str">
        <x:v>LNN</x:v>
      </x:c>
      <x:c r="O5" s="36" t="str">
        <x:v>WDC</x:v>
      </x:c>
      <x:c r="P5" s="36" t="str">
        <x:v>ASND</x:v>
      </x:c>
      <x:c r="Q5" s="36" t="str">
        <x:v>DOCN</x:v>
      </x:c>
      <x:c r="R5" s="36" t="str">
        <x:v>CME</x:v>
      </x:c>
      <x:c r="S5" s="36" t="str">
        <x:v>NET</x:v>
      </x:c>
      <x:c r="T5" s="36" t="str">
        <x:v>MRNA</x:v>
      </x:c>
      <x:c r="U5" s="36" t="str">
        <x:v>AXON</x:v>
      </x:c>
      <x:c r="V5" s="36" t="str">
        <x:v>NFLX</x:v>
      </x:c>
      <x:c r="W5" s="36" t="str">
        <x:v>CMCSA</x:v>
      </x:c>
      <x:c r="X5" s="36" t="str">
        <x:v>MU</x:v>
      </x:c>
      <x:c r="Y5" s="36" t="str">
        <x:v>NEM</x:v>
      </x:c>
      <x:c r="Z5" s="36" t="str">
        <x:v>PGR</x:v>
      </x:c>
      <x:c r="AA5" s="36" t="str">
        <x:v>ORKA</x:v>
      </x:c>
      <x:c r="AB5" s="36" t="str">
        <x:v>UPST</x:v>
      </x:c>
      <x:c r="AC5" s="36" t="str">
        <x:v>PG</x:v>
      </x:c>
      <x:c r="AD5" s="36" t="str">
        <x:v>F</x:v>
      </x:c>
      <x:c r="AE5" s="36" t="str">
        <x:v>HPE</x:v>
      </x:c>
      <x:c r="AF5" s="36" t="str">
        <x:v>BA</x:v>
      </x:c>
      <x:c r="AG5" s="36" t="str">
        <x:v>HII</x:v>
      </x:c>
      <x:c r="AH5" s="36" t="str">
        <x:v>AMD</x:v>
      </x:c>
      <x:c r="AI5" s="36" t="str">
        <x:v>LLY</x:v>
      </x:c>
      <x:c r="AJ5" s="36" t="str">
        <x:v>WELL</x:v>
      </x:c>
      <x:c r="AK5" s="36" t="str">
        <x:v>NOK</x:v>
      </x:c>
      <x:c r="AL5" s="36" t="str">
        <x:v>MSFT</x:v>
      </x:c>
      <x:c r="AM5" s="36" t="str">
        <x:v>GOOGL</x:v>
      </x:c>
      <x:c r="AN5" s="36" t="str">
        <x:v>COST</x:v>
      </x:c>
      <x:c r="AO5" s="36" t="str">
        <x:v>HD</x:v>
      </x:c>
      <x:c r="AP5" s="36" t="str">
        <x:v>KO</x:v>
      </x:c>
      <x:c r="AQ5" s="36" t="str">
        <x:v>JNJ</x:v>
      </x:c>
      <x:c r="AR5" s="36" t="str">
        <x:v>BRK-B</x:v>
      </x:c>
      <x:c r="AS5" s="36" t="str">
        <x:v>MXN/USD</x:v>
      </x:c>
      <x:c r="AT5" s="36" t="str">
        <x:v>SGD/USD</x:v>
      </x:c>
      <x:c r="AU5" s="36" t="str">
        <x:v>DKK/USD</x:v>
      </x:c>
      <x:c r="AV5" s="36" t="str">
        <x:v>EUR/USD</x:v>
      </x:c>
      <x:c r="AW5" s="36" t="str">
        <x:v>AUD/USD</x:v>
      </x:c>
      <x:c r="AX5" s="36" t="str">
        <x:v>CAD/USD</x:v>
      </x:c>
      <x:c r="AY5" s="36" t="str">
        <x:v>SPY</x:v>
      </x:c>
      <x:c r="AZ5" s="36" t="str">
        <x:v>XLC</x:v>
      </x:c>
      <x:c r="BA5" s="36" t="str">
        <x:v>XLY</x:v>
      </x:c>
      <x:c r="BB5" s="36" t="str">
        <x:v>XLP</x:v>
      </x:c>
      <x:c r="BC5" s="36" t="str">
        <x:v>XLE</x:v>
      </x:c>
      <x:c r="BD5" s="36" t="str">
        <x:v>XLF</x:v>
      </x:c>
      <x:c r="BE5" s="36" t="str">
        <x:v>XLV</x:v>
      </x:c>
      <x:c r="BF5" s="36" t="str">
        <x:v>XLI</x:v>
      </x:c>
      <x:c r="BG5" s="36" t="str">
        <x:v>XLB</x:v>
      </x:c>
      <x:c r="BH5" s="36" t="str">
        <x:v>XLRE</x:v>
      </x:c>
      <x:c r="BI5" s="36" t="str">
        <x:v>XLK</x:v>
      </x:c>
      <x:c r="BJ5" s="36" t="str">
        <x:v>XLU</x:v>
      </x:c>
    </x:row>
    <x:row r="6" ht="19" customHeight="1">
      <x:c r="A6" s="40" t="d">
        <x:v>2021-04-26T00:00:00.000Z</x:v>
      </x:c>
      <x:c r="B6" s="39" t="n">
        <x:v>-0.069348735</x:v>
      </x:c>
      <x:c r="C6" s="39" t="n">
        <x:v>-0.0023539555</x:v>
      </x:c>
      <x:c r="D6" s="39" t="n">
        <x:v>-0.0137240773</x:v>
      </x:c>
      <x:c r="E6" s="39" t="n">
        <x:v>0.0258727097</x:v>
      </x:c>
      <x:c r="F6" s="39" t="n">
        <x:v>-0.0314189658</x:v>
      </x:c>
      <x:c r="G6" s="39" t="n">
        <x:v>-0.0086376814</x:v>
      </x:c>
      <x:c r="H6" s="39" t="n">
        <x:v>0.0224989909</x:v>
      </x:c>
      <x:c r="I6" s="39" t="n">
        <x:v>0.0079233332</x:v>
      </x:c>
      <x:c r="J6" s="39" t="n">
        <x:v>0.0597908883</x:v>
      </x:c>
      <x:c r="K6" s="39" t="n">
        <x:v>-0.0075223127</x:v>
      </x:c>
      <x:c r="L6" s="39" t="n">
        <x:v>0.0327188407</x:v>
      </x:c>
      <x:c r="M6" s="39" t="n">
        <x:v>-0.0189256829</x:v>
      </x:c>
      <x:c r="N6" s="39" t="n">
        <x:v>-0.0129233614</x:v>
      </x:c>
      <x:c r="O6" s="39" t="n">
        <x:v>-0.034337278</x:v>
      </x:c>
      <x:c r="P6" s="39" t="n">
        <x:v>0.0371130893</x:v>
      </x:c>
      <x:c r="Q6" s="39" t="n">
        <x:v>0.0160115715</x:v>
      </x:c>
      <x:c r="R6" s="39" t="n">
        <x:v>-0.0206959485</x:v>
      </x:c>
      <x:c r="S6" s="39" t="n">
        <x:v>0.0562725157</x:v>
      </x:c>
      <x:c r="T6" s="39" t="n">
        <x:v>0.1628429586</x:v>
      </x:c>
      <x:c r="U6" s="39" t="n">
        <x:v>-0.0010601473</x:v>
      </x:c>
      <x:c r="V6" s="39" t="n">
        <x:v>-0.053008642</x:v>
      </x:c>
      <x:c r="W6" s="39" t="n">
        <x:v>0.009635791</x:v>
      </x:c>
      <x:c r="X6" s="39" t="n">
        <x:v>-0.0692211003</x:v>
      </x:c>
      <x:c r="Y6" s="39" t="n">
        <x:v>-0.039282149</x:v>
      </x:c>
      <x:c r="Z6" s="39" t="n">
        <x:v>0.0119738728</x:v>
      </x:c>
      <x:c r="AA6" s="39" t="n">
        <x:v>-0.0672481908</x:v>
      </x:c>
      <x:c r="AB6" s="39" t="n">
        <x:v>-0.1958778288</x:v>
      </x:c>
      <x:c r="AC6" s="39" t="n">
        <x:v>-0.0205310045</x:v>
      </x:c>
      <x:c r="AD6" s="39" t="n">
        <x:v>-0.0771602149</x:v>
      </x:c>
      <x:c r="AE6" s="39" t="n">
        <x:v>0.0068323237</x:v>
      </x:c>
      <x:c r="AF6" s="39" t="n">
        <x:v>-0.0816968158</x:v>
      </x:c>
      <x:c r="AG6" s="39" t="n">
        <x:v>0.0098214606</x:v>
      </x:c>
      <x:c r="AH6" s="39" t="n">
        <x:v>-0.0201965364</x:v>
      </x:c>
      <x:c r="AI6" s="39" t="n">
        <x:v>-0.0427752451</x:v>
      </x:c>
      <x:c r="AJ6" s="39" t="n">
        <x:v>-0.0495982658</x:v>
      </x:c>
      <x:c r="AK6" s="39" t="n">
        <x:v>0.1001290583</x:v>
      </x:c>
      <x:c r="AL6" s="39" t="n">
        <x:v>0.00029739</x:v>
      </x:c>
      <x:c r="AM6" s="39" t="n">
        <x:v>0.0371363681</x:v>
      </x:c>
      <x:c r="AN6" s="39" t="n">
        <x:v>0.0014513941</x:v>
      </x:c>
      <x:c r="AO6" s="39" t="n">
        <x:v>0.0075917104</x:v>
      </x:c>
      <x:c r="AP6" s="39" t="n">
        <x:v>0.0036095601</x:v>
      </x:c>
      <x:c r="AQ6" s="39" t="n">
        <x:v>-0.0295879112</x:v>
      </x:c>
      <x:c r="AR6" s="39" t="n">
        <x:v>0.0123452868</x:v>
      </x:c>
      <x:c r="AS6" s="39" t="n">
        <x:v>0.0023697595</x:v>
      </x:c>
      <x:c r="AT6" s="39" t="n">
        <x:v>0.0069630341</x:v>
      </x:c>
      <x:c r="AU6" s="39" t="n">
        <x:v>0.0138879181</x:v>
      </x:c>
      <x:c r="AV6" s="39" t="n">
        <x:v>0.0137049965</x:v>
      </x:c>
      <x:c r="AW6" s="39" t="n">
        <x:v>0.0081628589</x:v>
      </x:c>
      <x:c r="AX6" s="39" t="n">
        <x:v>0.0096975008</x:v>
      </x:c>
      <x:c r="AY6" s="39" t="n">
        <x:v>0.0255525214</x:v>
      </x:c>
      <x:c r="AZ6" s="39" t="n">
        <x:v>0.0066852496</x:v>
      </x:c>
      <x:c r="BA6" s="39" t="n">
        <x:v>0.0114406537</x:v>
      </x:c>
      <x:c r="BB6" s="39" t="n">
        <x:v>0.0031028026</x:v>
      </x:c>
      <x:c r="BC6" s="39" t="n">
        <x:v>-0.0261201672</x:v>
      </x:c>
      <x:c r="BD6" s="39" t="n">
        <x:v>0.0094099778</x:v>
      </x:c>
      <x:c r="BE6" s="39" t="n">
        <x:v>0.0127518319</x:v>
      </x:c>
      <x:c r="BF6" s="39" t="n">
        <x:v>-0.0052256665</x:v>
      </x:c>
      <x:c r="BG6" s="39" t="n">
        <x:v>0.0091937719</x:v>
      </x:c>
      <x:c r="BH6" s="39" t="n">
        <x:v>0.023770444</x:v>
      </x:c>
      <x:c r="BI6" s="39" t="n">
        <x:v>-0.0173804799</x:v>
      </x:c>
      <x:c r="BJ6" s="39" t="n">
        <x:v>0.0132597324</x:v>
      </x:c>
    </x:row>
    <x:row r="7" ht="19" customHeight="1">
      <x:c r="A7" s="40" t="d">
        <x:v>2021-05-24T00:00:00.000Z</x:v>
      </x:c>
      <x:c r="B7" s="39" t="n">
        <x:v>-0.0216804608</x:v>
      </x:c>
      <x:c r="C7" s="39" t="n">
        <x:v>0.143240425</x:v>
      </x:c>
      <x:c r="D7" s="39" t="n">
        <x:v>-0.0034124476</x:v>
      </x:c>
      <x:c r="E7" s="39" t="n">
        <x:v>-0.0119531231</x:v>
      </x:c>
      <x:c r="F7" s="39" t="n">
        <x:v>-0.027490022</x:v>
      </x:c>
      <x:c r="G7" s="39" t="n">
        <x:v>-0.0338948138</x:v>
      </x:c>
      <x:c r="H7" s="39" t="n">
        <x:v>0.0006761303</x:v>
      </x:c>
      <x:c r="I7" s="39" t="n">
        <x:v>-0.0190787332</x:v>
      </x:c>
      <x:c r="J7" s="39" t="n">
        <x:v>0.0028873287</x:v>
      </x:c>
      <x:c r="K7" s="39" t="n">
        <x:v>0.0120700873</x:v>
      </x:c>
      <x:c r="L7" s="39" t="n">
        <x:v>0.0232619406</x:v>
      </x:c>
      <x:c r="M7" s="39" t="n">
        <x:v>0.010581155</x:v>
      </x:c>
      <x:c r="N7" s="39" t="n">
        <x:v>-0.0161277031</x:v>
      </x:c>
      <x:c r="O7" s="39" t="n">
        <x:v>0.0102071443</x:v>
      </x:c>
      <x:c r="P7" s="39" t="n">
        <x:v>-0.0655943391</x:v>
      </x:c>
      <x:c r="Q7" s="39" t="n">
        <x:v>-0.0189704643</x:v>
      </x:c>
      <x:c r="R7" s="39" t="n">
        <x:v>0.0382327326</x:v>
      </x:c>
      <x:c r="S7" s="39" t="n">
        <x:v>-0.0067388828</x:v>
      </x:c>
      <x:c r="T7" s="39" t="n">
        <x:v>0.0165964009</x:v>
      </x:c>
      <x:c r="U7" s="39" t="n">
        <x:v>-0.0637537852</x:v>
      </x:c>
      <x:c r="V7" s="39" t="n">
        <x:v>0.0045670529</x:v>
      </x:c>
      <x:c r="W7" s="39" t="n">
        <x:v>0.0047844815</x:v>
      </x:c>
      <x:c r="X7" s="39" t="n">
        <x:v>-0.0504053691</x:v>
      </x:c>
      <x:c r="Y7" s="39" t="n">
        <x:v>0.0676625576</x:v>
      </x:c>
      <x:c r="Z7" s="39" t="n">
        <x:v>-0.0384069842</x:v>
      </x:c>
      <x:c r="AA7" s="39" t="n">
        <x:v>-0.0052885408</x:v>
      </x:c>
      <x:c r="AB7" s="39" t="n">
        <x:v>0.1947215858</x:v>
      </x:c>
      <x:c r="AC7" s="39" t="n">
        <x:v>0.0005257357</x:v>
      </x:c>
      <x:c r="AD7" s="39" t="n">
        <x:v>0.1483219557</x:v>
      </x:c>
      <x:c r="AE7" s="39" t="n">
        <x:v>-0.0285448066</x:v>
      </x:c>
      <x:c r="AF7" s="39" t="n">
        <x:v>0.0327836418</x:v>
      </x:c>
      <x:c r="AG7" s="39" t="n">
        <x:v>-0.0116452923</x:v>
      </x:c>
      <x:c r="AH7" s="39" t="n">
        <x:v>0.0034406064</x:v>
      </x:c>
      <x:c r="AI7" s="39" t="n">
        <x:v>0.03536547</x:v>
      </x:c>
      <x:c r="AJ7" s="39" t="n">
        <x:v>-0.0209802062</x:v>
      </x:c>
      <x:c r="AK7" s="39" t="n">
        <x:v>0.0603009899</x:v>
      </x:c>
      <x:c r="AL7" s="39" t="n">
        <x:v>0.0079660545</x:v>
      </x:c>
      <x:c r="AM7" s="39" t="n">
        <x:v>0.0192505406</x:v>
      </x:c>
      <x:c r="AN7" s="39" t="n">
        <x:v>0.0129199156</x:v>
      </x:c>
      <x:c r="AO7" s="39" t="n">
        <x:v>-0.0036797625</x:v>
      </x:c>
      <x:c r="AP7" s="39" t="n">
        <x:v>-0.0040439071</x:v>
      </x:c>
      <x:c r="AQ7" s="39" t="n">
        <x:v>0.0044691536</x:v>
      </x:c>
      <x:c r="AR7" s="39" t="n">
        <x:v>0.0080589913</x:v>
      </x:c>
      <x:c r="AS7" s="39" t="n">
        <x:v>0.0099577389</x:v>
      </x:c>
      <x:c r="AT7" s="39" t="n">
        <x:v>0.0037262612</x:v>
      </x:c>
      <x:c r="AU7" s="39" t="n">
        <x:v>0.0090181656</x:v>
      </x:c>
      <x:c r="AV7" s="39" t="n">
        <x:v>0.0090361951</x:v>
      </x:c>
      <x:c r="AW7" s="39" t="n">
        <x:v>0.0019304809</x:v>
      </x:c>
      <x:c r="AX7" s="39" t="n">
        <x:v>0.018231375</x:v>
      </x:c>
      <x:c r="AY7" s="39" t="n">
        <x:v>0.0041552523</x:v>
      </x:c>
      <x:c r="AZ7" s="39" t="n">
        <x:v>0.0040219498</x:v>
      </x:c>
      <x:c r="BA7" s="39" t="n">
        <x:v>-0.0194718143</x:v>
      </x:c>
      <x:c r="BB7" s="39" t="n">
        <x:v>0.0083316361</x:v>
      </x:c>
      <x:c r="BC7" s="39" t="n">
        <x:v>0.0166094589</x:v>
      </x:c>
      <x:c r="BD7" s="39" t="n">
        <x:v>0.0244404712</x:v>
      </x:c>
      <x:c r="BE7" s="39" t="n">
        <x:v>0.0082176579</x:v>
      </x:c>
      <x:c r="BF7" s="39" t="n">
        <x:v>0.0133287019</x:v>
      </x:c>
      <x:c r="BG7" s="39" t="n">
        <x:v>0.029612895</x:v>
      </x:c>
      <x:c r="BH7" s="39" t="n">
        <x:v>0.0087089084</x:v>
      </x:c>
      <x:c r="BI7" s="39" t="n">
        <x:v>-0.0113013269</x:v>
      </x:c>
      <x:c r="BJ7" s="39" t="n">
        <x:v>-0.0193552187</x:v>
      </x:c>
    </x:row>
    <x:row r="8" ht="19" customHeight="1">
      <x:c r="A8" s="40" t="d">
        <x:v>2021-06-21T00:00:00.000Z</x:v>
      </x:c>
      <x:c r="B8" s="39" t="n">
        <x:v>0.0788381586</x:v>
      </x:c>
      <x:c r="C8" s="39" t="n">
        <x:v>-0.0063855953</x:v>
      </x:c>
      <x:c r="D8" s="39" t="n">
        <x:v>-0.0046851828</x:v>
      </x:c>
      <x:c r="E8" s="39" t="n">
        <x:v>-0.0241225364</x:v>
      </x:c>
      <x:c r="F8" s="39" t="n">
        <x:v>0.0276037808</x:v>
      </x:c>
      <x:c r="G8" s="39" t="n">
        <x:v>0.0812356746</x:v>
      </x:c>
      <x:c r="H8" s="39" t="n">
        <x:v>-0.0206841353</x:v>
      </x:c>
      <x:c r="I8" s="39" t="n">
        <x:v>-0.0382793195</x:v>
      </x:c>
      <x:c r="J8" s="39" t="n">
        <x:v>-0.1222747338</x:v>
      </x:c>
      <x:c r="K8" s="39" t="n">
        <x:v>-0.0472070342</x:v>
      </x:c>
      <x:c r="L8" s="39" t="n">
        <x:v>-0.0471919251</x:v>
      </x:c>
      <x:c r="M8" s="39" t="n">
        <x:v>0.02987448</x:v>
      </x:c>
      <x:c r="N8" s="39" t="n">
        <x:v>0.0241307139</x:v>
      </x:c>
      <x:c r="O8" s="39" t="n">
        <x:v>-0.0503300746</x:v>
      </x:c>
      <x:c r="P8" s="39" t="n">
        <x:v>0.0265363359</x:v>
      </x:c>
      <x:c r="Q8" s="39" t="n">
        <x:v>0.0461173907</x:v>
      </x:c>
      <x:c r="R8" s="39" t="n">
        <x:v>-0.003562353</x:v>
      </x:c>
      <x:c r="S8" s="39" t="n">
        <x:v>0.0852640465</x:v>
      </x:c>
      <x:c r="T8" s="39" t="n">
        <x:v>0.1469940535</x:v>
      </x:c>
      <x:c r="U8" s="39" t="n">
        <x:v>0.1387020828</x:v>
      </x:c>
      <x:c r="V8" s="39" t="n">
        <x:v>0.0130817469</x:v>
      </x:c>
      <x:c r="W8" s="39" t="n">
        <x:v>0.0031083523</x:v>
      </x:c>
      <x:c r="X8" s="39" t="n">
        <x:v>-0.0581462854</x:v>
      </x:c>
      <x:c r="Y8" s="39" t="n">
        <x:v>-0.0452706227</x:v>
      </x:c>
      <x:c r="Z8" s="39" t="n">
        <x:v>-0.0043497071</x:v>
      </x:c>
      <x:c r="AA8" s="39" t="n">
        <x:v>0.0107783577</x:v>
      </x:c>
      <x:c r="AB8" s="39" t="n">
        <x:v>-0.0534056068</x:v>
      </x:c>
      <x:c r="AC8" s="39" t="n">
        <x:v>0.0257917701</x:v>
      </x:c>
      <x:c r="AD8" s="39" t="n">
        <x:v>0.0385049543</x:v>
      </x:c>
      <x:c r="AE8" s="39" t="n">
        <x:v>-0.0540957389</x:v>
      </x:c>
      <x:c r="AF8" s="39" t="n">
        <x:v>0.0459039313</x:v>
      </x:c>
      <x:c r="AG8" s="39" t="n">
        <x:v>0.0274202374</x:v>
      </x:c>
      <x:c r="AH8" s="39" t="n">
        <x:v>-0.0084277641</x:v>
      </x:c>
      <x:c r="AI8" s="39" t="n">
        <x:v>0.0470151756</x:v>
      </x:c>
      <x:c r="AJ8" s="39" t="n">
        <x:v>0.0435129676</x:v>
      </x:c>
      <x:c r="AK8" s="39" t="n">
        <x:v>-0.0103026894</x:v>
      </x:c>
      <x:c r="AL8" s="39" t="n">
        <x:v>0.0058767145</x:v>
      </x:c>
      <x:c r="AM8" s="39" t="n">
        <x:v>-0.0163844552</x:v>
      </x:c>
      <x:c r="AN8" s="39" t="n">
        <x:v>0.0167279744</x:v>
      </x:c>
      <x:c r="AO8" s="39" t="n">
        <x:v>0.010603608</x:v>
      </x:c>
      <x:c r="AP8" s="39" t="n">
        <x:v>0.0034102728</x:v>
      </x:c>
      <x:c r="AQ8" s="39" t="n">
        <x:v>-0.0259662885</x:v>
      </x:c>
      <x:c r="AR8" s="39" t="n">
        <x:v>-0.0170565261</x:v>
      </x:c>
      <x:c r="AS8" s="39" t="n">
        <x:v>0.0032750523</x:v>
      </x:c>
      <x:c r="AT8" s="39" t="n">
        <x:v>-0.0099011329</x:v>
      </x:c>
      <x:c r="AU8" s="39" t="n">
        <x:v>-0.0137216941</x:v>
      </x:c>
      <x:c r="AV8" s="39" t="n">
        <x:v>-0.0136744459</x:v>
      </x:c>
      <x:c r="AW8" s="39" t="n">
        <x:v>-0.0128949568</x:v>
      </x:c>
      <x:c r="AX8" s="39" t="n">
        <x:v>-0.0166569349</x:v>
      </x:c>
      <x:c r="AY8" s="39" t="n">
        <x:v>0.0120969621</x:v>
      </x:c>
      <x:c r="AZ8" s="39" t="n">
        <x:v>0.0068571222</x:v>
      </x:c>
      <x:c r="BA8" s="39" t="n">
        <x:v>0.0127719269</x:v>
      </x:c>
      <x:c r="BB8" s="39" t="n">
        <x:v>-0.0122002946</x:v>
      </x:c>
      <x:c r="BC8" s="39" t="n">
        <x:v>0.0269070465</x:v>
      </x:c>
      <x:c r="BD8" s="39" t="n">
        <x:v>-0.0271866134</x:v>
      </x:c>
      <x:c r="BE8" s="39" t="n">
        <x:v>0.006197789</x:v>
      </x:c>
      <x:c r="BF8" s="39" t="n">
        <x:v>-0.028318164</x:v>
      </x:c>
      <x:c r="BG8" s="39" t="n">
        <x:v>-0.0441344952</x:v>
      </x:c>
      <x:c r="BH8" s="39" t="n">
        <x:v>0.0199837933</x:v>
      </x:c>
      <x:c r="BI8" s="39" t="n">
        <x:v>0.0152458447</x:v>
      </x:c>
      <x:c r="BJ8" s="39" t="n">
        <x:v>-0.0143336559</x:v>
      </x:c>
    </x:row>
    <x:row r="9" ht="19" customHeight="1">
      <x:c r="A9" s="40" t="d">
        <x:v>2021-07-19T00:00:00.000Z</x:v>
      </x:c>
      <x:c r="B9" s="39" t="n">
        <x:v>0.0030429726</x:v>
      </x:c>
      <x:c r="C9" s="39" t="n">
        <x:v>0.1110643529</x:v>
      </x:c>
      <x:c r="D9" s="39" t="n">
        <x:v>0.0044846469</x:v>
      </x:c>
      <x:c r="E9" s="39" t="n">
        <x:v>-0.0164031823</x:v>
      </x:c>
      <x:c r="F9" s="39" t="n">
        <x:v>0.0265815218</x:v>
      </x:c>
      <x:c r="G9" s="39" t="n">
        <x:v>0.1028612117</x:v>
      </x:c>
      <x:c r="H9" s="39" t="n">
        <x:v>0.0095199557</x:v>
      </x:c>
      <x:c r="I9" s="39" t="n">
        <x:v>-0.0654436655</x:v>
      </x:c>
      <x:c r="J9" s="39" t="n">
        <x:v>-0.0238660319</x:v>
      </x:c>
      <x:c r="K9" s="39" t="n">
        <x:v>-0.0722582452</x:v>
      </x:c>
      <x:c r="L9" s="39" t="n">
        <x:v>0.0203958583</x:v>
      </x:c>
      <x:c r="M9" s="39" t="n">
        <x:v>0.0634703527</x:v>
      </x:c>
      <x:c r="N9" s="39" t="n">
        <x:v>0.0211649053</x:v>
      </x:c>
      <x:c r="O9" s="39" t="n">
        <x:v>-0.0985887319</x:v>
      </x:c>
      <x:c r="P9" s="39" t="n">
        <x:v>-0.1378654776</x:v>
      </x:c>
      <x:c r="Q9" s="39" t="n">
        <x:v>0.0586882138</x:v>
      </x:c>
      <x:c r="R9" s="39" t="n">
        <x:v>-0.0040857075</x:v>
      </x:c>
      <x:c r="S9" s="39" t="n">
        <x:v>0.0758821782</x:v>
      </x:c>
      <x:c r="T9" s="39" t="n">
        <x:v>0.3471252618</x:v>
      </x:c>
      <x:c r="U9" s="39" t="n">
        <x:v>0.0255206998</x:v>
      </x:c>
      <x:c r="V9" s="39" t="n">
        <x:v>-0.0489767124</x:v>
      </x:c>
      <x:c r="W9" s="39" t="n">
        <x:v>0.0747543872</x:v>
      </x:c>
      <x:c r="X9" s="39" t="n">
        <x:v>-0.0954375446</x:v>
      </x:c>
      <x:c r="Y9" s="39" t="n">
        <x:v>0.0350416618</x:v>
      </x:c>
      <x:c r="Z9" s="39" t="n">
        <x:v>-0.0145918748</x:v>
      </x:c>
      <x:c r="AA9" s="39" t="n">
        <x:v>-0.1364733252</x:v>
      </x:c>
      <x:c r="AB9" s="39" t="n">
        <x:v>0.0456162233</x:v>
      </x:c>
      <x:c r="AC9" s="39" t="n">
        <x:v>0.0153733474</x:v>
      </x:c>
      <x:c r="AD9" s="39" t="n">
        <x:v>-0.0410830079</x:v>
      </x:c>
      <x:c r="AE9" s="39" t="n">
        <x:v>-0.0100232639</x:v>
      </x:c>
      <x:c r="AF9" s="39" t="n">
        <x:v>-0.069828362</x:v>
      </x:c>
      <x:c r="AG9" s="39" t="n">
        <x:v>0.0073759035</x:v>
      </x:c>
      <x:c r="AH9" s="39" t="n">
        <x:v>0.0002961476</x:v>
      </x:c>
      <x:c r="AI9" s="39" t="n">
        <x:v>-0.0238889563</x:v>
      </x:c>
      <x:c r="AJ9" s="39" t="n">
        <x:v>0.0184401709</x:v>
      </x:c>
      <x:c r="AK9" s="39" t="n">
        <x:v>0.0355772458</x:v>
      </x:c>
      <x:c r="AL9" s="39" t="n">
        <x:v>0.0254827976</x:v>
      </x:c>
      <x:c r="AM9" s="39" t="n">
        <x:v>0.031780748</x:v>
      </x:c>
      <x:c r="AN9" s="39" t="n">
        <x:v>0.029886099</x:v>
      </x:c>
      <x:c r="AO9" s="39" t="n">
        <x:v>0.053090402</x:v>
      </x:c>
      <x:c r="AP9" s="39" t="n">
        <x:v>0.0322664405</x:v>
      </x:c>
      <x:c r="AQ9" s="39" t="n">
        <x:v>0.0092525742</x:v>
      </x:c>
      <x:c r="AR9" s="39" t="n">
        <x:v>0.0072600336</x:v>
      </x:c>
      <x:c r="AS9" s="39" t="n">
        <x:v>-0.0076242443</x:v>
      </x:c>
      <x:c r="AT9" s="39" t="n">
        <x:v>-0.008459875</x:v>
      </x:c>
      <x:c r="AU9" s="39" t="n">
        <x:v>-0.0090105517</x:v>
      </x:c>
      <x:c r="AV9" s="39" t="n">
        <x:v>-0.0090961232</x:v>
      </x:c>
      <x:c r="AW9" s="39" t="n">
        <x:v>-0.0193891754</x:v>
      </x:c>
      <x:c r="AX9" s="39" t="n">
        <x:v>-0.0200834483</x:v>
      </x:c>
      <x:c r="AY9" s="39" t="n">
        <x:v>0.0200938871</x:v>
      </x:c>
      <x:c r="AZ9" s="39" t="n">
        <x:v>0.0059501056</x:v>
      </x:c>
      <x:c r="BA9" s="39" t="n">
        <x:v>0.0030245434</x:v>
      </x:c>
      <x:c r="BB9" s="39" t="n">
        <x:v>0.0066749124</x:v>
      </x:c>
      <x:c r="BC9" s="39" t="n">
        <x:v>-0.101498578</x:v>
      </x:c>
      <x:c r="BD9" s="39" t="n">
        <x:v>-0.0298698284</x:v>
      </x:c>
      <x:c r="BE9" s="39" t="n">
        <x:v>0.0185689263</x:v>
      </x:c>
      <x:c r="BF9" s="39" t="n">
        <x:v>-0.0121313061</x:v>
      </x:c>
      <x:c r="BG9" s="39" t="n">
        <x:v>-0.0171882115</x:v>
      </x:c>
      <x:c r="BH9" s="39" t="n">
        <x:v>0.0110877191</x:v>
      </x:c>
      <x:c r="BI9" s="39" t="n">
        <x:v>0.0118746796</x:v>
      </x:c>
      <x:c r="BJ9" s="39" t="n">
        <x:v>0.0066409303</x:v>
      </x:c>
    </x:row>
    <x:row r="10" ht="19" customHeight="1">
      <x:c r="A10" s="40" t="d">
        <x:v>2021-08-16T00:00:00.000Z</x:v>
      </x:c>
      <x:c r="B10" s="39" t="n">
        <x:v>-0.0627893351</x:v>
      </x:c>
      <x:c r="C10" s="39" t="n">
        <x:v>0.0435008525</x:v>
      </x:c>
      <x:c r="D10" s="39" t="n">
        <x:v>0.0121722385</x:v>
      </x:c>
      <x:c r="E10" s="39" t="n">
        <x:v>0.0315363813</x:v>
      </x:c>
      <x:c r="F10" s="39" t="n">
        <x:v>0.0294541348</x:v>
      </x:c>
      <x:c r="G10" s="39" t="n">
        <x:v>0.0408002776</x:v>
      </x:c>
      <x:c r="H10" s="39" t="n">
        <x:v>-0.054891753</x:v>
      </x:c>
      <x:c r="I10" s="39" t="n">
        <x:v>0.020000389</x:v>
      </x:c>
      <x:c r="J10" s="39" t="n">
        <x:v>0.0323442903</x:v>
      </x:c>
      <x:c r="K10" s="39" t="n">
        <x:v>0.0090175759</x:v>
      </x:c>
      <x:c r="L10" s="39" t="n">
        <x:v>-0.0080999434</x:v>
      </x:c>
      <x:c r="M10" s="39" t="n">
        <x:v>-0.0021178725</x:v>
      </x:c>
      <x:c r="N10" s="39" t="n">
        <x:v>0.0631588647</x:v>
      </x:c>
      <x:c r="O10" s="39" t="n">
        <x:v>-0.0063702301</x:v>
      </x:c>
      <x:c r="P10" s="39" t="n">
        <x:v>0.0160477583</x:v>
      </x:c>
      <x:c r="Q10" s="39" t="n">
        <x:v>0.0179976772</x:v>
      </x:c>
      <x:c r="R10" s="39" t="n">
        <x:v>-0.028201332</x:v>
      </x:c>
      <x:c r="S10" s="39" t="n">
        <x:v>0.0571142555</x:v>
      </x:c>
      <x:c r="T10" s="39" t="n">
        <x:v>0.1121634697</x:v>
      </x:c>
      <x:c r="U10" s="39" t="n">
        <x:v>0.0358517525</x:v>
      </x:c>
      <x:c r="V10" s="39" t="n">
        <x:v>0.0305277214</x:v>
      </x:c>
      <x:c r="W10" s="39" t="n">
        <x:v>0.06786832</x:v>
      </x:c>
      <x:c r="X10" s="39" t="n">
        <x:v>-0.0660342746</x:v>
      </x:c>
      <x:c r="Y10" s="39" t="n">
        <x:v>0.0084391429</x:v>
      </x:c>
      <x:c r="Z10" s="39" t="n">
        <x:v>-0.0064567028</x:v>
      </x:c>
      <x:c r="AA10" s="39" t="n">
        <x:v>-0.0554279584</x:v>
      </x:c>
      <x:c r="AB10" s="39" t="n">
        <x:v>0.3674260759</x:v>
      </x:c>
      <x:c r="AC10" s="39" t="n">
        <x:v>0.0242097513</x:v>
      </x:c>
      <x:c r="AD10" s="39" t="n">
        <x:v>-0.0151915542</x:v>
      </x:c>
      <x:c r="AE10" s="39" t="n">
        <x:v>-0.0028837746</x:v>
      </x:c>
      <x:c r="AF10" s="39" t="n">
        <x:v>0.0056169076</x:v>
      </x:c>
      <x:c r="AG10" s="39" t="n">
        <x:v>0.0322937688</x:v>
      </x:c>
      <x:c r="AH10" s="39" t="n">
        <x:v>0.1102300178</x:v>
      </x:c>
      <x:c r="AI10" s="39" t="n">
        <x:v>0.0246941561</x:v>
      </x:c>
      <x:c r="AJ10" s="39" t="n">
        <x:v>-0.0206637168</x:v>
      </x:c>
      <x:c r="AK10" s="39" t="n">
        <x:v>0.032765215</x:v>
      </x:c>
      <x:c r="AL10" s="39" t="n">
        <x:v>0.0261943221</x:v>
      </x:c>
      <x:c r="AM10" s="39" t="n">
        <x:v>0.0587114204</x:v>
      </x:c>
      <x:c r="AN10" s="39" t="n">
        <x:v>0.073223689</x:v>
      </x:c>
      <x:c r="AO10" s="39" t="n">
        <x:v>0.0347921822</x:v>
      </x:c>
      <x:c r="AP10" s="39" t="n">
        <x:v>-0.0095713852</x:v>
      </x:c>
      <x:c r="AQ10" s="39" t="n">
        <x:v>0.0071291108</x:v>
      </x:c>
      <x:c r="AR10" s="39" t="n">
        <x:v>0.0029887257</x:v>
      </x:c>
      <x:c r="AS10" s="39" t="n">
        <x:v>-0.0101933852</x:v>
      </x:c>
      <x:c r="AT10" s="39" t="n">
        <x:v>-0.0014013823</x:v>
      </x:c>
      <x:c r="AU10" s="39" t="n">
        <x:v>-0.0041864252</x:v>
      </x:c>
      <x:c r="AV10" s="39" t="n">
        <x:v>-0.0041543842</x:v>
      </x:c>
      <x:c r="AW10" s="39" t="n">
        <x:v>-0.0210081319</x:v>
      </x:c>
      <x:c r="AX10" s="39" t="n">
        <x:v>0.0090561068</x:v>
      </x:c>
      <x:c r="AY10" s="39" t="n">
        <x:v>0.0051288387</x:v>
      </x:c>
      <x:c r="AZ10" s="39" t="n">
        <x:v>-0.0090072846</x:v>
      </x:c>
      <x:c r="BA10" s="39" t="n">
        <x:v>-0.0194083122</x:v>
      </x:c>
      <x:c r="BB10" s="39" t="n">
        <x:v>0.009309232</x:v>
      </x:c>
      <x:c r="BC10" s="39" t="n">
        <x:v>-0.0553708812</x:v>
      </x:c>
      <x:c r="BD10" s="39" t="n">
        <x:v>0.0196885566</x:v>
      </x:c>
      <x:c r="BE10" s="39" t="n">
        <x:v>0.0189290576</x:v>
      </x:c>
      <x:c r="BF10" s="39" t="n">
        <x:v>-0.0133796769</x:v>
      </x:c>
      <x:c r="BG10" s="39" t="n">
        <x:v>0.0138068453</x:v>
      </x:c>
      <x:c r="BH10" s="39" t="n">
        <x:v>0.0108939566</x:v>
      </x:c>
      <x:c r="BI10" s="39" t="n">
        <x:v>-0.0015767236</x:v>
      </x:c>
      <x:c r="BJ10" s="39" t="n">
        <x:v>0.0364985969</x:v>
      </x:c>
    </x:row>
    <x:row r="11" ht="19" customHeight="1">
      <x:c r="A11" s="40" t="d">
        <x:v>2021-09-13T00:00:00.000Z</x:v>
      </x:c>
      <x:c r="B11" s="39" t="n">
        <x:v>-0.0079464479</x:v>
      </x:c>
      <x:c r="C11" s="39" t="n">
        <x:v>-0.0241820358</x:v>
      </x:c>
      <x:c r="D11" s="39" t="n">
        <x:v>-0.0426389977</x:v>
      </x:c>
      <x:c r="E11" s="39" t="n">
        <x:v>0.0036580968</x:v>
      </x:c>
      <x:c r="F11" s="39" t="n">
        <x:v>0.0233338974</x:v>
      </x:c>
      <x:c r="G11" s="39" t="n">
        <x:v>-0.007806794</x:v>
      </x:c>
      <x:c r="H11" s="39" t="n">
        <x:v>0.0176845635</x:v>
      </x:c>
      <x:c r="I11" s="39" t="n">
        <x:v>-0.0895233332</x:v>
      </x:c>
      <x:c r="J11" s="39" t="n">
        <x:v>-0.1074040853</x:v>
      </x:c>
      <x:c r="K11" s="39" t="n">
        <x:v>-0.006171588</x:v>
      </x:c>
      <x:c r="L11" s="39" t="n">
        <x:v>0.0047224991</x:v>
      </x:c>
      <x:c r="M11" s="39" t="n">
        <x:v>0.0242715729</x:v>
      </x:c>
      <x:c r="N11" s="39" t="n">
        <x:v>-0.042452683</x:v>
      </x:c>
      <x:c r="O11" s="39" t="n">
        <x:v>-0.0481737733</x:v>
      </x:c>
      <x:c r="P11" s="39" t="n">
        <x:v>0.1948443977</x:v>
      </x:c>
      <x:c r="Q11" s="39" t="n">
        <x:v>0.2651825543</x:v>
      </x:c>
      <x:c r="R11" s="39" t="n">
        <x:v>-0.0487815337</x:v>
      </x:c>
      <x:c r="S11" s="39" t="n">
        <x:v>-0.0217427548</x:v>
      </x:c>
      <x:c r="T11" s="39" t="n">
        <x:v>0.0536906077</x:v>
      </x:c>
      <x:c r="U11" s="39" t="n">
        <x:v>-0.0676364175</x:v>
      </x:c>
      <x:c r="V11" s="39" t="n">
        <x:v>0.07223333</x:v>
      </x:c>
      <x:c r="W11" s="39" t="n">
        <x:v>-0.0484862727</x:v>
      </x:c>
      <x:c r="X11" s="39" t="n">
        <x:v>0.0226141396</x:v>
      </x:c>
      <x:c r="Y11" s="39" t="n">
        <x:v>-0.0635260338</x:v>
      </x:c>
      <x:c r="Z11" s="39" t="n">
        <x:v>-0.0339752381</x:v>
      </x:c>
      <x:c r="AA11" s="39" t="n">
        <x:v>0.0258614799</x:v>
      </x:c>
      <x:c r="AB11" s="39" t="n">
        <x:v>0.3148718404</x:v>
      </x:c>
      <x:c r="AC11" s="39" t="n">
        <x:v>0.0045869611</x:v>
      </x:c>
      <x:c r="AD11" s="39" t="n">
        <x:v>0.0071274386</x:v>
      </x:c>
      <x:c r="AE11" s="39" t="n">
        <x:v>-0.0542647964</x:v>
      </x:c>
      <x:c r="AF11" s="39" t="n">
        <x:v>-0.0056672866</x:v>
      </x:c>
      <x:c r="AG11" s="39" t="n">
        <x:v>-0.0476827427</x:v>
      </x:c>
      <x:c r="AH11" s="39" t="n">
        <x:v>-0.0351631961</x:v>
      </x:c>
      <x:c r="AI11" s="39" t="n">
        <x:v>-0.1060780303</x:v>
      </x:c>
      <x:c r="AJ11" s="39" t="n">
        <x:v>-0.031529462</x:v>
      </x:c>
      <x:c r="AK11" s="39" t="n">
        <x:v>-0.0645061548</x:v>
      </x:c>
      <x:c r="AL11" s="39" t="n">
        <x:v>-0.0128548838</x:v>
      </x:c>
      <x:c r="AM11" s="39" t="n">
        <x:v>-0.0237956358</x:v>
      </x:c>
      <x:c r="AN11" s="39" t="n">
        <x:v>-0.0258745648</x:v>
      </x:c>
      <x:c r="AO11" s="39" t="n">
        <x:v>-0.0003442601</x:v>
      </x:c>
      <x:c r="AP11" s="39" t="n">
        <x:v>-0.0222291042</x:v>
      </x:c>
      <x:c r="AQ11" s="39" t="n">
        <x:v>-0.0536698878</x:v>
      </x:c>
      <x:c r="AR11" s="39" t="n">
        <x:v>-0.0288444355</x:v>
      </x:c>
      <x:c r="AS11" s="39" t="n">
        <x:v>0.0113679055</x:v>
      </x:c>
      <x:c r="AT11" s="39" t="n">
        <x:v>0.0079645254</x:v>
      </x:c>
      <x:c r="AU11" s="39" t="n">
        <x:v>0.0016612158</x:v>
      </x:c>
      <x:c r="AV11" s="39" t="n">
        <x:v>0.0016577794</x:v>
      </x:c>
      <x:c r="AW11" s="39" t="n">
        <x:v>0.0143867212</x:v>
      </x:c>
      <x:c r="AX11" s="39" t="n">
        <x:v>-0.0038966561</x:v>
      </x:c>
      <x:c r="AY11" s="39" t="n">
        <x:v>-0.0008274545</x:v>
      </x:c>
      <x:c r="AZ11" s="39" t="n">
        <x:v>0.0059656564</x:v>
      </x:c>
      <x:c r="BA11" s="39" t="n">
        <x:v>0.0324522716</x:v>
      </x:c>
      <x:c r="BB11" s="39" t="n">
        <x:v>-0.0138271038</x:v>
      </x:c>
      <x:c r="BC11" s="39" t="n">
        <x:v>0.0288265392</x:v>
      </x:c>
      <x:c r="BD11" s="39" t="n">
        <x:v>-0.0031254351</x:v>
      </x:c>
      <x:c r="BE11" s="39" t="n">
        <x:v>-0.0168152889</x:v>
      </x:c>
      <x:c r="BF11" s="39" t="n">
        <x:v>-0.0171215851</x:v>
      </x:c>
      <x:c r="BG11" s="39" t="n">
        <x:v>-0.0180013016</x:v>
      </x:c>
      <x:c r="BH11" s="39" t="n">
        <x:v>0.0034619591</x:v>
      </x:c>
      <x:c r="BI11" s="39" t="n">
        <x:v>0.000781779</x:v>
      </x:c>
      <x:c r="BJ11" s="39" t="n">
        <x:v>-0.0371124367</x:v>
      </x:c>
    </x:row>
    <x:row r="12" ht="19" customHeight="1">
      <x:c r="A12" s="40" t="d">
        <x:v>2021-10-11T00:00:00.000Z</x:v>
      </x:c>
      <x:c r="B12" s="39" t="n">
        <x:v>0.0249567983</x:v>
      </x:c>
      <x:c r="C12" s="39" t="n">
        <x:v>0.0971487906</x:v>
      </x:c>
      <x:c r="D12" s="39" t="n">
        <x:v>-0.0112335221</x:v>
      </x:c>
      <x:c r="E12" s="39" t="n">
        <x:v>-0.0617667011</x:v>
      </x:c>
      <x:c r="F12" s="39" t="n">
        <x:v>-0.0481084961</x:v>
      </x:c>
      <x:c r="G12" s="39" t="n">
        <x:v>-0.016020591</x:v>
      </x:c>
      <x:c r="H12" s="39" t="n">
        <x:v>-0.0129552604</x:v>
      </x:c>
      <x:c r="I12" s="39" t="n">
        <x:v>0.0469189064</x:v>
      </x:c>
      <x:c r="J12" s="39" t="n">
        <x:v>-0.0644568987</x:v>
      </x:c>
      <x:c r="K12" s="39" t="n">
        <x:v>-0.0157554496</x:v>
      </x:c>
      <x:c r="L12" s="39" t="n">
        <x:v>0.0058961038</x:v>
      </x:c>
      <x:c r="M12" s="39" t="n">
        <x:v>0.0162974675</x:v>
      </x:c>
      <x:c r="N12" s="39" t="n">
        <x:v>0.0063898426</x:v>
      </x:c>
      <x:c r="O12" s="39" t="n">
        <x:v>-0.0908659126</x:v>
      </x:c>
      <x:c r="P12" s="39" t="n">
        <x:v>0.0002229735</x:v>
      </x:c>
      <x:c r="Q12" s="39" t="n">
        <x:v>-0.0181933315</x:v>
      </x:c>
      <x:c r="R12" s="39" t="n">
        <x:v>0.0537913564</x:v>
      </x:c>
      <x:c r="S12" s="39" t="n">
        <x:v>0.075603578</x:v>
      </x:c>
      <x:c r="T12" s="39" t="n">
        <x:v>-0.2019704467</x:v>
      </x:c>
      <x:c r="U12" s="39" t="n">
        <x:v>-0.0272470959</x:v>
      </x:c>
      <x:c r="V12" s="39" t="n">
        <x:v>0.0821416773</x:v>
      </x:c>
      <x:c r="W12" s="39" t="n">
        <x:v>-0.0400886885</x:v>
      </x:c>
      <x:c r="X12" s="39" t="n">
        <x:v>-0.0845830432</x:v>
      </x:c>
      <x:c r="Y12" s="39" t="n">
        <x:v>-0.0426904752</x:v>
      </x:c>
      <x:c r="Z12" s="39" t="n">
        <x:v>-0.0332873856</x:v>
      </x:c>
      <x:c r="AA12" s="39" t="n">
        <x:v>-0.1703804835</x:v>
      </x:c>
      <x:c r="AB12" s="39" t="n">
        <x:v>0.0902905441</x:v>
      </x:c>
      <x:c r="AC12" s="39" t="n">
        <x:v>0.0112290303</x:v>
      </x:c>
      <x:c r="AD12" s="39" t="n">
        <x:v>0.0632034662</x:v>
      </x:c>
      <x:c r="AE12" s="39" t="n">
        <x:v>-0.0261512215</x:v>
      </x:c>
      <x:c r="AF12" s="39" t="n">
        <x:v>0.0143942405</x:v>
      </x:c>
      <x:c r="AG12" s="39" t="n">
        <x:v>0.0123020694</x:v>
      </x:c>
      <x:c r="AH12" s="39" t="n">
        <x:v>0.0306499535</x:v>
      </x:c>
      <x:c r="AI12" s="39" t="n">
        <x:v>0.0446634689</x:v>
      </x:c>
      <x:c r="AJ12" s="39" t="n">
        <x:v>-0.0366661499</x:v>
      </x:c>
      <x:c r="AK12" s="39" t="n">
        <x:v>0.0120824685</x:v>
      </x:c>
      <x:c r="AL12" s="39" t="n">
        <x:v>0.0154869051</x:v>
      </x:c>
      <x:c r="AM12" s="39" t="n">
        <x:v>0.0131752958</x:v>
      </x:c>
      <x:c r="AN12" s="39" t="n">
        <x:v>-0.025230364</x:v>
      </x:c>
      <x:c r="AO12" s="39" t="n">
        <x:v>0.0016409433</x:v>
      </x:c>
      <x:c r="AP12" s="39" t="n">
        <x:v>-0.0116712259</x:v>
      </x:c>
      <x:c r="AQ12" s="39" t="n">
        <x:v>-0.003109944</x:v>
      </x:c>
      <x:c r="AR12" s="39" t="n">
        <x:v>-0.0017640598</x:v>
      </x:c>
      <x:c r="AS12" s="39" t="n">
        <x:v>-0.0106482622</x:v>
      </x:c>
      <x:c r="AT12" s="39" t="n">
        <x:v>-0.000571528</x:v>
      </x:c>
      <x:c r="AU12" s="39" t="n">
        <x:v>-0.0078677445</x:v>
      </x:c>
      <x:c r="AV12" s="39" t="n">
        <x:v>-0.0074452233</x:v>
      </x:c>
      <x:c r="AW12" s="39" t="n">
        <x:v>0.0113323803</x:v>
      </x:c>
      <x:c r="AX12" s="39" t="n">
        <x:v>0.0089875043</x:v>
      </x:c>
      <x:c r="AY12" s="39" t="n">
        <x:v>0.0068644654</x:v>
      </x:c>
      <x:c r="AZ12" s="39" t="n">
        <x:v>-0.0268231487</x:v>
      </x:c>
      <x:c r="BA12" s="39" t="n">
        <x:v>0.0182022738</x:v>
      </x:c>
      <x:c r="BB12" s="39" t="n">
        <x:v>-0.0049293575</x:v>
      </x:c>
      <x:c r="BC12" s="39" t="n">
        <x:v>0.0926285148</x:v>
      </x:c>
      <x:c r="BD12" s="39" t="n">
        <x:v>0.0297426303</x:v>
      </x:c>
      <x:c r="BE12" s="39" t="n">
        <x:v>-0.0286513877</x:v>
      </x:c>
      <x:c r="BF12" s="39" t="n">
        <x:v>0.0107650993</x:v>
      </x:c>
      <x:c r="BG12" s="39" t="n">
        <x:v>0.0222709382</x:v>
      </x:c>
      <x:c r="BH12" s="39" t="n">
        <x:v>-0.0064833238</x:v>
      </x:c>
      <x:c r="BI12" s="39" t="n">
        <x:v>-0.006239255</x:v>
      </x:c>
      <x:c r="BJ12" s="39" t="n">
        <x:v>-0.0077187121</x:v>
      </x:c>
    </x:row>
    <x:row r="13" ht="19" customHeight="1">
      <x:c r="A13" s="40" t="d">
        <x:v>2021-11-08T00:00:00.000Z</x:v>
      </x:c>
      <x:c r="B13" s="39" t="n">
        <x:v>-0.0306852181</x:v>
      </x:c>
      <x:c r="C13" s="39" t="n">
        <x:v>-0.0565170771</x:v>
      </x:c>
      <x:c r="D13" s="39" t="n">
        <x:v>-0.003694132</x:v>
      </x:c>
      <x:c r="E13" s="39" t="n">
        <x:v>-0.0142329862</x:v>
      </x:c>
      <x:c r="F13" s="39" t="n">
        <x:v>-0.052034881</x:v>
      </x:c>
      <x:c r="G13" s="39" t="n">
        <x:v>-0.0037728616</x:v>
      </x:c>
      <x:c r="H13" s="39" t="n">
        <x:v>-0.0225585736</x:v>
      </x:c>
      <x:c r="I13" s="39" t="n">
        <x:v>0.0933236674</x:v>
      </x:c>
      <x:c r="J13" s="39" t="n">
        <x:v>0.1105862841</x:v>
      </x:c>
      <x:c r="K13" s="39" t="n">
        <x:v>-0.0327841997</x:v>
      </x:c>
      <x:c r="L13" s="39" t="n">
        <x:v>0.0386019205</x:v>
      </x:c>
      <x:c r="M13" s="39" t="n">
        <x:v>-0.0364315056</x:v>
      </x:c>
      <x:c r="N13" s="39" t="n">
        <x:v>0.0000061146</x:v>
      </x:c>
      <x:c r="O13" s="39" t="n">
        <x:v>0.0078598719</x:v>
      </x:c>
      <x:c r="P13" s="39" t="n">
        <x:v>-0.0326590446</x:v>
      </x:c>
      <x:c r="Q13" s="39" t="n">
        <x:v>0.1774382221</x:v>
      </x:c>
      <x:c r="R13" s="39" t="n">
        <x:v>0.0371638638</x:v>
      </x:c>
      <x:c r="S13" s="39" t="n">
        <x:v>0.0588169876</x:v>
      </x:c>
      <x:c r="T13" s="39" t="n">
        <x:v>-0.2068902062</x:v>
      </x:c>
      <x:c r="U13" s="39" t="n">
        <x:v>-0.0839662476</x:v>
      </x:c>
      <x:c r="V13" s="39" t="n">
        <x:v>0.0536530332</x:v>
      </x:c>
      <x:c r="W13" s="39" t="n">
        <x:v>0.0339534963</x:v>
      </x:c>
      <x:c r="X13" s="39" t="n">
        <x:v>0.0606243441</x:v>
      </x:c>
      <x:c r="Y13" s="39" t="n">
        <x:v>0.0363570697</x:v>
      </x:c>
      <x:c r="Z13" s="39" t="n">
        <x:v>0.0259942031</x:v>
      </x:c>
      <x:c r="AA13" s="39" t="n">
        <x:v>-0.1453099599</x:v>
      </x:c>
      <x:c r="AB13" s="39" t="n">
        <x:v>-0.2563019774</x:v>
      </x:c>
      <x:c r="AC13" s="39" t="n">
        <x:v>0.0091267985</x:v>
      </x:c>
      <x:c r="AD13" s="39" t="n">
        <x:v>0.134969741</x:v>
      </x:c>
      <x:c r="AE13" s="39" t="n">
        <x:v>-0.0756906809</x:v>
      </x:c>
      <x:c r="AF13" s="39" t="n">
        <x:v>0.0182735229</x:v>
      </x:c>
      <x:c r="AG13" s="39" t="n">
        <x:v>-0.0420034595</x:v>
      </x:c>
      <x:c r="AH13" s="39" t="n">
        <x:v>0.1307541589</x:v>
      </x:c>
      <x:c r="AI13" s="39" t="n">
        <x:v>0.0083502517</x:v>
      </x:c>
      <x:c r="AJ13" s="39" t="n">
        <x:v>0.0009794532</x:v>
      </x:c>
      <x:c r="AK13" s="39" t="n">
        <x:v>-0.0584556395</x:v>
      </x:c>
      <x:c r="AL13" s="39" t="n">
        <x:v>0.0291621689</x:v>
      </x:c>
      <x:c r="AM13" s="39" t="n">
        <x:v>0.0460544227</x:v>
      </x:c>
      <x:c r="AN13" s="39" t="n">
        <x:v>0.0619064587</x:v>
      </x:c>
      <x:c r="AO13" s="39" t="n">
        <x:v>0.0240537812</x:v>
      </x:c>
      <x:c r="AP13" s="39" t="n">
        <x:v>0.0287701826</x:v>
      </x:c>
      <x:c r="AQ13" s="39" t="n">
        <x:v>-0.0036208143</x:v>
      </x:c>
      <x:c r="AR13" s="39" t="n">
        <x:v>-0.0007342504</x:v>
      </x:c>
      <x:c r="AS13" s="39" t="n">
        <x:v>-0.0061530254</x:v>
      </x:c>
      <x:c r="AT13" s="39" t="n">
        <x:v>-0.0021295648</x:v>
      </x:c>
      <x:c r="AU13" s="39" t="n">
        <x:v>-0.0089791492</x:v>
      </x:c>
      <x:c r="AV13" s="39" t="n">
        <x:v>-0.0093062377</x:v>
      </x:c>
      <x:c r="AW13" s="39" t="n">
        <x:v>-0.0114459554</x:v>
      </x:c>
      <x:c r="AX13" s="39" t="n">
        <x:v>0.0019806907</x:v>
      </x:c>
      <x:c r="AY13" s="39" t="n">
        <x:v>0.0323921895</x:v>
      </x:c>
      <x:c r="AZ13" s="39" t="n">
        <x:v>-0.0203338981</x:v>
      </x:c>
      <x:c r="BA13" s="39" t="n">
        <x:v>0.0212555599</x:v>
      </x:c>
      <x:c r="BB13" s="39" t="n">
        <x:v>0.0052989404</x:v>
      </x:c>
      <x:c r="BC13" s="39" t="n">
        <x:v>-0.0106161769</x:v>
      </x:c>
      <x:c r="BD13" s="39" t="n">
        <x:v>-0.0166564906</x:v>
      </x:c>
      <x:c r="BE13" s="39" t="n">
        <x:v>0.0144570134</x:v>
      </x:c>
      <x:c r="BF13" s="39" t="n">
        <x:v>-0.004418288</x:v>
      </x:c>
      <x:c r="BG13" s="39" t="n">
        <x:v>0.0238380313</x:v>
      </x:c>
      <x:c r="BH13" s="39" t="n">
        <x:v>0.007194635</x:v>
      </x:c>
      <x:c r="BI13" s="39" t="n">
        <x:v>0.0021993395</x:v>
      </x:c>
      <x:c r="BJ13" s="39" t="n">
        <x:v>-0.0056298621</x:v>
      </x:c>
    </x:row>
    <x:row r="14" ht="19" customHeight="1">
      <x:c r="A14" s="40" t="d">
        <x:v>2021-12-06T00:00:00.000Z</x:v>
      </x:c>
      <x:c r="B14" s="39" t="n">
        <x:v>0.011797629</x:v>
      </x:c>
      <x:c r="C14" s="39" t="n">
        <x:v>-0.0351598922</x:v>
      </x:c>
      <x:c r="D14" s="39" t="n">
        <x:v>-0.0100285443</x:v>
      </x:c>
      <x:c r="E14" s="39" t="n">
        <x:v>0.0068681158</x:v>
      </x:c>
      <x:c r="F14" s="39" t="n">
        <x:v>0.0231097251</x:v>
      </x:c>
      <x:c r="G14" s="39" t="n">
        <x:v>-0.0486092315</x:v>
      </x:c>
      <x:c r="H14" s="39" t="n">
        <x:v>-0.0320126328</x:v>
      </x:c>
      <x:c r="I14" s="39" t="n">
        <x:v>-0.0375237084</x:v>
      </x:c>
      <x:c r="J14" s="39" t="n">
        <x:v>-0.0870101446</x:v>
      </x:c>
      <x:c r="K14" s="39" t="n">
        <x:v>-0.0481035535</x:v>
      </x:c>
      <x:c r="L14" s="39" t="n">
        <x:v>-0.0368528178</x:v>
      </x:c>
      <x:c r="M14" s="39" t="n">
        <x:v>0.0623841628</x:v>
      </x:c>
      <x:c r="N14" s="39" t="n">
        <x:v>-0.0137440725</x:v>
      </x:c>
      <x:c r="O14" s="39" t="n">
        <x:v>-0.0764477659</x:v>
      </x:c>
      <x:c r="P14" s="39" t="n">
        <x:v>-0.0766344245</x:v>
      </x:c>
      <x:c r="Q14" s="39" t="n">
        <x:v>-0.3241731172</x:v>
      </x:c>
      <x:c r="R14" s="39" t="n">
        <x:v>0.0067700884</x:v>
      </x:c>
      <x:c r="S14" s="39" t="n">
        <x:v>-0.2761971683</x:v>
      </x:c>
      <x:c r="T14" s="39" t="n">
        <x:v>0.1096502021</x:v>
      </x:c>
      <x:c r="U14" s="39" t="n">
        <x:v>-0.1249833024</x:v>
      </x:c>
      <x:c r="V14" s="39" t="n">
        <x:v>-0.0587759814</x:v>
      </x:c>
      <x:c r="W14" s="39" t="n">
        <x:v>-0.0003317122</x:v>
      </x:c>
      <x:c r="X14" s="39" t="n">
        <x:v>0.0039204656</x:v>
      </x:c>
      <x:c r="Y14" s="39" t="n">
        <x:v>0.0078558866</x:v>
      </x:c>
      <x:c r="Z14" s="39" t="n">
        <x:v>-0.0094537474</x:v>
      </x:c>
      <x:c r="AA14" s="39" t="n">
        <x:v>-0.1474534112</x:v>
      </x:c>
      <x:c r="AB14" s="39" t="n">
        <x:v>-0.2731590106</x:v>
      </x:c>
      <x:c r="AC14" s="39" t="n">
        <x:v>0.038119575</x:v>
      </x:c>
      <x:c r="AD14" s="39" t="n">
        <x:v>0.0867849989</x:v>
      </x:c>
      <x:c r="AE14" s="39" t="n">
        <x:v>-0.0163987109</x:v>
      </x:c>
      <x:c r="AF14" s="39" t="n">
        <x:v>-0.0274835206</x:v>
      </x:c>
      <x:c r="AG14" s="39" t="n">
        <x:v>0.004137715</x:v>
      </x:c>
      <x:c r="AH14" s="39" t="n">
        <x:v>-0.1103176071</x:v>
      </x:c>
      <x:c r="AI14" s="39" t="n">
        <x:v>-0.082917197</x:v>
      </x:c>
      <x:c r="AJ14" s="39" t="n">
        <x:v>-0.0293402484</x:v>
      </x:c>
      <x:c r="AK14" s="39" t="n">
        <x:v>0.0054661493</x:v>
      </x:c>
      <x:c r="AL14" s="39" t="n">
        <x:v>-0.0069460368</x:v>
      </x:c>
      <x:c r="AM14" s="39" t="n">
        <x:v>0.0199729918</x:v>
      </x:c>
      <x:c r="AN14" s="39" t="n">
        <x:v>0.0369822661</x:v>
      </x:c>
      <x:c r="AO14" s="39" t="n">
        <x:v>0.098747562</x:v>
      </x:c>
      <x:c r="AP14" s="39" t="n">
        <x:v>-0.0201488974</x:v>
      </x:c>
      <x:c r="AQ14" s="39" t="n">
        <x:v>-0.0019428482</x:v>
      </x:c>
      <x:c r="AR14" s="39" t="n">
        <x:v>0.0154663777</x:v>
      </x:c>
      <x:c r="AS14" s="39" t="n">
        <x:v>-0.0123702181</x:v>
      </x:c>
      <x:c r="AT14" s="39" t="n">
        <x:v>-0.0059774548</x:v>
      </x:c>
      <x:c r="AU14" s="39" t="n">
        <x:v>-0.0077217079</x:v>
      </x:c>
      <x:c r="AV14" s="39" t="n">
        <x:v>-0.0078315889</x:v>
      </x:c>
      <x:c r="AW14" s="39" t="n">
        <x:v>-0.0114323968</x:v>
      </x:c>
      <x:c r="AX14" s="39" t="n">
        <x:v>-0.0172166316</x:v>
      </x:c>
      <x:c r="AY14" s="39" t="n">
        <x:v>0.0051846948</x:v>
      </x:c>
      <x:c r="AZ14" s="39" t="n">
        <x:v>-0.0431351329</x:v>
      </x:c>
      <x:c r="BA14" s="39" t="n">
        <x:v>0.0053809662</x:v>
      </x:c>
      <x:c r="BB14" s="39" t="n">
        <x:v>0.0096582534</x:v>
      </x:c>
      <x:c r="BC14" s="39" t="n">
        <x:v>-0.0222335959</x:v>
      </x:c>
      <x:c r="BD14" s="39" t="n">
        <x:v>-0.0254429542</x:v>
      </x:c>
      <x:c r="BE14" s="39" t="n">
        <x:v>0.0000020555</x:v>
      </x:c>
      <x:c r="BF14" s="39" t="n">
        <x:v>-0.017369071</x:v>
      </x:c>
      <x:c r="BG14" s="39" t="n">
        <x:v>-0.0167854792</x:v>
      </x:c>
      <x:c r="BH14" s="39" t="n">
        <x:v>0.0150153993</x:v>
      </x:c>
      <x:c r="BI14" s="39" t="n">
        <x:v>0.0241430222</x:v>
      </x:c>
      <x:c r="BJ14" s="39" t="n">
        <x:v>0.0210540453</x:v>
      </x:c>
    </x:row>
    <x:row r="15" ht="19" customHeight="1">
      <x:c r="A15" s="40" t="d">
        <x:v>2022-01-03T00:00:00.000Z</x:v>
      </x:c>
      <x:c r="B15" s="39" t="n">
        <x:v>0.0398235213</x:v>
      </x:c>
      <x:c r="C15" s="39" t="n">
        <x:v>-0.0888260413</x:v>
      </x:c>
      <x:c r="D15" s="39" t="n">
        <x:v>0.0298770656</x:v>
      </x:c>
      <x:c r="E15" s="39" t="n">
        <x:v>0.00519215</x:v>
      </x:c>
      <x:c r="F15" s="39" t="n">
        <x:v>0.0182756683</x:v>
      </x:c>
      <x:c r="G15" s="39" t="n">
        <x:v>-0.0272594784</x:v>
      </x:c>
      <x:c r="H15" s="39" t="n">
        <x:v>-0.0044200374</x:v>
      </x:c>
      <x:c r="I15" s="39" t="n">
        <x:v>0.0036524848</x:v>
      </x:c>
      <x:c r="J15" s="39" t="n">
        <x:v>0.0793371448</x:v>
      </x:c>
      <x:c r="K15" s="39" t="n">
        <x:v>0.0200379451</x:v>
      </x:c>
      <x:c r="L15" s="39" t="n">
        <x:v>0.0253532259</x:v>
      </x:c>
      <x:c r="M15" s="39" t="n">
        <x:v>-0.0414437806</x:v>
      </x:c>
      <x:c r="N15" s="39" t="n">
        <x:v>-0.0678237257</x:v>
      </x:c>
      <x:c r="O15" s="39" t="n">
        <x:v>0.1252675907</x:v>
      </x:c>
      <x:c r="P15" s="39" t="n">
        <x:v>-0.1359695634</x:v>
      </x:c>
      <x:c r="Q15" s="39" t="n">
        <x:v>-0.0818335045</x:v>
      </x:c>
      <x:c r="R15" s="39" t="n">
        <x:v>-0.0264863129</x:v>
      </x:c>
      <x:c r="S15" s="39" t="n">
        <x:v>-0.1682567015</x:v>
      </x:c>
      <x:c r="T15" s="39" t="n">
        <x:v>-0.1294090122</x:v>
      </x:c>
      <x:c r="U15" s="39" t="n">
        <x:v>0.0009182265</x:v>
      </x:c>
      <x:c r="V15" s="39" t="n">
        <x:v>-0.0692734946</x:v>
      </x:c>
      <x:c r="W15" s="39" t="n">
        <x:v>0.0027712408</x:v>
      </x:c>
      <x:c r="X15" s="39" t="n">
        <x:v>0.1142188151</x:v>
      </x:c>
      <x:c r="Y15" s="39" t="n">
        <x:v>0.0140111047</x:v>
      </x:c>
      <x:c r="Z15" s="39" t="n">
        <x:v>0.0581107217</x:v>
      </x:c>
      <x:c r="AA15" s="39" t="n">
        <x:v>-0.1093732001</x:v>
      </x:c>
      <x:c r="AB15" s="39" t="n">
        <x:v>-0.2484851485</x:v>
      </x:c>
      <x:c r="AC15" s="39" t="n">
        <x:v>0.0070677486</x:v>
      </x:c>
      <x:c r="AD15" s="39" t="n">
        <x:v>0.0978814661</x:v>
      </x:c>
      <x:c r="AE15" s="39" t="n">
        <x:v>0.0713292756</x:v>
      </x:c>
      <x:c r="AF15" s="39" t="n">
        <x:v>0.0494454211</x:v>
      </x:c>
      <x:c r="AG15" s="39" t="n">
        <x:v>-0.0004491481</x:v>
      </x:c>
      <x:c r="AH15" s="39" t="n">
        <x:v>0.0513311303</x:v>
      </x:c>
      <x:c r="AI15" s="39" t="n">
        <x:v>0.0449949862</x:v>
      </x:c>
      <x:c r="AJ15" s="39" t="n">
        <x:v>0.0015061222</x:v>
      </x:c>
      <x:c r="AK15" s="39" t="n">
        <x:v>0.0365342654</x:v>
      </x:c>
      <x:c r="AL15" s="39" t="n">
        <x:v>-0.0313277321</x:v>
      </x:c>
      <x:c r="AM15" s="39" t="n">
        <x:v>-0.0348331687</x:v>
      </x:c>
      <x:c r="AN15" s="39" t="n">
        <x:v>-0.0386565755</x:v>
      </x:c>
      <x:c r="AO15" s="39" t="n">
        <x:v>-0.0334391147</x:v>
      </x:c>
      <x:c r="AP15" s="39" t="n">
        <x:v>0.0099726369</x:v>
      </x:c>
      <x:c r="AQ15" s="39" t="n">
        <x:v>0.00860258</x:v>
      </x:c>
      <x:c r="AR15" s="39" t="n">
        <x:v>0.0450939757</x:v>
      </x:c>
      <x:c r="AS15" s="39" t="n">
        <x:v>0.0172576224</x:v>
      </x:c>
      <x:c r="AT15" s="39" t="n">
        <x:v>0.0046704405</x:v>
      </x:c>
      <x:c r="AU15" s="39" t="n">
        <x:v>0.0023512168</x:v>
      </x:c>
      <x:c r="AV15" s="39" t="n">
        <x:v>0.0029176747</x:v>
      </x:c>
      <x:c r="AW15" s="39" t="n">
        <x:v>0.000930662</x:v>
      </x:c>
      <x:c r="AX15" s="39" t="n">
        <x:v>0.0006342883</x:v>
      </x:c>
      <x:c r="AY15" s="39" t="n">
        <x:v>-0.0045629136</x:v>
      </x:c>
      <x:c r="AZ15" s="39" t="n">
        <x:v>0.0051513207</x:v>
      </x:c>
      <x:c r="BA15" s="39" t="n">
        <x:v>-0.0055583265</x:v>
      </x:c>
      <x:c r="BB15" s="39" t="n">
        <x:v>0.0358804767</x:v>
      </x:c>
      <x:c r="BC15" s="39" t="n">
        <x:v>0.0380041114</x:v>
      </x:c>
      <x:c r="BD15" s="39" t="n">
        <x:v>0.0427994655</x:v>
      </x:c>
      <x:c r="BE15" s="39" t="n">
        <x:v>0.0019186705</x:v>
      </x:c>
      <x:c r="BF15" s="39" t="n">
        <x:v>0.0116836099</x:v>
      </x:c>
      <x:c r="BG15" s="39" t="n">
        <x:v>0.0163775108</x:v>
      </x:c>
      <x:c r="BH15" s="39" t="n">
        <x:v>0.0159231692</x:v>
      </x:c>
      <x:c r="BI15" s="39" t="n">
        <x:v>-0.0286397103</x:v>
      </x:c>
      <x:c r="BJ15" s="39" t="n">
        <x:v>0.0175921273</x:v>
      </x:c>
    </x:row>
    <x:row r="16" ht="19" customHeight="1">
      <x:c r="A16" s="40" t="d">
        <x:v>2022-01-31T00:00:00.000Z</x:v>
      </x:c>
      <x:c r="B16" s="39" t="n">
        <x:v>-0.0037269556</x:v>
      </x:c>
      <x:c r="C16" s="39" t="n">
        <x:v>-0.0077944428</x:v>
      </x:c>
      <x:c r="D16" s="39" t="n">
        <x:v>-0.0073753463</x:v>
      </x:c>
      <x:c r="E16" s="39" t="n">
        <x:v>0.0023085102</x:v>
      </x:c>
      <x:c r="F16" s="39" t="n">
        <x:v>-0.0173134805</x:v>
      </x:c>
      <x:c r="G16" s="39" t="n">
        <x:v>0.005138204</x:v>
      </x:c>
      <x:c r="H16" s="39" t="n">
        <x:v>0.0287615397</x:v>
      </x:c>
      <x:c r="I16" s="39" t="n">
        <x:v>-0.0825342333</x:v>
      </x:c>
      <x:c r="J16" s="39" t="n">
        <x:v>-0.0530712579</x:v>
      </x:c>
      <x:c r="K16" s="39" t="n">
        <x:v>-0.0448272214</x:v>
      </x:c>
      <x:c r="L16" s="39" t="n">
        <x:v>0.0017531548</x:v>
      </x:c>
      <x:c r="M16" s="39" t="n">
        <x:v>0.0076123849</x:v>
      </x:c>
      <x:c r="N16" s="39" t="n">
        <x:v>-0.0324654164</x:v>
      </x:c>
      <x:c r="O16" s="39" t="n">
        <x:v>-0.1397228271</x:v>
      </x:c>
      <x:c r="P16" s="39" t="n">
        <x:v>0.0277735924</x:v>
      </x:c>
      <x:c r="Q16" s="39" t="n">
        <x:v>-0.192050431</x:v>
      </x:c>
      <x:c r="R16" s="39" t="n">
        <x:v>0.0482123999</x:v>
      </x:c>
      <x:c r="S16" s="39" t="n">
        <x:v>-0.0052362462</x:v>
      </x:c>
      <x:c r="T16" s="39" t="n">
        <x:v>-0.1798821722</x:v>
      </x:c>
      <x:c r="U16" s="39" t="n">
        <x:v>0.0549797126</x:v>
      </x:c>
      <x:c r="V16" s="39" t="n">
        <x:v>-0.1398204822</x:v>
      </x:c>
      <x:c r="W16" s="39" t="n">
        <x:v>0.0159372717</x:v>
      </x:c>
      <x:c r="X16" s="39" t="n">
        <x:v>-0.1424784042</x:v>
      </x:c>
      <x:c r="Y16" s="39" t="n">
        <x:v>0.0277037149</x:v>
      </x:c>
      <x:c r="Z16" s="39" t="n">
        <x:v>-0.0008999083</x:v>
      </x:c>
      <x:c r="AA16" s="39" t="n">
        <x:v>-0.1308822571</x:v>
      </x:c>
      <x:c r="AB16" s="39" t="n">
        <x:v>-0.012525101</x:v>
      </x:c>
      <x:c r="AC16" s="39" t="n">
        <x:v>0.026458641</x:v>
      </x:c>
      <x:c r="AD16" s="39" t="n">
        <x:v>-0.1781239244</x:v>
      </x:c>
      <x:c r="AE16" s="39" t="n">
        <x:v>-0.0546720824</x:v>
      </x:c>
      <x:c r="AF16" s="39" t="n">
        <x:v>0.0271129293</x:v>
      </x:c>
      <x:c r="AG16" s="39" t="n">
        <x:v>-0.037816492</x:v>
      </x:c>
      <x:c r="AH16" s="39" t="n">
        <x:v>-0.0219924091</x:v>
      </x:c>
      <x:c r="AI16" s="39" t="n">
        <x:v>-0.0665696935</x:v>
      </x:c>
      <x:c r="AJ16" s="39" t="n">
        <x:v>-0.0595217762</x:v>
      </x:c>
      <x:c r="AK16" s="39" t="n">
        <x:v>-0.0706055546</x:v>
      </x:c>
      <x:c r="AL16" s="39" t="n">
        <x:v>0.0060826924</x:v>
      </x:c>
      <x:c r="AM16" s="39" t="n">
        <x:v>0.0433101519</x:v>
      </x:c>
      <x:c r="AN16" s="39" t="n">
        <x:v>-0.0013014863</x:v>
      </x:c>
      <x:c r="AO16" s="39" t="n">
        <x:v>-0.010078226</x:v>
      </x:c>
      <x:c r="AP16" s="39" t="n">
        <x:v>-0.012771005</x:v>
      </x:c>
      <x:c r="AQ16" s="39" t="n">
        <x:v>-0.0208800902</x:v>
      </x:c>
      <x:c r="AR16" s="39" t="n">
        <x:v>-0.0112476704</x:v>
      </x:c>
      <x:c r="AS16" s="39" t="n">
        <x:v>-0.0104297469</x:v>
      </x:c>
      <x:c r="AT16" s="39" t="n">
        <x:v>0.0048805813</x:v>
      </x:c>
      <x:c r="AU16" s="39" t="n">
        <x:v>0.0052030717</x:v>
      </x:c>
      <x:c r="AV16" s="39" t="n">
        <x:v>0.0055090039</x:v>
      </x:c>
      <x:c r="AW16" s="39" t="n">
        <x:v>-0.0038637554</x:v>
      </x:c>
      <x:c r="AX16" s="39" t="n">
        <x:v>0.0020180531</x:v>
      </x:c>
      <x:c r="AY16" s="39" t="n">
        <x:v>-0.0274081986</x:v>
      </x:c>
      <x:c r="AZ16" s="39" t="n">
        <x:v>-0.024231248</x:v>
      </x:c>
      <x:c r="BA16" s="39" t="n">
        <x:v>-0.017019641</x:v>
      </x:c>
      <x:c r="BB16" s="39" t="n">
        <x:v>-0.004397012</x:v>
      </x:c>
      <x:c r="BC16" s="39" t="n">
        <x:v>0.05911436</x:v>
      </x:c>
      <x:c r="BD16" s="39" t="n">
        <x:v>0.0011380642</x:v>
      </x:c>
      <x:c r="BE16" s="39" t="n">
        <x:v>-0.0002983968</x:v>
      </x:c>
      <x:c r="BF16" s="39" t="n">
        <x:v>-0.0232727283</x:v>
      </x:c>
      <x:c r="BG16" s="39" t="n">
        <x:v>-0.0295115024</x:v>
      </x:c>
      <x:c r="BH16" s="39" t="n">
        <x:v>-0.0111127391</x:v>
      </x:c>
      <x:c r="BI16" s="39" t="n">
        <x:v>0.0126476052</x:v>
      </x:c>
      <x:c r="BJ16" s="39" t="n">
        <x:v>-0.0115960282</x:v>
      </x:c>
    </x:row>
    <x:row r="17" ht="19" customHeight="1">
      <x:c r="A17" s="40" t="d">
        <x:v>2022-02-28T00:00:00.000Z</x:v>
      </x:c>
      <x:c r="B17" s="39" t="n">
        <x:v>0.0245314895</x:v>
      </x:c>
      <x:c r="C17" s="39" t="n">
        <x:v>0.108328905</x:v>
      </x:c>
      <x:c r="D17" s="39" t="n">
        <x:v>0.0051193552</x:v>
      </x:c>
      <x:c r="E17" s="39" t="n">
        <x:v>-0.017019693</x:v>
      </x:c>
      <x:c r="F17" s="39" t="n">
        <x:v>0.0511133331</x:v>
      </x:c>
      <x:c r="G17" s="39" t="n">
        <x:v>0.0016317706</x:v>
      </x:c>
      <x:c r="H17" s="39" t="n">
        <x:v>0.0274957105</x:v>
      </x:c>
      <x:c r="I17" s="39" t="n">
        <x:v>-0.0502066406</x:v>
      </x:c>
      <x:c r="J17" s="39" t="n">
        <x:v>0.0189025775</x:v>
      </x:c>
      <x:c r="K17" s="39" t="n">
        <x:v>-0.0848442082</x:v>
      </x:c>
      <x:c r="L17" s="39" t="n">
        <x:v>0.0727420641</x:v>
      </x:c>
      <x:c r="M17" s="39" t="n">
        <x:v>0.1387123509</x:v>
      </x:c>
      <x:c r="N17" s="39" t="n">
        <x:v>0.0292865588</x:v>
      </x:c>
      <x:c r="O17" s="39" t="n">
        <x:v>-0.0730696169</x:v>
      </x:c>
      <x:c r="P17" s="39" t="n">
        <x:v>-0.0879536579</x:v>
      </x:c>
      <x:c r="Q17" s="39" t="n">
        <x:v>-0.0577479853</x:v>
      </x:c>
      <x:c r="R17" s="39" t="n">
        <x:v>-0.0528442584</x:v>
      </x:c>
      <x:c r="S17" s="39" t="n">
        <x:v>0.0231499852</x:v>
      </x:c>
      <x:c r="T17" s="39" t="n">
        <x:v>-0.1927937523</x:v>
      </x:c>
      <x:c r="U17" s="39" t="n">
        <x:v>-0.0311760701</x:v>
      </x:c>
      <x:c r="V17" s="39" t="n">
        <x:v>-0.04604049</x:v>
      </x:c>
      <x:c r="W17" s="39" t="n">
        <x:v>-0.045373894</x:v>
      </x:c>
      <x:c r="X17" s="39" t="n">
        <x:v>-0.0298068431</x:v>
      </x:c>
      <x:c r="Y17" s="39" t="n">
        <x:v>0.0366245765</x:v>
      </x:c>
      <x:c r="Z17" s="39" t="n">
        <x:v>-0.0014191614</x:v>
      </x:c>
      <x:c r="AA17" s="39" t="n">
        <x:v>0.01564751</x:v>
      </x:c>
      <x:c r="AB17" s="39" t="n">
        <x:v>0.3889494552</x:v>
      </x:c>
      <x:c r="AC17" s="39" t="n">
        <x:v>-0.0414264261</x:v>
      </x:c>
      <x:c r="AD17" s="39" t="n">
        <x:v>-0.0626187095</x:v>
      </x:c>
      <x:c r="AE17" s="39" t="n">
        <x:v>0.031643155</x:v>
      </x:c>
      <x:c r="AF17" s="39" t="n">
        <x:v>-0.1160118838</x:v>
      </x:c>
      <x:c r="AG17" s="39" t="n">
        <x:v>0.0512777386</x:v>
      </x:c>
      <x:c r="AH17" s="39" t="n">
        <x:v>-0.0647063786</x:v>
      </x:c>
      <x:c r="AI17" s="39" t="n">
        <x:v>0.0427091431</x:v>
      </x:c>
      <x:c r="AJ17" s="39" t="n">
        <x:v>0.008103248</x:v>
      </x:c>
      <x:c r="AK17" s="39" t="n">
        <x:v>-0.0996977698</x:v>
      </x:c>
      <x:c r="AL17" s="39" t="n">
        <x:v>0.0213495558</x:v>
      </x:c>
      <x:c r="AM17" s="39" t="n">
        <x:v>-0.0073612803</x:v>
      </x:c>
      <x:c r="AN17" s="39" t="n">
        <x:v>-0.0169668153</x:v>
      </x:c>
      <x:c r="AO17" s="39" t="n">
        <x:v>-0.0763624534</x:v>
      </x:c>
      <x:c r="AP17" s="39" t="n">
        <x:v>-0.0262685315</x:v>
      </x:c>
      <x:c r="AQ17" s="39" t="n">
        <x:v>-0.04847579</x:v>
      </x:c>
      <x:c r="AR17" s="39" t="n">
        <x:v>0.0201682026</x:v>
      </x:c>
      <x:c r="AS17" s="39" t="n">
        <x:v>-0.0093661451</x:v>
      </x:c>
      <x:c r="AT17" s="39" t="n">
        <x:v>-0.0055487534</x:v>
      </x:c>
      <x:c r="AU17" s="39" t="n">
        <x:v>-0.0331280601</x:v>
      </x:c>
      <x:c r="AV17" s="39" t="n">
        <x:v>-0.0326120095</x:v>
      </x:c>
      <x:c r="AW17" s="39" t="n">
        <x:v>0.022963488</x:v>
      </x:c>
      <x:c r="AX17" s="39" t="n">
        <x:v>0.0018556833</x:v>
      </x:c>
      <x:c r="AY17" s="39" t="n">
        <x:v>-0.0274400464</x:v>
      </x:c>
      <x:c r="AZ17" s="39" t="n">
        <x:v>-0.0224361764</x:v>
      </x:c>
      <x:c r="BA17" s="39" t="n">
        <x:v>-0.0129139502</x:v>
      </x:c>
      <x:c r="BB17" s="39" t="n">
        <x:v>0.0098107801</x:v>
      </x:c>
      <x:c r="BC17" s="39" t="n">
        <x:v>0.0395873856</x:v>
      </x:c>
      <x:c r="BD17" s="39" t="n">
        <x:v>-0.0341434448</x:v>
      </x:c>
      <x:c r="BE17" s="39" t="n">
        <x:v>0.0120139249</x:v>
      </x:c>
      <x:c r="BF17" s="39" t="n">
        <x:v>0.023329477</x:v>
      </x:c>
      <x:c r="BG17" s="39" t="n">
        <x:v>0.0216785582</x:v>
      </x:c>
      <x:c r="BH17" s="39" t="n">
        <x:v>0.0273694126</x:v>
      </x:c>
      <x:c r="BI17" s="39" t="n">
        <x:v>-0.0058396634</x:v>
      </x:c>
      <x:c r="BJ17" s="39" t="n">
        <x:v>0.0337360614</x:v>
      </x:c>
    </x:row>
    <x:row r="18" ht="19" customHeight="1">
      <x:c r="A18" s="40" t="d">
        <x:v>2022-03-28T00:00:00.000Z</x:v>
      </x:c>
      <x:c r="B18" s="39" t="n">
        <x:v>-0.0299259662</x:v>
      </x:c>
      <x:c r="C18" s="39" t="n">
        <x:v>0.0549291185</x:v>
      </x:c>
      <x:c r="D18" s="39" t="n">
        <x:v>-0.0257702228</x:v>
      </x:c>
      <x:c r="E18" s="39" t="n">
        <x:v>-0.0055154086</x:v>
      </x:c>
      <x:c r="F18" s="39" t="n">
        <x:v>-0.0444531996</x:v>
      </x:c>
      <x:c r="G18" s="39" t="n">
        <x:v>0.0373519714</x:v>
      </x:c>
      <x:c r="H18" s="39" t="n">
        <x:v>0.0354089746</x:v>
      </x:c>
      <x:c r="I18" s="39" t="n">
        <x:v>-0.0283597519</x:v>
      </x:c>
      <x:c r="J18" s="39" t="n">
        <x:v>-0.1765974578</x:v>
      </x:c>
      <x:c r="K18" s="39" t="n">
        <x:v>0.0798409257</x:v>
      </x:c>
      <x:c r="L18" s="39" t="n">
        <x:v>0.0213542156</x:v>
      </x:c>
      <x:c r="M18" s="39" t="n">
        <x:v>0.0240856431</x:v>
      </x:c>
      <x:c r="N18" s="39" t="n">
        <x:v>0.0772514905</x:v>
      </x:c>
      <x:c r="O18" s="39" t="n">
        <x:v>-0.0776747034</x:v>
      </x:c>
      <x:c r="P18" s="39" t="n">
        <x:v>0.0485655723</x:v>
      </x:c>
      <x:c r="Q18" s="39" t="n">
        <x:v>0.06298553</x:v>
      </x:c>
      <x:c r="R18" s="39" t="n">
        <x:v>-0.0266288419</x:v>
      </x:c>
      <x:c r="S18" s="39" t="n">
        <x:v>0.045995255</x:v>
      </x:c>
      <x:c r="T18" s="39" t="n">
        <x:v>0.1529454326</x:v>
      </x:c>
      <x:c r="U18" s="39" t="n">
        <x:v>-0.0307125781</x:v>
      </x:c>
      <x:c r="V18" s="39" t="n">
        <x:v>-0.0210542586</x:v>
      </x:c>
      <x:c r="W18" s="39" t="n">
        <x:v>-0.009590961</x:v>
      </x:c>
      <x:c r="X18" s="39" t="n">
        <x:v>-0.1112572887</x:v>
      </x:c>
      <x:c r="Y18" s="39" t="n">
        <x:v>0.0161295372</x:v>
      </x:c>
      <x:c r="Z18" s="39" t="n">
        <x:v>0.0437202563</x:v>
      </x:c>
      <x:c r="AA18" s="39" t="n">
        <x:v>0.0305178249</x:v>
      </x:c>
      <x:c r="AB18" s="39" t="n">
        <x:v>-0.1341130772</x:v>
      </x:c>
      <x:c r="AC18" s="39" t="n">
        <x:v>-0.0136000402</x:v>
      </x:c>
      <x:c r="AD18" s="39" t="n">
        <x:v>-0.0770871683</x:v>
      </x:c>
      <x:c r="AE18" s="39" t="n">
        <x:v>-0.0309429034</x:v>
      </x:c>
      <x:c r="AF18" s="39" t="n">
        <x:v>0.0058085735</x:v>
      </x:c>
      <x:c r="AG18" s="39" t="n">
        <x:v>-0.0613041391</x:v>
      </x:c>
      <x:c r="AH18" s="39" t="n">
        <x:v>-0.0797687751</x:v>
      </x:c>
      <x:c r="AI18" s="39" t="n">
        <x:v>0.032902595</x:v>
      </x:c>
      <x:c r="AJ18" s="39" t="n">
        <x:v>0.027379081</x:v>
      </x:c>
      <x:c r="AK18" s="39" t="n">
        <x:v>0.0746444574</x:v>
      </x:c>
      <x:c r="AL18" s="39" t="n">
        <x:v>-0.002829141</x:v>
      </x:c>
      <x:c r="AM18" s="39" t="n">
        <x:v>0.0210438619</x:v>
      </x:c>
      <x:c r="AN18" s="39" t="n">
        <x:v>0.0224529563</x:v>
      </x:c>
      <x:c r="AO18" s="39" t="n">
        <x:v>-0.0828526955</x:v>
      </x:c>
      <x:c r="AP18" s="39" t="n">
        <x:v>0.0038023002</x:v>
      </x:c>
      <x:c r="AQ18" s="39" t="n">
        <x:v>0.0072523411</x:v>
      </x:c>
      <x:c r="AR18" s="39" t="n">
        <x:v>0.034422235</x:v>
      </x:c>
      <x:c r="AS18" s="39" t="n">
        <x:v>0.0397613351</x:v>
      </x:c>
      <x:c r="AT18" s="39" t="n">
        <x:v>-0.0003444792</x:v>
      </x:c>
      <x:c r="AU18" s="39" t="n">
        <x:v>0.0078227158</x:v>
      </x:c>
      <x:c r="AV18" s="39" t="n">
        <x:v>0.0066389084</x:v>
      </x:c>
      <x:c r="AW18" s="39" t="n">
        <x:v>0.0128598901</x:v>
      </x:c>
      <x:c r="AX18" s="39" t="n">
        <x:v>0.0092463469</x:v>
      </x:c>
      <x:c r="AY18" s="39" t="n">
        <x:v>0.0370698697</x:v>
      </x:c>
      <x:c r="AZ18" s="39" t="n">
        <x:v>0.0000153839</x:v>
      </x:c>
      <x:c r="BA18" s="39" t="n">
        <x:v>0.0215326868</x:v>
      </x:c>
      <x:c r="BB18" s="39" t="n">
        <x:v>-0.0051867934</x:v>
      </x:c>
      <x:c r="BC18" s="39" t="n">
        <x:v>0.0125071484</x:v>
      </x:c>
      <x:c r="BD18" s="39" t="n">
        <x:v>-0.0091510615</x:v>
      </x:c>
      <x:c r="BE18" s="39" t="n">
        <x:v>0.0142262368</x:v>
      </x:c>
      <x:c r="BF18" s="39" t="n">
        <x:v>-0.0193448392</x:v>
      </x:c>
      <x:c r="BG18" s="39" t="n">
        <x:v>0.0277347</x:v>
      </x:c>
      <x:c r="BH18" s="39" t="n">
        <x:v>0.0187564346</x:v>
      </x:c>
      <x:c r="BI18" s="39" t="n">
        <x:v>-0.0101006739</x:v>
      </x:c>
      <x:c r="BJ18" s="39" t="n">
        <x:v>0.0339972296</x:v>
      </x:c>
    </x:row>
    <x:row r="19" ht="19" customHeight="1">
      <x:c r="A19" s="40" t="d">
        <x:v>2022-04-25T00:00:00.000Z</x:v>
      </x:c>
      <x:c r="B19" s="39" t="n">
        <x:v>0.11283679</x:v>
      </x:c>
      <x:c r="C19" s="39" t="n">
        <x:v>-0.068932705</x:v>
      </x:c>
      <x:c r="D19" s="39" t="n">
        <x:v>0.0296630158</x:v>
      </x:c>
      <x:c r="E19" s="39" t="n">
        <x:v>0.0234036269</x:v>
      </x:c>
      <x:c r="F19" s="39" t="n">
        <x:v>0.0051327812</x:v>
      </x:c>
      <x:c r="G19" s="39" t="n">
        <x:v>0.0151688224</x:v>
      </x:c>
      <x:c r="H19" s="39" t="n">
        <x:v>-0.0588971029</x:v>
      </x:c>
      <x:c r="I19" s="39" t="n">
        <x:v>0.0638171581</x:v>
      </x:c>
      <x:c r="J19" s="39" t="n">
        <x:v>0.0943424812</x:v>
      </x:c>
      <x:c r="K19" s="39" t="n">
        <x:v>0.0993319586</x:v>
      </x:c>
      <x:c r="L19" s="39" t="n">
        <x:v>-0.0522562726</x:v>
      </x:c>
      <x:c r="M19" s="39" t="n">
        <x:v>-0.0135451498</x:v>
      </x:c>
      <x:c r="N19" s="39" t="n">
        <x:v>-0.039198088</x:v>
      </x:c>
      <x:c r="O19" s="39" t="n">
        <x:v>0.1747254553</x:v>
      </x:c>
      <x:c r="P19" s="39" t="n">
        <x:v>-0.1334806728</x:v>
      </x:c>
      <x:c r="Q19" s="39" t="n">
        <x:v>-0.209142075</x:v>
      </x:c>
      <x:c r="R19" s="39" t="n">
        <x:v>-0.0651538765</x:v>
      </x:c>
      <x:c r="S19" s="39" t="n">
        <x:v>-0.120098236</x:v>
      </x:c>
      <x:c r="T19" s="39" t="n">
        <x:v>-0.0836246094</x:v>
      </x:c>
      <x:c r="U19" s="39" t="n">
        <x:v>-0.1073446909</x:v>
      </x:c>
      <x:c r="V19" s="39" t="n">
        <x:v>-0.370700707</x:v>
      </x:c>
      <x:c r="W19" s="39" t="n">
        <x:v>-0.0068842797</x:v>
      </x:c>
      <x:c r="X19" s="39" t="n">
        <x:v>0.0283714437</x:v>
      </x:c>
      <x:c r="Y19" s="39" t="n">
        <x:v>0.0112301622</x:v>
      </x:c>
      <x:c r="Z19" s="39" t="n">
        <x:v>-0.052881841</x:v>
      </x:c>
      <x:c r="AA19" s="39" t="n">
        <x:v>-0.0578654507</x:v>
      </x:c>
      <x:c r="AB19" s="39" t="n">
        <x:v>-0.0365644446</x:v>
      </x:c>
      <x:c r="AC19" s="39" t="n">
        <x:v>0.043391543</x:v>
      </x:c>
      <x:c r="AD19" s="39" t="n">
        <x:v>0.030447954</x:v>
      </x:c>
      <x:c r="AE19" s="39" t="n">
        <x:v>0.0142909307</x:v>
      </x:c>
      <x:c r="AF19" s="39" t="n">
        <x:v>-0.0704680692</x:v>
      </x:c>
      <x:c r="AG19" s="39" t="n">
        <x:v>0.0627577271</x:v>
      </x:c>
      <x:c r="AH19" s="39" t="n">
        <x:v>-0.0105956844</x:v>
      </x:c>
      <x:c r="AI19" s="39" t="n">
        <x:v>0.0123967265</x:v>
      </x:c>
      <x:c r="AJ19" s="39" t="n">
        <x:v>0.0029392847</x:v>
      </x:c>
      <x:c r="AK19" s="39" t="n">
        <x:v>-0.003902096</x:v>
      </x:c>
      <x:c r="AL19" s="39" t="n">
        <x:v>0.0168206803</x:v>
      </x:c>
      <x:c r="AM19" s="39" t="n">
        <x:v>0.0333191193</x:v>
      </x:c>
      <x:c r="AN19" s="39" t="n">
        <x:v>-0.0265222403</x:v>
      </x:c>
      <x:c r="AO19" s="39" t="n">
        <x:v>0.0898763428</x:v>
      </x:c>
      <x:c r="AP19" s="39" t="n">
        <x:v>0.0090391294</x:v>
      </x:c>
      <x:c r="AQ19" s="39" t="n">
        <x:v>0.0160054528</x:v>
      </x:c>
      <x:c r="AR19" s="39" t="n">
        <x:v>-0.019265952</x:v>
      </x:c>
      <x:c r="AS19" s="39" t="n">
        <x:v>-0.019763488</x:v>
      </x:c>
      <x:c r="AT19" s="39" t="n">
        <x:v>-0.0143937086</x:v>
      </x:c>
      <x:c r="AU19" s="39" t="n">
        <x:v>-0.0349971198</x:v>
      </x:c>
      <x:c r="AV19" s="39" t="n">
        <x:v>-0.0350639724</x:v>
      </x:c>
      <x:c r="AW19" s="39" t="n">
        <x:v>-0.0404783969</x:v>
      </x:c>
      <x:c r="AX19" s="39" t="n">
        <x:v>-0.0130084194</x:v>
      </x:c>
      <x:c r="AY19" s="39" t="n">
        <x:v>-0.0712042877</x:v>
      </x:c>
      <x:c r="AZ19" s="39" t="n">
        <x:v>-0.0523048457</x:v>
      </x:c>
      <x:c r="BA19" s="39" t="n">
        <x:v>-0.0054839316</x:v>
      </x:c>
      <x:c r="BB19" s="39" t="n">
        <x:v>0.0373797913</x:v>
      </x:c>
      <x:c r="BC19" s="39" t="n">
        <x:v>-0.0518820033</x:v>
      </x:c>
      <x:c r="BD19" s="39" t="n">
        <x:v>-0.0215971358</x:v>
      </x:c>
      <x:c r="BE19" s="39" t="n">
        <x:v>-0.0129342483</x:v>
      </x:c>
      <x:c r="BF19" s="39" t="n">
        <x:v>0.0057342681</x:v>
      </x:c>
      <x:c r="BG19" s="39" t="n">
        <x:v>0.0205530352</x:v>
      </x:c>
      <x:c r="BH19" s="39" t="n">
        <x:v>0.0219348228</x:v>
      </x:c>
      <x:c r="BI19" s="39" t="n">
        <x:v>0.0190315606</x:v>
      </x:c>
      <x:c r="BJ19" s="39" t="n">
        <x:v>-0.0173011826</x:v>
      </x:c>
    </x:row>
    <x:row r="20" ht="19" customHeight="1">
      <x:c r="A20" s="40" t="d">
        <x:v>2022-05-23T00:00:00.000Z</x:v>
      </x:c>
      <x:c r="B20" s="39" t="n">
        <x:v>0.0063960706</x:v>
      </x:c>
      <x:c r="C20" s="39" t="n">
        <x:v>-0.0211395235</x:v>
      </x:c>
      <x:c r="D20" s="39" t="n">
        <x:v>0.0004494206</x:v>
      </x:c>
      <x:c r="E20" s="39" t="n">
        <x:v>-0.0273050746</x:v>
      </x:c>
      <x:c r="F20" s="39" t="n">
        <x:v>-0.0112679314</x:v>
      </x:c>
      <x:c r="G20" s="39" t="n">
        <x:v>0.0349932025</x:v>
      </x:c>
      <x:c r="H20" s="39" t="n">
        <x:v>0.0018974275</x:v>
      </x:c>
      <x:c r="I20" s="39" t="n">
        <x:v>0.0080437894</x:v>
      </x:c>
      <x:c r="J20" s="39" t="n">
        <x:v>-0.0292654826</x:v>
      </x:c>
      <x:c r="K20" s="39" t="n">
        <x:v>-0.0223184265</x:v>
      </x:c>
      <x:c r="L20" s="39" t="n">
        <x:v>-0.0881417506</x:v>
      </x:c>
      <x:c r="M20" s="39" t="n">
        <x:v>-0.0655973224</x:v>
      </x:c>
      <x:c r="N20" s="39" t="n">
        <x:v>-0.0336834254</x:v>
      </x:c>
      <x:c r="O20" s="39" t="n">
        <x:v>0.1178424852</x:v>
      </x:c>
      <x:c r="P20" s="39" t="n">
        <x:v>-0.0453499008</x:v>
      </x:c>
      <x:c r="Q20" s="39" t="n">
        <x:v>0.1109048629</x:v>
      </x:c>
      <x:c r="R20" s="39" t="n">
        <x:v>-0.0805165051</x:v>
      </x:c>
      <x:c r="S20" s="39" t="n">
        <x:v>-0.3178242818</x:v>
      </x:c>
      <x:c r="T20" s="39" t="n">
        <x:v>0.0696986235</x:v>
      </x:c>
      <x:c r="U20" s="39" t="n">
        <x:v>-0.0373846524</x:v>
      </x:c>
      <x:c r="V20" s="39" t="n">
        <x:v>-0.0087504385</x:v>
      </x:c>
      <x:c r="W20" s="39" t="n">
        <x:v>0.058721148</x:v>
      </x:c>
      <x:c r="X20" s="39" t="n">
        <x:v>-0.0188433388</x:v>
      </x:c>
      <x:c r="Y20" s="39" t="n">
        <x:v>-0.0640087794</x:v>
      </x:c>
      <x:c r="Z20" s="39" t="n">
        <x:v>0.0847489931</x:v>
      </x:c>
      <x:c r="AA20" s="39" t="n">
        <x:v>0.0205849781</x:v>
      </x:c>
      <x:c r="AB20" s="39" t="n">
        <x:v>-0.2793278457</x:v>
      </x:c>
      <x:c r="AC20" s="39" t="n">
        <x:v>-0.0102454168</x:v>
      </x:c>
      <x:c r="AD20" s="39" t="n">
        <x:v>-0.0111836459</x:v>
      </x:c>
      <x:c r="AE20" s="39" t="n">
        <x:v>-0.0491211178</x:v>
      </x:c>
      <x:c r="AF20" s="39" t="n">
        <x:v>-0.0516975132</x:v>
      </x:c>
      <x:c r="AG20" s="39" t="n">
        <x:v>0.0047971999</x:v>
      </x:c>
      <x:c r="AH20" s="39" t="n">
        <x:v>0.1432977312</x:v>
      </x:c>
      <x:c r="AI20" s="39" t="n">
        <x:v>0.0408415244</x:v>
      </x:c>
      <x:c r="AJ20" s="39" t="n">
        <x:v>0.0110021181</x:v>
      </x:c>
      <x:c r="AK20" s="39" t="n">
        <x:v>-0.0277361615</x:v>
      </x:c>
      <x:c r="AL20" s="39" t="n">
        <x:v>-0.0119097539</x:v>
      </x:c>
      <x:c r="AM20" s="39" t="n">
        <x:v>-0.0321815672</x:v>
      </x:c>
      <x:c r="AN20" s="39" t="n">
        <x:v>-0.0572612885</x:v>
      </x:c>
      <x:c r="AO20" s="39" t="n">
        <x:v>0.0546025129</x:v>
      </x:c>
      <x:c r="AP20" s="39" t="n">
        <x:v>0.0082385356</x:v>
      </x:c>
      <x:c r="AQ20" s="39" t="n">
        <x:v>-0.0119670924</x:v>
      </x:c>
      <x:c r="AR20" s="39" t="n">
        <x:v>-0.0313756256</x:v>
      </x:c>
      <x:c r="AS20" s="39" t="n">
        <x:v>0.0305750099</x:v>
      </x:c>
      <x:c r="AT20" s="39" t="n">
        <x:v>0.0067992212</x:v>
      </x:c>
      <x:c r="AU20" s="39" t="n">
        <x:v>0.0135067433</x:v>
      </x:c>
      <x:c r="AV20" s="39" t="n">
        <x:v>0.0137970535</x:v>
      </x:c>
      <x:c r="AW20" s="39" t="n">
        <x:v>-0.0010780797</x:v>
      </x:c>
      <x:c r="AX20" s="39" t="n">
        <x:v>-0.0019452381</x:v>
      </x:c>
      <x:c r="AY20" s="39" t="n">
        <x:v>0.006010838</x:v>
      </x:c>
      <x:c r="AZ20" s="39" t="n">
        <x:v>0.0111457456</x:v>
      </x:c>
      <x:c r="BA20" s="39" t="n">
        <x:v>-0.0436494385</x:v>
      </x:c>
      <x:c r="BB20" s="39" t="n">
        <x:v>-0.0299285609</x:v>
      </x:c>
      <x:c r="BC20" s="39" t="n">
        <x:v>0.1066699617</x:v>
      </x:c>
      <x:c r="BD20" s="39" t="n">
        <x:v>0.0164349895</x:v>
      </x:c>
      <x:c r="BE20" s="39" t="n">
        <x:v>0.0171319703</x:v>
      </x:c>
      <x:c r="BF20" s="39" t="n">
        <x:v>-0.005212756</x:v>
      </x:c>
      <x:c r="BG20" s="39" t="n">
        <x:v>0.017343387</x:v>
      </x:c>
      <x:c r="BH20" s="39" t="n">
        <x:v>-0.0297642621</x:v>
      </x:c>
      <x:c r="BI20" s="39" t="n">
        <x:v>-0.007856937</x:v>
      </x:c>
      <x:c r="BJ20" s="39" t="n">
        <x:v>0.0376790998</x:v>
      </x:c>
    </x:row>
    <x:row r="21" ht="19" customHeight="1">
      <x:c r="A21" s="40" t="d">
        <x:v>2022-06-20T00:00:00.000Z</x:v>
      </x:c>
      <x:c r="B21" s="39" t="n">
        <x:v>-0.020080524</x:v>
      </x:c>
      <x:c r="C21" s="39" t="n">
        <x:v>-0.111440007</x:v>
      </x:c>
      <x:c r="D21" s="39" t="n">
        <x:v>-0.0208250798</x:v>
      </x:c>
      <x:c r="E21" s="39" t="n">
        <x:v>-0.020996087</x:v>
      </x:c>
      <x:c r="F21" s="39" t="n">
        <x:v>0.0118582366</x:v>
      </x:c>
      <x:c r="G21" s="39" t="n">
        <x:v>-0.0552824467</x:v>
      </x:c>
      <x:c r="H21" s="39" t="n">
        <x:v>0.0170447393</x:v>
      </x:c>
      <x:c r="I21" s="39" t="n">
        <x:v>-0.0476341993</x:v>
      </x:c>
      <x:c r="J21" s="39" t="n">
        <x:v>0.0015323536</x:v>
      </x:c>
      <x:c r="K21" s="39" t="n">
        <x:v>0.0025954018</x:v>
      </x:c>
      <x:c r="L21" s="39" t="n">
        <x:v>0.0019095815</x:v>
      </x:c>
      <x:c r="M21" s="39" t="n">
        <x:v>-0.0434540132</x:v>
      </x:c>
      <x:c r="N21" s="39" t="n">
        <x:v>0.0211323137</x:v>
      </x:c>
      <x:c r="O21" s="39" t="n">
        <x:v>-0.1621761295</x:v>
      </x:c>
      <x:c r="P21" s="39" t="n">
        <x:v>0.0394009406</x:v>
      </x:c>
      <x:c r="Q21" s="39" t="n">
        <x:v>0.1103716022</x:v>
      </x:c>
      <x:c r="R21" s="39" t="n">
        <x:v>0.0726913147</x:v>
      </x:c>
      <x:c r="S21" s="39" t="n">
        <x:v>-0.0126482394</x:v>
      </x:c>
      <x:c r="T21" s="39" t="n">
        <x:v>0.0488958288</x:v>
      </x:c>
      <x:c r="U21" s="39" t="n">
        <x:v>-0.0176574446</x:v>
      </x:c>
      <x:c r="V21" s="39" t="n">
        <x:v>0.0439136148</x:v>
      </x:c>
      <x:c r="W21" s="39" t="n">
        <x:v>0.0046553432</x:v>
      </x:c>
      <x:c r="X21" s="39" t="n">
        <x:v>-0.1115876669</x:v>
      </x:c>
      <x:c r="Y21" s="39" t="n">
        <x:v>0.0387251627</x:v>
      </x:c>
      <x:c r="Z21" s="39" t="n">
        <x:v>-0.0070023249</x:v>
      </x:c>
      <x:c r="AA21" s="39" t="n">
        <x:v>-0.0036988296</x:v>
      </x:c>
      <x:c r="AB21" s="39" t="n">
        <x:v>0.053672473</x:v>
      </x:c>
      <x:c r="AC21" s="39" t="n">
        <x:v>-0.0214117358</x:v>
      </x:c>
      <x:c r="AD21" s="39" t="n">
        <x:v>-0.0272554217</x:v>
      </x:c>
      <x:c r="AE21" s="39" t="n">
        <x:v>0.0199969647</x:v>
      </x:c>
      <x:c r="AF21" s="39" t="n">
        <x:v>0.0806809771</x:v>
      </x:c>
      <x:c r="AG21" s="39" t="n">
        <x:v>0.0236993832</x:v>
      </x:c>
      <x:c r="AH21" s="39" t="n">
        <x:v>-0.0601961206</x:v>
      </x:c>
      <x:c r="AI21" s="39" t="n">
        <x:v>-0.0044575953</x:v>
      </x:c>
      <x:c r="AJ21" s="39" t="n">
        <x:v>-0.0398390999</x:v>
      </x:c>
      <x:c r="AK21" s="39" t="n">
        <x:v>0.0287987303</x:v>
      </x:c>
      <x:c r="AL21" s="39" t="n">
        <x:v>0.0331399064</x:v>
      </x:c>
      <x:c r="AM21" s="39" t="n">
        <x:v>0.041732489</x:v>
      </x:c>
      <x:c r="AN21" s="39" t="n">
        <x:v>0.0279172053</x:v>
      </x:c>
      <x:c r="AO21" s="39" t="n">
        <x:v>-0.0119802643</x:v>
      </x:c>
      <x:c r="AP21" s="39" t="n">
        <x:v>-0.0028058155</x:v>
      </x:c>
      <x:c r="AQ21" s="39" t="n">
        <x:v>0.0074182861</x:v>
      </x:c>
      <x:c r="AR21" s="39" t="n">
        <x:v>-0.072609863</x:v>
      </x:c>
      <x:c r="AS21" s="39" t="n">
        <x:v>-0.0111637241</x:v>
      </x:c>
      <x:c r="AT21" s="39" t="n">
        <x:v>-0.0088459163</x:v>
      </x:c>
      <x:c r="AU21" s="39" t="n">
        <x:v>-0.0133365065</x:v>
      </x:c>
      <x:c r="AV21" s="39" t="n">
        <x:v>-0.0130951605</x:v>
      </x:c>
      <x:c r="AW21" s="39" t="n">
        <x:v>-0.0215763642</x:v>
      </x:c>
      <x:c r="AX21" s="39" t="n">
        <x:v>-0.0127468701</x:v>
      </x:c>
      <x:c r="AY21" s="39" t="n">
        <x:v>-0.0450482721</x:v>
      </x:c>
      <x:c r="AZ21" s="39" t="n">
        <x:v>0.0021465661</x:v>
      </x:c>
      <x:c r="BA21" s="39" t="n">
        <x:v>0.0273689811</x:v>
      </x:c>
      <x:c r="BB21" s="39" t="n">
        <x:v>0.0004253994</x:v>
      </x:c>
      <x:c r="BC21" s="39" t="n">
        <x:v>-0.1836697031</x:v>
      </x:c>
      <x:c r="BD21" s="39" t="n">
        <x:v>-0.0352763201</x:v>
      </x:c>
      <x:c r="BE21" s="39" t="n">
        <x:v>-0.0062741775</x:v>
      </x:c>
      <x:c r="BF21" s="39" t="n">
        <x:v>-0.0158282912</x:v>
      </x:c>
      <x:c r="BG21" s="39" t="n">
        <x:v>-0.0621247877</x:v>
      </x:c>
      <x:c r="BH21" s="39" t="n">
        <x:v>-0.0052825868</x:v>
      </x:c>
      <x:c r="BI21" s="39" t="n">
        <x:v>0.0233420991</x:v>
      </x:c>
      <x:c r="BJ21" s="39" t="n">
        <x:v>-0.0464455081</x:v>
      </x:c>
    </x:row>
    <x:row r="22" ht="19" customHeight="1">
      <x:c r="A22" s="40" t="d">
        <x:v>2022-07-18T00:00:00.000Z</x:v>
      </x:c>
      <x:c r="B22" s="39" t="n">
        <x:v>-0.0384536185</x:v>
      </x:c>
      <x:c r="C22" s="39" t="n">
        <x:v>-0.1410327438</x:v>
      </x:c>
      <x:c r="D22" s="39" t="n">
        <x:v>-0.0090473241</x:v>
      </x:c>
      <x:c r="E22" s="39" t="n">
        <x:v>-0.0205610145</x:v>
      </x:c>
      <x:c r="F22" s="39" t="n">
        <x:v>0.0421732119</x:v>
      </x:c>
      <x:c r="G22" s="39" t="n">
        <x:v>-0.0239203427</x:v>
      </x:c>
      <x:c r="H22" s="39" t="n">
        <x:v>-0.0194782388</x:v>
      </x:c>
      <x:c r="I22" s="39" t="n">
        <x:v>0.0154185431</x:v>
      </x:c>
      <x:c r="J22" s="39" t="n">
        <x:v>-0.0207209198</x:v>
      </x:c>
      <x:c r="K22" s="39" t="n">
        <x:v>-0.0012680556</x:v>
      </x:c>
      <x:c r="L22" s="39" t="n">
        <x:v>-0.002667581</x:v>
      </x:c>
      <x:c r="M22" s="39" t="n">
        <x:v>-0.0158739913</x:v>
      </x:c>
      <x:c r="N22" s="39" t="n">
        <x:v>0.0798877173</x:v>
      </x:c>
      <x:c r="O22" s="39" t="n">
        <x:v>-0.0831139397</x:v>
      </x:c>
      <x:c r="P22" s="39" t="n">
        <x:v>-0.0109714331</x:v>
      </x:c>
      <x:c r="Q22" s="39" t="n">
        <x:v>-0.1765893985</x:v>
      </x:c>
      <x:c r="R22" s="39" t="n">
        <x:v>-0.0311769208</x:v>
      </x:c>
      <x:c r="S22" s="39" t="n">
        <x:v>-0.0741696094</x:v>
      </x:c>
      <x:c r="T22" s="39" t="n">
        <x:v>0.0784672247</x:v>
      </x:c>
      <x:c r="U22" s="39" t="n">
        <x:v>-0.0093607541</x:v>
      </x:c>
      <x:c r="V22" s="39" t="n">
        <x:v>0.1269709642</x:v>
      </x:c>
      <x:c r="W22" s="39" t="n">
        <x:v>0.0831369133</x:v>
      </x:c>
      <x:c r="X22" s="39" t="n">
        <x:v>0.0031342641</x:v>
      </x:c>
      <x:c r="Y22" s="39" t="n">
        <x:v>-0.2117039936</x:v>
      </x:c>
      <x:c r="Z22" s="39" t="n">
        <x:v>-0.042793235</x:v>
      </x:c>
      <x:c r="AA22" s="39" t="n">
        <x:v>-0.0846555015</x:v>
      </x:c>
      <x:c r="AB22" s="39" t="n">
        <x:v>-0.3442791616</x:v>
      </x:c>
      <x:c r="AC22" s="39" t="n">
        <x:v>-0.0142098072</x:v>
      </x:c>
      <x:c r="AD22" s="39" t="n">
        <x:v>0.0063646439</x:v>
      </x:c>
      <x:c r="AE22" s="39" t="n">
        <x:v>-0.0628534389</x:v>
      </x:c>
      <x:c r="AF22" s="39" t="n">
        <x:v>0.0587647088</x:v>
      </x:c>
      <x:c r="AG22" s="39" t="n">
        <x:v>-0.0538662845</x:v>
      </x:c>
      <x:c r="AH22" s="39" t="n">
        <x:v>-0.0566393299</x:v>
      </x:c>
      <x:c r="AI22" s="39" t="n">
        <x:v>-0.0186981414</x:v>
      </x:c>
      <x:c r="AJ22" s="39" t="n">
        <x:v>-0.045672659</x:v>
      </x:c>
      <x:c r="AK22" s="39" t="n">
        <x:v>0.0375150574</x:v>
      </x:c>
      <x:c r="AL22" s="39" t="n">
        <x:v>-0.0304529425</x:v>
      </x:c>
      <x:c r="AM22" s="39" t="n">
        <x:v>-0.1006173441</x:v>
      </x:c>
      <x:c r="AN22" s="39" t="n">
        <x:v>0.0344957633</x:v>
      </x:c>
      <x:c r="AO22" s="39" t="n">
        <x:v>0.0276661949</x:v>
      </x:c>
      <x:c r="AP22" s="39" t="n">
        <x:v>-0.0329540169</x:v>
      </x:c>
      <x:c r="AQ22" s="39" t="n">
        <x:v>-0.0598699693</x:v>
      </x:c>
      <x:c r="AR22" s="39" t="n">
        <x:v>0.0065809256</x:v>
      </x:c>
      <x:c r="AS22" s="39" t="n">
        <x:v>-0.0263756101</x:v>
      </x:c>
      <x:c r="AT22" s="39" t="n">
        <x:v>-0.0007354959</x:v>
      </x:c>
      <x:c r="AU22" s="39" t="n">
        <x:v>-0.0260808804</x:v>
      </x:c>
      <x:c r="AV22" s="39" t="n">
        <x:v>-0.0259059622</x:v>
      </x:c>
      <x:c r="AW22" s="39" t="n">
        <x:v>0.0096442558</x:v>
      </x:c>
      <x:c r="AX22" s="39" t="n">
        <x:v>-0.0002036979</x:v>
      </x:c>
      <x:c r="AY22" s="39" t="n">
        <x:v>0.0100108147</x:v>
      </x:c>
      <x:c r="AZ22" s="39" t="n">
        <x:v>-0.0205901201</x:v>
      </x:c>
      <x:c r="BA22" s="39" t="n">
        <x:v>0.0359411363</x:v>
      </x:c>
      <x:c r="BB22" s="39" t="n">
        <x:v>-0.001406008</x:v>
      </x:c>
      <x:c r="BC22" s="39" t="n">
        <x:v>-0.0223649161</x:v>
      </x:c>
      <x:c r="BD22" s="39" t="n">
        <x:v>0.0000428454</x:v>
      </x:c>
      <x:c r="BE22" s="39" t="n">
        <x:v>-0.0023953934</x:v>
      </x:c>
      <x:c r="BF22" s="39" t="n">
        <x:v>0.0029270846</x:v>
      </x:c>
      <x:c r="BG22" s="39" t="n">
        <x:v>-0.0208162728</x:v>
      </x:c>
      <x:c r="BH22" s="39" t="n">
        <x:v>0.0050171207</x:v>
      </x:c>
      <x:c r="BI22" s="39" t="n">
        <x:v>0.0079451822</x:v>
      </x:c>
      <x:c r="BJ22" s="39" t="n">
        <x:v>-0.0019436178</x:v>
      </x:c>
    </x:row>
    <x:row r="23" ht="19" customHeight="1">
      <x:c r="A23" s="40" t="d">
        <x:v>2022-08-15T00:00:00.000Z</x:v>
      </x:c>
      <x:c r="B23" s="39" t="n">
        <x:v>-0.0538930927</x:v>
      </x:c>
      <x:c r="C23" s="39" t="n">
        <x:v>0.1772583545</x:v>
      </x:c>
      <x:c r="D23" s="39" t="n">
        <x:v>0.0305837338</x:v>
      </x:c>
      <x:c r="E23" s="39" t="n">
        <x:v>0.0004623074</x:v>
      </x:c>
      <x:c r="F23" s="39" t="n">
        <x:v>0.0986628764</x:v>
      </x:c>
      <x:c r="G23" s="39" t="n">
        <x:v>0.1804350058</x:v>
      </x:c>
      <x:c r="H23" s="39" t="n">
        <x:v>0.016135197</x:v>
      </x:c>
      <x:c r="I23" s="39" t="n">
        <x:v>0.0336653541</x:v>
      </x:c>
      <x:c r="J23" s="39" t="n">
        <x:v>-0.0843864501</x:v>
      </x:c>
      <x:c r="K23" s="39" t="n">
        <x:v>-0.0081278213</x:v>
      </x:c>
      <x:c r="L23" s="39" t="n">
        <x:v>0.0958623579</x:v>
      </x:c>
      <x:c r="M23" s="39" t="n">
        <x:v>0.0900788522</x:v>
      </x:c>
      <x:c r="N23" s="39" t="n">
        <x:v>0.1261078126</x:v>
      </x:c>
      <x:c r="O23" s="39" t="n">
        <x:v>-0.0751234712</x:v>
      </x:c>
      <x:c r="P23" s="39" t="n">
        <x:v>0.0254958185</x:v>
      </x:c>
      <x:c r="Q23" s="39" t="n">
        <x:v>-0.0292561709</x:v>
      </x:c>
      <x:c r="R23" s="39" t="n">
        <x:v>-0.0285418882</x:v>
      </x:c>
      <x:c r="S23" s="39" t="n">
        <x:v>0.1119093812</x:v>
      </x:c>
      <x:c r="T23" s="39" t="n">
        <x:v>-0.0462659695</x:v>
      </x:c>
      <x:c r="U23" s="39" t="n">
        <x:v>0.0954742325</x:v>
      </x:c>
      <x:c r="V23" s="39" t="n">
        <x:v>0.0215292036</x:v>
      </x:c>
      <x:c r="W23" s="39" t="n">
        <x:v>-0.0617826522</x:v>
      </x:c>
      <x:c r="X23" s="39" t="n">
        <x:v>-0.0409206497</x:v>
      </x:c>
      <x:c r="Y23" s="39" t="n">
        <x:v>-0.0975146582</x:v>
      </x:c>
      <x:c r="Z23" s="39" t="n">
        <x:v>0.0734505367</x:v>
      </x:c>
      <x:c r="AA23" s="39" t="n">
        <x:v>-0.1071494839</x:v>
      </x:c>
      <x:c r="AB23" s="39" t="n">
        <x:v>-0.0514282616</x:v>
      </x:c>
      <x:c r="AC23" s="39" t="n">
        <x:v>0.0308914936</x:v>
      </x:c>
      <x:c r="AD23" s="39" t="n">
        <x:v>0.1554234419</x:v>
      </x:c>
      <x:c r="AE23" s="39" t="n">
        <x:v>-0.0506271065</x:v>
      </x:c>
      <x:c r="AF23" s="39" t="n">
        <x:v>0.0376982341</x:v>
      </x:c>
      <x:c r="AG23" s="39" t="n">
        <x:v>0.1065329818</x:v>
      </x:c>
      <x:c r="AH23" s="39" t="n">
        <x:v>0.0171504564</x:v>
      </x:c>
      <x:c r="AI23" s="39" t="n">
        <x:v>-0.032149451</x:v>
      </x:c>
      <x:c r="AJ23" s="39" t="n">
        <x:v>-0.0642642501</x:v>
      </x:c>
      <x:c r="AK23" s="39" t="n">
        <x:v>-0.0646838339</x:v>
      </x:c>
      <x:c r="AL23" s="39" t="n">
        <x:v>0.0306369289</x:v>
      </x:c>
      <x:c r="AM23" s="39" t="n">
        <x:v>0.0373730459</x:v>
      </x:c>
      <x:c r="AN23" s="39" t="n">
        <x:v>0.0061108466</x:v>
      </x:c>
      <x:c r="AO23" s="39" t="n">
        <x:v>-0.0022590731</x:v>
      </x:c>
      <x:c r="AP23" s="39" t="n">
        <x:v>0.0269336887</x:v>
      </x:c>
      <x:c r="AQ23" s="39" t="n">
        <x:v>-0.0117759333</x:v>
      </x:c>
      <x:c r="AR23" s="39" t="n">
        <x:v>0.0186633543</x:v>
      </x:c>
      <x:c r="AS23" s="39" t="n">
        <x:v>0.0138916534</x:v>
      </x:c>
      <x:c r="AT23" s="39" t="n">
        <x:v>-0.0021763882</x:v>
      </x:c>
      <x:c r="AU23" s="39" t="n">
        <x:v>-0.0128170695</x:v>
      </x:c>
      <x:c r="AV23" s="39" t="n">
        <x:v>-0.0136178704</x:v>
      </x:c>
      <x:c r="AW23" s="39" t="n">
        <x:v>-0.0133049535</x:v>
      </x:c>
      <x:c r="AX23" s="39" t="n">
        <x:v>0.0049434185</x:v>
      </x:c>
      <x:c r="AY23" s="39" t="n">
        <x:v>0.052686073</x:v>
      </x:c>
      <x:c r="AZ23" s="39" t="n">
        <x:v>-0.0231151369</x:v>
      </x:c>
      <x:c r="BA23" s="39" t="n">
        <x:v>0.0084698063</x:v>
      </x:c>
      <x:c r="BB23" s="39" t="n">
        <x:v>0.0168830787</x:v>
      </x:c>
      <x:c r="BC23" s="39" t="n">
        <x:v>0.0784878558</x:v>
      </x:c>
      <x:c r="BD23" s="39" t="n">
        <x:v>0.0079453664</x:v>
      </x:c>
      <x:c r="BE23" s="39" t="n">
        <x:v>-0.0068815448</x:v>
      </x:c>
      <x:c r="BF23" s="39" t="n">
        <x:v>0.0220568029</x:v>
      </x:c>
      <x:c r="BG23" s="39" t="n">
        <x:v>0.003586369</x:v>
      </x:c>
      <x:c r="BH23" s="39" t="n">
        <x:v>0.0055250073</x:v>
      </x:c>
      <x:c r="BI23" s="39" t="n">
        <x:v>-0.0154108933</x:v>
      </x:c>
      <x:c r="BJ23" s="39" t="n">
        <x:v>0.0655597468</x:v>
      </x:c>
    </x:row>
    <x:row r="24" ht="19" customHeight="1">
      <x:c r="A24" s="40" t="d">
        <x:v>2022-09-12T00:00:00.000Z</x:v>
      </x:c>
      <x:c r="B24" s="39" t="n">
        <x:v>0.0666641669</x:v>
      </x:c>
      <x:c r="C24" s="39" t="n">
        <x:v>0.0841324434</x:v>
      </x:c>
      <x:c r="D24" s="39" t="n">
        <x:v>-0.0205783466</x:v>
      </x:c>
      <x:c r="E24" s="39" t="n">
        <x:v>-0.0198466986</x:v>
      </x:c>
      <x:c r="F24" s="39" t="n">
        <x:v>0.0178390157</x:v>
      </x:c>
      <x:c r="G24" s="39" t="n">
        <x:v>0.0409997355</x:v>
      </x:c>
      <x:c r="H24" s="39" t="n">
        <x:v>-0.0198078504</x:v>
      </x:c>
      <x:c r="I24" s="39" t="n">
        <x:v>0.0273984303</x:v>
      </x:c>
      <x:c r="J24" s="39" t="n">
        <x:v>0.009122025</x:v>
      </x:c>
      <x:c r="K24" s="39" t="n">
        <x:v>-0.0852845944</x:v>
      </x:c>
      <x:c r="L24" s="39" t="n">
        <x:v>-0.0922951368</x:v>
      </x:c>
      <x:c r="M24" s="39" t="n">
        <x:v>-0.0347894492</x:v>
      </x:c>
      <x:c r="N24" s="39" t="n">
        <x:v>-0.0246454916</x:v>
      </x:c>
      <x:c r="O24" s="39" t="n">
        <x:v>-0.0205846035</x:v>
      </x:c>
      <x:c r="P24" s="39" t="n">
        <x:v>0.1367746338</x:v>
      </x:c>
      <x:c r="Q24" s="39" t="n">
        <x:v>0.1297588864</x:v>
      </x:c>
      <x:c r="R24" s="39" t="n">
        <x:v>-0.0161163758</x:v>
      </x:c>
      <x:c r="S24" s="39" t="n">
        <x:v>-0.1077667062</x:v>
      </x:c>
      <x:c r="T24" s="39" t="n">
        <x:v>-0.0063730559</x:v>
      </x:c>
      <x:c r="U24" s="39" t="n">
        <x:v>-0.0249429409</x:v>
      </x:c>
      <x:c r="V24" s="39" t="n">
        <x:v>0.1078477297</x:v>
      </x:c>
      <x:c r="W24" s="39" t="n">
        <x:v>-0.018863964</x:v>
      </x:c>
      <x:c r="X24" s="39" t="n">
        <x:v>0.0809970944</x:v>
      </x:c>
      <x:c r="Y24" s="39" t="n">
        <x:v>0.0400391261</x:v>
      </x:c>
      <x:c r="Z24" s="39" t="n">
        <x:v>0.0056742172</x:v>
      </x:c>
      <x:c r="AA24" s="39" t="n">
        <x:v>-0.0328929206</x:v>
      </x:c>
      <x:c r="AB24" s="39" t="n">
        <x:v>0.0782859605</x:v>
      </x:c>
      <x:c r="AC24" s="39" t="n">
        <x:v>-0.0057708338</x:v>
      </x:c>
      <x:c r="AD24" s="39" t="n">
        <x:v>0.0054356851</x:v>
      </x:c>
      <x:c r="AE24" s="39" t="n">
        <x:v>-0.0313242726</x:v>
      </x:c>
      <x:c r="AF24" s="39" t="n">
        <x:v>-0.0260455762</x:v>
      </x:c>
      <x:c r="AG24" s="39" t="n">
        <x:v>-0.0054751915</x:v>
      </x:c>
      <x:c r="AH24" s="39" t="n">
        <x:v>0.016095195</x:v>
      </x:c>
      <x:c r="AI24" s="39" t="n">
        <x:v>-0.0122433543</x:v>
      </x:c>
      <x:c r="AJ24" s="39" t="n">
        <x:v>-0.0346608671</x:v>
      </x:c>
      <x:c r="AK24" s="39" t="n">
        <x:v>0.028476629</x:v>
      </x:c>
      <x:c r="AL24" s="39" t="n">
        <x:v>-0.0354163518</x:v>
      </x:c>
      <x:c r="AM24" s="39" t="n">
        <x:v>-0.0319387749</x:v>
      </x:c>
      <x:c r="AN24" s="39" t="n">
        <x:v>-0.0380634729</x:v>
      </x:c>
      <x:c r="AO24" s="39" t="n">
        <x:v>-0.0622053628</x:v>
      </x:c>
      <x:c r="AP24" s="39" t="n">
        <x:v>-0.0203696177</x:v>
      </x:c>
      <x:c r="AQ24" s="39" t="n">
        <x:v>0.0000255477</x:v>
      </x:c>
      <x:c r="AR24" s="39" t="n">
        <x:v>-0.0525953489</x:v>
      </x:c>
      <x:c r="AS24" s="39" t="n">
        <x:v>0.0061091448</x:v>
      </x:c>
      <x:c r="AT24" s="39" t="n">
        <x:v>-0.0085970163</x:v>
      </x:c>
      <x:c r="AU24" s="39" t="n">
        <x:v>-0.0020403404</x:v>
      </x:c>
      <x:c r="AV24" s="39" t="n">
        <x:v>-0.0021363926</x:v>
      </x:c>
      <x:c r="AW24" s="39" t="n">
        <x:v>-0.0123139224</x:v>
      </x:c>
      <x:c r="AX24" s="39" t="n">
        <x:v>-0.0050136091</x:v>
      </x:c>
      <x:c r="AY24" s="39" t="n">
        <x:v>-0.069827755</x:v>
      </x:c>
      <x:c r="AZ24" s="39" t="n">
        <x:v>-0.0150742067</x:v>
      </x:c>
      <x:c r="BA24" s="39" t="n">
        <x:v>0.042021843</x:v>
      </x:c>
      <x:c r="BB24" s="39" t="n">
        <x:v>-0.0336010098</x:v>
      </x:c>
      <x:c r="BC24" s="39" t="n">
        <x:v>-0.0431710175</x:v>
      </x:c>
      <x:c r="BD24" s="39" t="n">
        <x:v>0.0089939475</x:v>
      </x:c>
      <x:c r="BE24" s="39" t="n">
        <x:v>-0.0038551107</x:v>
      </x:c>
      <x:c r="BF24" s="39" t="n">
        <x:v>-0.024497478</x:v>
      </x:c>
      <x:c r="BG24" s="39" t="n">
        <x:v>-0.0120808681</x:v>
      </x:c>
      <x:c r="BH24" s="39" t="n">
        <x:v>-0.0194078102</x:v>
      </x:c>
      <x:c r="BI24" s="39" t="n">
        <x:v>-0.0107082848</x:v>
      </x:c>
      <x:c r="BJ24" s="39" t="n">
        <x:v>-0.008656152</x:v>
      </x:c>
    </x:row>
    <x:row r="25" ht="19" customHeight="1">
      <x:c r="A25" s="40" t="d">
        <x:v>2022-10-10T00:00:00.000Z</x:v>
      </x:c>
      <x:c r="B25" s="39" t="n">
        <x:v>0.0218219635</x:v>
      </x:c>
      <x:c r="C25" s="39" t="n">
        <x:v>0.0760009908</x:v>
      </x:c>
      <x:c r="D25" s="39" t="n">
        <x:v>0.0371091511</x:v>
      </x:c>
      <x:c r="E25" s="39" t="n">
        <x:v>0.0074961651</x:v>
      </x:c>
      <x:c r="F25" s="39" t="n">
        <x:v>0.0323240099</x:v>
      </x:c>
      <x:c r="G25" s="39" t="n">
        <x:v>0.0382025384</x:v>
      </x:c>
      <x:c r="H25" s="39" t="n">
        <x:v>0.0382599919</x:v>
      </x:c>
      <x:c r="I25" s="39" t="n">
        <x:v>0.0446517129</x:v>
      </x:c>
      <x:c r="J25" s="39" t="n">
        <x:v>-0.0343776408</x:v>
      </x:c>
      <x:c r="K25" s="39" t="n">
        <x:v>0.0422490318</x:v>
      </x:c>
      <x:c r="L25" s="39" t="n">
        <x:v>-0.0255945597</x:v>
      </x:c>
      <x:c r="M25" s="39" t="n">
        <x:v>0.028920148</x:v>
      </x:c>
      <x:c r="N25" s="39" t="n">
        <x:v>0.0514682317</x:v>
      </x:c>
      <x:c r="O25" s="39" t="n">
        <x:v>0.0467696842</x:v>
      </x:c>
      <x:c r="P25" s="39" t="n">
        <x:v>0.0292119351</x:v>
      </x:c>
      <x:c r="Q25" s="39" t="n">
        <x:v>-0.1135435093</x:v>
      </x:c>
      <x:c r="R25" s="39" t="n">
        <x:v>-0.0524038785</x:v>
      </x:c>
      <x:c r="S25" s="39" t="n">
        <x:v>-0.0819070166</x:v>
      </x:c>
      <x:c r="T25" s="39" t="n">
        <x:v>0.1365505635</x:v>
      </x:c>
      <x:c r="U25" s="39" t="n">
        <x:v>0.0793788313</x:v>
      </x:c>
      <x:c r="V25" s="39" t="n">
        <x:v>0.1051978622</x:v>
      </x:c>
      <x:c r="W25" s="39" t="n">
        <x:v>0.0046388343</x:v>
      </x:c>
      <x:c r="X25" s="39" t="n">
        <x:v>0.0950723403</x:v>
      </x:c>
      <x:c r="Y25" s="39" t="n">
        <x:v>0.1245676085</x:v>
      </x:c>
      <x:c r="Z25" s="39" t="n">
        <x:v>-0.045098076</x:v>
      </x:c>
      <x:c r="AA25" s="39" t="n">
        <x:v>-0.138993662</x:v>
      </x:c>
      <x:c r="AB25" s="39" t="n">
        <x:v>0.1613232059</x:v>
      </x:c>
      <x:c r="AC25" s="39" t="n">
        <x:v>0.0029374639</x:v>
      </x:c>
      <x:c r="AD25" s="39" t="n">
        <x:v>0.0042846046</x:v>
      </x:c>
      <x:c r="AE25" s="39" t="n">
        <x:v>-0.0387175515</x:v>
      </x:c>
      <x:c r="AF25" s="39" t="n">
        <x:v>0.0930712603</x:v>
      </x:c>
      <x:c r="AG25" s="39" t="n">
        <x:v>0.0233802787</x:v>
      </x:c>
      <x:c r="AH25" s="39" t="n">
        <x:v>-0.0618365187</x:v>
      </x:c>
      <x:c r="AI25" s="39" t="n">
        <x:v>0.0451698673</x:v>
      </x:c>
      <x:c r="AJ25" s="39" t="n">
        <x:v>-0.0286065922</x:v>
      </x:c>
      <x:c r="AK25" s="39" t="n">
        <x:v>0.0127330688</x:v>
      </x:c>
      <x:c r="AL25" s="39" t="n">
        <x:v>0.0360455411</x:v>
      </x:c>
      <x:c r="AM25" s="39" t="n">
        <x:v>0.0306306913</x:v>
      </x:c>
      <x:c r="AN25" s="39" t="n">
        <x:v>0.0157761387</x:v>
      </x:c>
      <x:c r="AO25" s="39" t="n">
        <x:v>0.1256773411</x:v>
      </x:c>
      <x:c r="AP25" s="39" t="n">
        <x:v>-0.0205131032</x:v>
      </x:c>
      <x:c r="AQ25" s="39" t="n">
        <x:v>-0.000267024</x:v>
      </x:c>
      <x:c r="AR25" s="39" t="n">
        <x:v>0.0306546981</x:v>
      </x:c>
      <x:c r="AS25" s="39" t="n">
        <x:v>-0.0014494322</x:v>
      </x:c>
      <x:c r="AT25" s="39" t="n">
        <x:v>-0.0098416045</x:v>
      </x:c>
      <x:c r="AU25" s="39" t="n">
        <x:v>-0.0243677525</x:v>
      </x:c>
      <x:c r="AV25" s="39" t="n">
        <x:v>-0.0241147097</x:v>
      </x:c>
      <x:c r="AW25" s="39" t="n">
        <x:v>-0.0586173875</x:v>
      </x:c>
      <x:c r="AX25" s="39" t="n">
        <x:v>-0.0485955433</x:v>
      </x:c>
      <x:c r="AY25" s="39" t="n">
        <x:v>-0.061536653</x:v>
      </x:c>
      <x:c r="AZ25" s="39" t="n">
        <x:v>-0.0074498685</x:v>
      </x:c>
      <x:c r="BA25" s="39" t="n">
        <x:v>-0.0452595235</x:v>
      </x:c>
      <x:c r="BB25" s="39" t="n">
        <x:v>-0.0156794504</x:v>
      </x:c>
      <x:c r="BC25" s="39" t="n">
        <x:v>-0.0033181175</x:v>
      </x:c>
      <x:c r="BD25" s="39" t="n">
        <x:v>-0.0006473301</x:v>
      </x:c>
      <x:c r="BE25" s="39" t="n">
        <x:v>0.0064247266</x:v>
      </x:c>
      <x:c r="BF25" s="39" t="n">
        <x:v>0.0128324428</x:v>
      </x:c>
      <x:c r="BG25" s="39" t="n">
        <x:v>-0.001983665</x:v>
      </x:c>
      <x:c r="BH25" s="39" t="n">
        <x:v>-0.0822989007</x:v>
      </x:c>
      <x:c r="BI25" s="39" t="n">
        <x:v>0.0130343864</x:v>
      </x:c>
      <x:c r="BJ25" s="39" t="n">
        <x:v>-0.1202199147</x:v>
      </x:c>
    </x:row>
    <x:row r="26" ht="19" customHeight="1">
      <x:c r="A26" s="40" t="d">
        <x:v>2022-11-07T00:00:00.000Z</x:v>
      </x:c>
      <x:c r="B26" s="39" t="n">
        <x:v>-0.0241917584</x:v>
      </x:c>
      <x:c r="C26" s="39" t="n">
        <x:v>0.0542950175</x:v>
      </x:c>
      <x:c r="D26" s="39" t="n">
        <x:v>-0.0221868386</x:v>
      </x:c>
      <x:c r="E26" s="39" t="n">
        <x:v>0.0152093841</x:v>
      </x:c>
      <x:c r="F26" s="39" t="n">
        <x:v>-0.1191916972</x:v>
      </x:c>
      <x:c r="G26" s="39" t="n">
        <x:v>-0.0450066158</x:v>
      </x:c>
      <x:c r="H26" s="39" t="n">
        <x:v>-0.0818377195</x:v>
      </x:c>
      <x:c r="I26" s="39" t="n">
        <x:v>-0.0224498878</x:v>
      </x:c>
      <x:c r="J26" s="39" t="n">
        <x:v>-0.236955819</x:v>
      </x:c>
      <x:c r="K26" s="39" t="n">
        <x:v>-0.0338612277</x:v>
      </x:c>
      <x:c r="L26" s="39" t="n">
        <x:v>-0.0439999183</x:v>
      </x:c>
      <x:c r="M26" s="39" t="n">
        <x:v>-0.1385770775</x:v>
      </x:c>
      <x:c r="N26" s="39" t="n">
        <x:v>-0.0126745378</x:v>
      </x:c>
      <x:c r="O26" s="39" t="n">
        <x:v>-0.1653606947</x:v>
      </x:c>
      <x:c r="P26" s="39" t="n">
        <x:v>0.0914730826</x:v>
      </x:c>
      <x:c r="Q26" s="39" t="n">
        <x:v>-0.1986281416</x:v>
      </x:c>
      <x:c r="R26" s="39" t="n">
        <x:v>-0.0581726954</x:v>
      </x:c>
      <x:c r="S26" s="39" t="n">
        <x:v>0.0378990809</x:v>
      </x:c>
      <x:c r="T26" s="39" t="n">
        <x:v>0.0589773414</x:v>
      </x:c>
      <x:c r="U26" s="39" t="n">
        <x:v>0.2164611861</x:v>
      </x:c>
      <x:c r="V26" s="39" t="n">
        <x:v>0.1511529613</x:v>
      </x:c>
      <x:c r="W26" s="39" t="n">
        <x:v>0.0296070105</x:v>
      </x:c>
      <x:c r="X26" s="39" t="n">
        <x:v>-0.1328616025</x:v>
      </x:c>
      <x:c r="Y26" s="39" t="n">
        <x:v>-0.1125682017</x:v>
      </x:c>
      <x:c r="Z26" s="39" t="n">
        <x:v>-0.0041019838</x:v>
      </x:c>
      <x:c r="AA26" s="39" t="n">
        <x:v>-0.1378070376</x:v>
      </x:c>
      <x:c r="AB26" s="39" t="n">
        <x:v>-0.2645474697</x:v>
      </x:c>
      <x:c r="AC26" s="39" t="n">
        <x:v>0.0247436619</x:v>
      </x:c>
      <x:c r="AD26" s="39" t="n">
        <x:v>0.0164978251</x:v>
      </x:c>
      <x:c r="AE26" s="39" t="n">
        <x:v>-0.0412292155</x:v>
      </x:c>
      <x:c r="AF26" s="39" t="n">
        <x:v>0.0989475789</x:v>
      </x:c>
      <x:c r="AG26" s="39" t="n">
        <x:v>-0.0978792576</x:v>
      </x:c>
      <x:c r="AH26" s="39" t="n">
        <x:v>-0.0135641285</x:v>
      </x:c>
      <x:c r="AI26" s="39" t="n">
        <x:v>-0.0132149706</x:v>
      </x:c>
      <x:c r="AJ26" s="39" t="n">
        <x:v>0.0399604252</x:v>
      </x:c>
      <x:c r="AK26" s="39" t="n">
        <x:v>-0.0686608381</x:v>
      </x:c>
      <x:c r="AL26" s="39" t="n">
        <x:v>-0.0114486422</x:v>
      </x:c>
      <x:c r="AM26" s="39" t="n">
        <x:v>-0.0301583788</x:v>
      </x:c>
      <x:c r="AN26" s="39" t="n">
        <x:v>0.0308117948</x:v>
      </x:c>
      <x:c r="AO26" s="39" t="n">
        <x:v>-0.0031315358</x:v>
      </x:c>
      <x:c r="AP26" s="39" t="n">
        <x:v>-0.016322713</x:v>
      </x:c>
      <x:c r="AQ26" s="39" t="n">
        <x:v>-0.0394123014</x:v>
      </x:c>
      <x:c r="AR26" s="39" t="n">
        <x:v>0.020409573</x:v>
      </x:c>
      <x:c r="AS26" s="39" t="n">
        <x:v>0.0238939464</x:v>
      </x:c>
      <x:c r="AT26" s="39" t="n">
        <x:v>0.0301783777</x:v>
      </x:c>
      <x:c r="AU26" s="39" t="n">
        <x:v>0.0521479596</x:v>
      </x:c>
      <x:c r="AV26" s="39" t="n">
        <x:v>0.0536768252</x:v>
      </x:c>
      <x:c r="AW26" s="39" t="n">
        <x:v>0.0515911396</x:v>
      </x:c>
      <x:c r="AX26" s="39" t="n">
        <x:v>0.017316032</x:v>
      </x:c>
      <x:c r="AY26" s="39" t="n">
        <x:v>0.0898286568</x:v>
      </x:c>
      <x:c r="AZ26" s="39" t="n">
        <x:v>-0.0467494945</x:v>
      </x:c>
      <x:c r="BA26" s="39" t="n">
        <x:v>-0.040227387</x:v>
      </x:c>
      <x:c r="BB26" s="39" t="n">
        <x:v>0.0330387236</x:v>
      </x:c>
      <x:c r="BC26" s="39" t="n">
        <x:v>0.1209128737</x:v>
      </x:c>
      <x:c r="BD26" s="39" t="n">
        <x:v>0.0470886925</x:v>
      </x:c>
      <x:c r="BE26" s="39" t="n">
        <x:v>0.0171677598</x:v>
      </x:c>
      <x:c r="BF26" s="39" t="n">
        <x:v>0.0526429717</x:v>
      </x:c>
      <x:c r="BG26" s="39" t="n">
        <x:v>0.0784392268</x:v>
      </x:c>
      <x:c r="BH26" s="39" t="n">
        <x:v>0.0443677292</x:v>
      </x:c>
      <x:c r="BI26" s="39" t="n">
        <x:v>-0.0216858</x:v>
      </x:c>
      <x:c r="BJ26" s="39" t="n">
        <x:v>0.0366346697</x:v>
      </x:c>
    </x:row>
    <x:row r="27" ht="19" customHeight="1">
      <x:c r="A27" s="40" t="d">
        <x:v>2022-12-05T00:00:00.000Z</x:v>
      </x:c>
      <x:c r="B27" s="39" t="n">
        <x:v>-0.0030828513</x:v>
      </x:c>
      <x:c r="C27" s="39" t="n">
        <x:v>-0.0265218117</x:v>
      </x:c>
      <x:c r="D27" s="39" t="n">
        <x:v>0.008159249</x:v>
      </x:c>
      <x:c r="E27" s="39" t="n">
        <x:v>0.0065697587</x:v>
      </x:c>
      <x:c r="F27" s="39" t="n">
        <x:v>0.0311759369</x:v>
      </x:c>
      <x:c r="G27" s="39" t="n">
        <x:v>-0.018205908</x:v>
      </x:c>
      <x:c r="H27" s="39" t="n">
        <x:v>-0.055928694</x:v>
      </x:c>
      <x:c r="I27" s="39" t="n">
        <x:v>-0.0637951873</x:v>
      </x:c>
      <x:c r="J27" s="39" t="n">
        <x:v>-0.036848505</x:v>
      </x:c>
      <x:c r="K27" s="39" t="n">
        <x:v>-0.0100773593</x:v>
      </x:c>
      <x:c r="L27" s="39" t="n">
        <x:v>0.0401283984</x:v>
      </x:c>
      <x:c r="M27" s="39" t="n">
        <x:v>0.0203092421</x:v>
      </x:c>
      <x:c r="N27" s="39" t="n">
        <x:v>0.005589552</x:v>
      </x:c>
      <x:c r="O27" s="39" t="n">
        <x:v>-0.1331891535</x:v>
      </x:c>
      <x:c r="P27" s="39" t="n">
        <x:v>-0.1258358974</x:v>
      </x:c>
      <x:c r="Q27" s="39" t="n">
        <x:v>0.0044544918</x:v>
      </x:c>
      <x:c r="R27" s="39" t="n">
        <x:v>0.0116914469</x:v>
      </x:c>
      <x:c r="S27" s="39" t="n">
        <x:v>0.0150576557</x:v>
      </x:c>
      <x:c r="T27" s="39" t="n">
        <x:v>-0.0157005863</x:v>
      </x:c>
      <x:c r="U27" s="39" t="n">
        <x:v>-0.0607222515</x:v>
      </x:c>
      <x:c r="V27" s="39" t="n">
        <x:v>0.0759323715</x:v>
      </x:c>
      <x:c r="W27" s="39" t="n">
        <x:v>0.041674737</x:v>
      </x:c>
      <x:c r="X27" s="39" t="n">
        <x:v>-0.1703172005</x:v>
      </x:c>
      <x:c r="Y27" s="39" t="n">
        <x:v>-0.0532314563</x:v>
      </x:c>
      <x:c r="Z27" s="39" t="n">
        <x:v>0.0115744026</x:v>
      </x:c>
      <x:c r="AA27" s="39" t="n">
        <x:v>0.0811372506</x:v>
      </x:c>
      <x:c r="AB27" s="39" t="n">
        <x:v>-0.058922386</x:v>
      </x:c>
      <x:c r="AC27" s="39" t="n">
        <x:v>0.0024853186</x:v>
      </x:c>
      <x:c r="AD27" s="39" t="n">
        <x:v>-0.0792561945</x:v>
      </x:c>
      <x:c r="AE27" s="39" t="n">
        <x:v>0.1096054419</x:v>
      </x:c>
      <x:c r="AF27" s="39" t="n">
        <x:v>-0.0399183219</x:v>
      </x:c>
      <x:c r="AG27" s="39" t="n">
        <x:v>-0.0154723015</x:v>
      </x:c>
      <x:c r="AH27" s="39" t="n">
        <x:v>-0.0541116673</x:v>
      </x:c>
      <x:c r="AI27" s="39" t="n">
        <x:v>-0.0400120925</x:v>
      </x:c>
      <x:c r="AJ27" s="39" t="n">
        <x:v>-0.0797558645</x:v>
      </x:c>
      <x:c r="AK27" s="39" t="n">
        <x:v>0.0686833164</x:v>
      </x:c>
      <x:c r="AL27" s="39" t="n">
        <x:v>0.0187368399</x:v>
      </x:c>
      <x:c r="AM27" s="39" t="n">
        <x:v>-0.0301394999</x:v>
      </x:c>
      <x:c r="AN27" s="39" t="n">
        <x:v>-0.0869335131</x:v>
      </x:c>
      <x:c r="AO27" s="39" t="n">
        <x:v>0.0298574594</x:v>
      </x:c>
      <x:c r="AP27" s="39" t="n">
        <x:v>-0.0195618907</x:v>
      </x:c>
      <x:c r="AQ27" s="39" t="n">
        <x:v>-0.0266712217</x:v>
      </x:c>
      <x:c r="AR27" s="39" t="n">
        <x:v>-0.0216000694</x:v>
      </x:c>
      <x:c r="AS27" s="39" t="n">
        <x:v>-0.0116183583</x:v>
      </x:c>
      <x:c r="AT27" s="39" t="n">
        <x:v>0.0102456444</x:v>
      </x:c>
      <x:c r="AU27" s="39" t="n">
        <x:v>0.0143479924</x:v>
      </x:c>
      <x:c r="AV27" s="39" t="n">
        <x:v>0.0140005987</x:v>
      </x:c>
      <x:c r="AW27" s="39" t="n">
        <x:v>0.0118288682</x:v>
      </x:c>
      <x:c r="AX27" s="39" t="n">
        <x:v>-0.0058133488</x:v>
      </x:c>
      <x:c r="AY27" s="39" t="n">
        <x:v>-0.0111200711</x:v>
      </x:c>
      <x:c r="AZ27" s="39" t="n">
        <x:v>0.0023591171</x:v>
      </x:c>
      <x:c r="BA27" s="39" t="n">
        <x:v>-0.0130305669</x:v>
      </x:c>
      <x:c r="BB27" s="39" t="n">
        <x:v>0.0300992626</x:v>
      </x:c>
      <x:c r="BC27" s="39" t="n">
        <x:v>-0.1217385551</x:v>
      </x:c>
      <x:c r="BD27" s="39" t="n">
        <x:v>-0.0249685389</x:v>
      </x:c>
      <x:c r="BE27" s="39" t="n">
        <x:v>0.0335061331</x:v>
      </x:c>
      <x:c r="BF27" s="39" t="n">
        <x:v>0.0031711194</x:v>
      </x:c>
      <x:c r="BG27" s="39" t="n">
        <x:v>0.0069738109</x:v>
      </x:c>
      <x:c r="BH27" s="39" t="n">
        <x:v>0.0045311863</x:v>
      </x:c>
      <x:c r="BI27" s="39" t="n">
        <x:v>0.0027027925</x:v>
      </x:c>
      <x:c r="BJ27" s="39" t="n">
        <x:v>0.0351793435</x:v>
      </x:c>
    </x:row>
    <x:row r="28" ht="19" customHeight="1">
      <x:c r="A28" s="40" t="d">
        <x:v>2023-01-02T00:00:00.000Z</x:v>
      </x:c>
      <x:c r="B28" s="39" t="n">
        <x:v>-0.0648267934</x:v>
      </x:c>
      <x:c r="C28" s="39" t="n">
        <x:v>0.0971837811</x:v>
      </x:c>
      <x:c r="D28" s="39" t="n">
        <x:v>-0.0216527627</x:v>
      </x:c>
      <x:c r="E28" s="39" t="n">
        <x:v>-0.0865078956</x:v>
      </x:c>
      <x:c r="F28" s="39" t="n">
        <x:v>-0.0158331107</x:v>
      </x:c>
      <x:c r="G28" s="39" t="n">
        <x:v>-0.0432339637</x:v>
      </x:c>
      <x:c r="H28" s="39" t="n">
        <x:v>0.0274369541</x:v>
      </x:c>
      <x:c r="I28" s="39" t="n">
        <x:v>-0.0737359903</x:v>
      </x:c>
      <x:c r="J28" s="39" t="n">
        <x:v>0.0402112336</x:v>
      </x:c>
      <x:c r="K28" s="39" t="n">
        <x:v>0.0171364167</x:v>
      </x:c>
      <x:c r="L28" s="39" t="n">
        <x:v>-0.173837283</x:v>
      </x:c>
      <x:c r="M28" s="39" t="n">
        <x:v>-0.0260178763</x:v>
      </x:c>
      <x:c r="N28" s="39" t="n">
        <x:v>-0.1429962704</x:v>
      </x:c>
      <x:c r="O28" s="39" t="n">
        <x:v>0.0302524612</x:v>
      </x:c>
      <x:c r="P28" s="39" t="n">
        <x:v>0.0596751245</x:v>
      </x:c>
      <x:c r="Q28" s="39" t="n">
        <x:v>-0.1170691426</x:v>
      </x:c>
      <x:c r="R28" s="39" t="n">
        <x:v>-0.016161134</x:v>
      </x:c>
      <x:c r="S28" s="39" t="n">
        <x:v>-0.1304178082</x:v>
      </x:c>
      <x:c r="T28" s="39" t="n">
        <x:v>-0.0032482572</x:v>
      </x:c>
      <x:c r="U28" s="39" t="n">
        <x:v>-0.0006464454</x:v>
      </x:c>
      <x:c r="V28" s="39" t="n">
        <x:v>-0.0118788795</x:v>
      </x:c>
      <x:c r="W28" s="39" t="n">
        <x:v>0.0185777593</x:v>
      </x:c>
      <x:c r="X28" s="39" t="n">
        <x:v>0.0250411922</x:v>
      </x:c>
      <x:c r="Y28" s="39" t="n">
        <x:v>0.0537029256</x:v>
      </x:c>
      <x:c r="Z28" s="39" t="n">
        <x:v>0.0071125208</x:v>
      </x:c>
      <x:c r="AA28" s="39" t="n">
        <x:v>0.1438732263</x:v>
      </x:c>
      <x:c r="AB28" s="39" t="n">
        <x:v>-0.238004843</x:v>
      </x:c>
      <x:c r="AC28" s="39" t="n">
        <x:v>0.0119492493</x:v>
      </x:c>
      <x:c r="AD28" s="39" t="n">
        <x:v>-0.0407009535</x:v>
      </x:c>
      <x:c r="AE28" s="39" t="n">
        <x:v>0.0761864473</x:v>
      </x:c>
      <x:c r="AF28" s="39" t="n">
        <x:v>0.1381518269</x:v>
      </x:c>
      <x:c r="AG28" s="39" t="n">
        <x:v>-0.0659227863</x:v>
      </x:c>
      <x:c r="AH28" s="39" t="n">
        <x:v>0.0118094836</x:v>
      </x:c>
      <x:c r="AI28" s="39" t="n">
        <x:v>0.0216848449</x:v>
      </x:c>
      <x:c r="AJ28" s="39" t="n">
        <x:v>-0.0119783223</x:v>
      </x:c>
      <x:c r="AK28" s="39" t="n">
        <x:v>0.0153459011</x:v>
      </x:c>
      <x:c r="AL28" s="39" t="n">
        <x:v>-0.0336628328</x:v>
      </x:c>
      <x:c r="AM28" s="39" t="n">
        <x:v>-0.0671094892</x:v>
      </x:c>
      <x:c r="AN28" s="39" t="n">
        <x:v>0.007584596</x:v>
      </x:c>
      <x:c r="AO28" s="39" t="n">
        <x:v>-0.0022173943</x:v>
      </x:c>
      <x:c r="AP28" s="39" t="n">
        <x:v>-0.0236158495</x:v>
      </x:c>
      <x:c r="AQ28" s="39" t="n">
        <x:v>0.0091248952</x:v>
      </x:c>
      <x:c r="AR28" s="39" t="n">
        <x:v>0.0100131113</x:v>
      </x:c>
      <x:c r="AS28" s="39" t="n">
        <x:v>0.0282365127</x:v>
      </x:c>
      <x:c r="AT28" s="39" t="n">
        <x:v>0.0124341339</x:v>
      </x:c>
      <x:c r="AU28" s="39" t="n">
        <x:v>0.0090054624</x:v>
      </x:c>
      <x:c r="AV28" s="39" t="n">
        <x:v>0.0094171329</x:v>
      </x:c>
      <x:c r="AW28" s="39" t="n">
        <x:v>0.0103567073</x:v>
      </x:c>
      <x:c r="AX28" s="39" t="n">
        <x:v>0.0010434147</x:v>
      </x:c>
      <x:c r="AY28" s="39" t="n">
        <x:v>-0.0074518312</x:v>
      </x:c>
      <x:c r="AZ28" s="39" t="n">
        <x:v>0.0272960819</x:v>
      </x:c>
      <x:c r="BA28" s="39" t="n">
        <x:v>-0.0278144287</x:v>
      </x:c>
      <x:c r="BB28" s="39" t="n">
        <x:v>0.0067690716</x:v>
      </x:c>
      <x:c r="BC28" s="39" t="n">
        <x:v>0.0368463241</x:v>
      </x:c>
      <x:c r="BD28" s="39" t="n">
        <x:v>0.0302381862</x:v>
      </x:c>
      <x:c r="BE28" s="39" t="n">
        <x:v>-0.0091830362</x:v>
      </x:c>
      <x:c r="BF28" s="39" t="n">
        <x:v>0.02364957</x:v>
      </x:c>
      <x:c r="BG28" s="39" t="n">
        <x:v>0.0060393406</x:v>
      </x:c>
      <x:c r="BH28" s="39" t="n">
        <x:v>0.0113285966</x:v>
      </x:c>
      <x:c r="BI28" s="39" t="n">
        <x:v>-0.0272666738</x:v>
      </x:c>
      <x:c r="BJ28" s="39" t="n">
        <x:v>0.0093656446</x:v>
      </x:c>
    </x:row>
    <x:row r="29" ht="19" customHeight="1">
      <x:c r="A29" s="40" t="d">
        <x:v>2023-01-30T00:00:00.000Z</x:v>
      </x:c>
      <x:c r="B29" s="39" t="n">
        <x:v>-0.052923745</x:v>
      </x:c>
      <x:c r="C29" s="39" t="n">
        <x:v>-0.002574333</x:v>
      </x:c>
      <x:c r="D29" s="39" t="n">
        <x:v>-0.0113721002</x:v>
      </x:c>
      <x:c r="E29" s="39" t="n">
        <x:v>0.0329595449</x:v>
      </x:c>
      <x:c r="F29" s="39" t="n">
        <x:v>0.0428689343</x:v>
      </x:c>
      <x:c r="G29" s="39" t="n">
        <x:v>0.0894037178</x:v>
      </x:c>
      <x:c r="H29" s="39" t="n">
        <x:v>0.0130653179</x:v>
      </x:c>
      <x:c r="I29" s="39" t="n">
        <x:v>-0.0011733277</x:v>
      </x:c>
      <x:c r="J29" s="39" t="n">
        <x:v>-0.0348081778</x:v>
      </x:c>
      <x:c r="K29" s="39" t="n">
        <x:v>0.0327549386</x:v>
      </x:c>
      <x:c r="L29" s="39" t="n">
        <x:v>-0.0035666281</x:v>
      </x:c>
      <x:c r="M29" s="39" t="n">
        <x:v>0.0448993514</x:v>
      </x:c>
      <x:c r="N29" s="39" t="n">
        <x:v>0.0500383159</x:v>
      </x:c>
      <x:c r="O29" s="39" t="n">
        <x:v>-0.0235256403</x:v>
      </x:c>
      <x:c r="P29" s="39" t="n">
        <x:v>-0.0934881537</x:v>
      </x:c>
      <x:c r="Q29" s="39" t="n">
        <x:v>0.0603575541</x:v>
      </x:c>
      <x:c r="R29" s="39" t="n">
        <x:v>0.023606813</x:v>
      </x:c>
      <x:c r="S29" s="39" t="n">
        <x:v>0.1248110154</x:v>
      </x:c>
      <x:c r="T29" s="39" t="n">
        <x:v>-0.0201591517</x:v>
      </x:c>
      <x:c r="U29" s="39" t="n">
        <x:v>0.0565970612</x:v>
      </x:c>
      <x:c r="V29" s="39" t="n">
        <x:v>0.0016892045</x:v>
      </x:c>
      <x:c r="W29" s="39" t="n">
        <x:v>-0.0157150644</x:v>
      </x:c>
      <x:c r="X29" s="39" t="n">
        <x:v>-0.0427496988</x:v>
      </x:c>
      <x:c r="Y29" s="39" t="n">
        <x:v>-0.0731724628</x:v>
      </x:c>
      <x:c r="Z29" s="39" t="n">
        <x:v>0.0258762098</x:v>
      </x:c>
      <x:c r="AA29" s="39" t="n">
        <x:v>-0.0477123806</x:v>
      </x:c>
      <x:c r="AB29" s="39" t="n">
        <x:v>0.3078737533</x:v>
      </x:c>
      <x:c r="AC29" s="39" t="n">
        <x:v>-0.0359326205</x:v>
      </x:c>
      <x:c r="AD29" s="39" t="n">
        <x:v>-0.0428160909</x:v>
      </x:c>
      <x:c r="AE29" s="39" t="n">
        <x:v>-0.0500758539</x:v>
      </x:c>
      <x:c r="AF29" s="39" t="n">
        <x:v>-0.064769399</x:v>
      </x:c>
      <x:c r="AG29" s="39" t="n">
        <x:v>-0.0289597122</x:v>
      </x:c>
      <x:c r="AH29" s="39" t="n">
        <x:v>0.0298549855</x:v>
      </x:c>
      <x:c r="AI29" s="39" t="n">
        <x:v>-0.0649133458</x:v>
      </x:c>
      <x:c r="AJ29" s="39" t="n">
        <x:v>0.0202734527</x:v>
      </x:c>
      <x:c r="AK29" s="39" t="n">
        <x:v>-0.1075554929</x:v>
      </x:c>
      <x:c r="AL29" s="39" t="n">
        <x:v>0.0229558972</x:v>
      </x:c>
      <x:c r="AM29" s="39" t="n">
        <x:v>0.0430644769</x:v>
      </x:c>
      <x:c r="AN29" s="39" t="n">
        <x:v>0.0158173075</x:v>
      </x:c>
      <x:c r="AO29" s="39" t="n">
        <x:v>-0.0212412802</x:v>
      </x:c>
      <x:c r="AP29" s="39" t="n">
        <x:v>0.0215421246</x:v>
      </x:c>
      <x:c r="AQ29" s="39" t="n">
        <x:v>-0.0296350522</x:v>
      </x:c>
      <x:c r="AR29" s="39" t="n">
        <x:v>-0.0267158546</x:v>
      </x:c>
      <x:c r="AS29" s="39" t="n">
        <x:v>0.0075703034</x:v>
      </x:c>
      <x:c r="AT29" s="39" t="n">
        <x:v>0.0084665796</x:v>
      </x:c>
      <x:c r="AU29" s="39" t="n">
        <x:v>0.0115759178</x:v>
      </x:c>
      <x:c r="AV29" s="39" t="n">
        <x:v>0.0132130312</x:v>
      </x:c>
      <x:c r="AW29" s="39" t="n">
        <x:v>0.0053920415</x:v>
      </x:c>
      <x:c r="AX29" s="39" t="n">
        <x:v>0.0119037388</x:v>
      </x:c>
      <x:c r="AY29" s="39" t="n">
        <x:v>0.0525208258</x:v>
      </x:c>
      <x:c r="AZ29" s="39" t="n">
        <x:v>0.077826062</x:v>
      </x:c>
      <x:c r="BA29" s="39" t="n">
        <x:v>0.0635114395</x:v>
      </x:c>
      <x:c r="BB29" s="39" t="n">
        <x:v>-0.050012359</x:v>
      </x:c>
      <x:c r="BC29" s="39" t="n">
        <x:v>-0.025393296</x:v>
      </x:c>
      <x:c r="BD29" s="39" t="n">
        <x:v>-0.0147592753</x:v>
      </x:c>
      <x:c r="BE29" s="39" t="n">
        <x:v>-0.0447491241</x:v>
      </x:c>
      <x:c r="BF29" s="39" t="n">
        <x:v>-0.0318840846</x:v>
      </x:c>
      <x:c r="BG29" s="39" t="n">
        <x:v>-0.0065549459</x:v>
      </x:c>
      <x:c r="BH29" s="39" t="n">
        <x:v>0.0290429595</x:v>
      </x:c>
      <x:c r="BI29" s="39" t="n">
        <x:v>0.0349427269</x:v>
      </x:c>
      <x:c r="BJ29" s="39" t="n">
        <x:v>-0.0624301956</x:v>
      </x:c>
    </x:row>
    <x:row r="30" ht="19" customHeight="1">
      <x:c r="A30" s="40" t="d">
        <x:v>2023-02-27T00:00:00.000Z</x:v>
      </x:c>
      <x:c r="B30" s="39" t="n">
        <x:v>-0.0569237419</x:v>
      </x:c>
      <x:c r="C30" s="39" t="n">
        <x:v>0.1425879739</x:v>
      </x:c>
      <x:c r="D30" s="39" t="n">
        <x:v>0.0185491226</x:v>
      </x:c>
      <x:c r="E30" s="39" t="n">
        <x:v>-0.003746317</x:v>
      </x:c>
      <x:c r="F30" s="39" t="n">
        <x:v>-0.0179028166</x:v>
      </x:c>
      <x:c r="G30" s="39" t="n">
        <x:v>-0.0618798062</x:v>
      </x:c>
      <x:c r="H30" s="39" t="n">
        <x:v>-0.013520929</x:v>
      </x:c>
      <x:c r="I30" s="39" t="n">
        <x:v>0.155304669</x:v>
      </x:c>
      <x:c r="J30" s="39" t="n">
        <x:v>-0.0462179214</x:v>
      </x:c>
      <x:c r="K30" s="39" t="n">
        <x:v>0.0478813086</x:v>
      </x:c>
      <x:c r="L30" s="39" t="n">
        <x:v>-0.0335416148</x:v>
      </x:c>
      <x:c r="M30" s="39" t="n">
        <x:v>0.0095394484</x:v>
      </x:c>
      <x:c r="N30" s="39" t="n">
        <x:v>0.0175721114</x:v>
      </x:c>
      <x:c r="O30" s="39" t="n">
        <x:v>-0.1357754946</x:v>
      </x:c>
      <x:c r="P30" s="39" t="n">
        <x:v>-0.0007113782</x:v>
      </x:c>
      <x:c r="Q30" s="39" t="n">
        <x:v>0.1049003333</x:v>
      </x:c>
      <x:c r="R30" s="39" t="n">
        <x:v>0.0497680332</x:v>
      </x:c>
      <x:c r="S30" s="39" t="n">
        <x:v>0.0443096835</x:v>
      </x:c>
      <x:c r="T30" s="39" t="n">
        <x:v>-0.0989123219</x:v>
      </x:c>
      <x:c r="U30" s="39" t="n">
        <x:v>0.075231278</x:v>
      </x:c>
      <x:c r="V30" s="39" t="n">
        <x:v>-0.0687670193</x:v>
      </x:c>
      <x:c r="W30" s="39" t="n">
        <x:v>0.0155352224</x:v>
      </x:c>
      <x:c r="X30" s="39" t="n">
        <x:v>-0.0858959602</x:v>
      </x:c>
      <x:c r="Y30" s="39" t="n">
        <x:v>-0.0568986996</x:v>
      </x:c>
      <x:c r="Z30" s="39" t="n">
        <x:v>0.0572034054</x:v>
      </x:c>
      <x:c r="AA30" s="39" t="n">
        <x:v>-0.1276363024</x:v>
      </x:c>
      <x:c r="AB30" s="39" t="n">
        <x:v>-0.0795684707</x:v>
      </x:c>
      <x:c r="AC30" s="39" t="n">
        <x:v>0.0164315673</x:v>
      </x:c>
      <x:c r="AD30" s="39" t="n">
        <x:v>0.1007409071</x:v>
      </x:c>
      <x:c r="AE30" s="39" t="n">
        <x:v>-0.1166924267</x:v>
      </x:c>
      <x:c r="AF30" s="39" t="n">
        <x:v>0.0854382902</x:v>
      </x:c>
      <x:c r="AG30" s="39" t="n">
        <x:v>0.0097332509</x:v>
      </x:c>
      <x:c r="AH30" s="39" t="n">
        <x:v>-0.0254010994</x:v>
      </x:c>
      <x:c r="AI30" s="39" t="n">
        <x:v>-0.0527281823</x:v>
      </x:c>
      <x:c r="AJ30" s="39" t="n">
        <x:v>0.0618360778</x:v>
      </x:c>
      <x:c r="AK30" s="39" t="n">
        <x:v>0.002053383</x:v>
      </x:c>
      <x:c r="AL30" s="39" t="n">
        <x:v>0.0269611031</x:v>
      </x:c>
      <x:c r="AM30" s="39" t="n">
        <x:v>-0.0294062327</x:v>
      </x:c>
      <x:c r="AN30" s="39" t="n">
        <x:v>-0.0499621356</x:v>
      </x:c>
      <x:c r="AO30" s="39" t="n">
        <x:v>-0.0668248254</x:v>
      </x:c>
      <x:c r="AP30" s="39" t="n">
        <x:v>0.0042847317</x:v>
      </x:c>
      <x:c r="AQ30" s="39" t="n">
        <x:v>-0.035805851</x:v>
      </x:c>
      <x:c r="AR30" s="39" t="n">
        <x:v>0.0259293256</x:v>
      </x:c>
      <x:c r="AS30" s="39" t="n">
        <x:v>0.0481412698</x:v>
      </x:c>
      <x:c r="AT30" s="39" t="n">
        <x:v>-0.0143521615</x:v>
      </x:c>
      <x:c r="AU30" s="39" t="n">
        <x:v>-0.0128705138</x:v>
      </x:c>
      <x:c r="AV30" s="39" t="n">
        <x:v>-0.0145237556</x:v>
      </x:c>
      <x:c r="AW30" s="39" t="n">
        <x:v>-0.0200043098</x:v>
      </x:c>
      <x:c r="AX30" s="39" t="n">
        <x:v>-0.0123111453</x:v>
      </x:c>
      <x:c r="AY30" s="39" t="n">
        <x:v>-0.0175509567</x:v>
      </x:c>
      <x:c r="AZ30" s="39" t="n">
        <x:v>-0.0353671313</x:v>
      </x:c>
      <x:c r="BA30" s="39" t="n">
        <x:v>-0.0017037999</x:v>
      </x:c>
      <x:c r="BB30" s="39" t="n">
        <x:v>-0.0043511326</x:v>
      </x:c>
      <x:c r="BC30" s="39" t="n">
        <x:v>-0.0096018959</x:v>
      </x:c>
      <x:c r="BD30" s="39" t="n">
        <x:v>-0.002291051</x:v>
      </x:c>
      <x:c r="BE30" s="39" t="n">
        <x:v>-0.017301219</x:v>
      </x:c>
      <x:c r="BF30" s="39" t="n">
        <x:v>0.0196456429</x:v>
      </x:c>
      <x:c r="BG30" s="39" t="n">
        <x:v>0.0271132935</x:v>
      </x:c>
      <x:c r="BH30" s="39" t="n">
        <x:v>-0.029223963</x:v>
      </x:c>
      <x:c r="BI30" s="39" t="n">
        <x:v>0.0161480024</x:v>
      </x:c>
      <x:c r="BJ30" s="39" t="n">
        <x:v>-0.0172817192</x:v>
      </x:c>
    </x:row>
    <x:row r="31" ht="19" customHeight="1">
      <x:c r="A31" s="40" t="d">
        <x:v>2023-03-27T00:00:00.000Z</x:v>
      </x:c>
      <x:c r="B31" s="39" t="n">
        <x:v>0.0631116358</x:v>
      </x:c>
      <x:c r="C31" s="39" t="n">
        <x:v>0.0333004846</x:v>
      </x:c>
      <x:c r="D31" s="39" t="n">
        <x:v>-0.0026523231</x:v>
      </x:c>
      <x:c r="E31" s="39" t="n">
        <x:v>-0.0093980443</x:v>
      </x:c>
      <x:c r="F31" s="39" t="n">
        <x:v>0.0339059673</x:v>
      </x:c>
      <x:c r="G31" s="39" t="n">
        <x:v>0.0919261765</x:v>
      </x:c>
      <x:c r="H31" s="39" t="n">
        <x:v>0.0130559815</x:v>
      </x:c>
      <x:c r="I31" s="39" t="n">
        <x:v>-0.1692340741</x:v>
      </x:c>
      <x:c r="J31" s="39" t="n">
        <x:v>-0.1543459151</x:v>
      </x:c>
      <x:c r="K31" s="39" t="n">
        <x:v>0.0259481285</x:v>
      </x:c>
      <x:c r="L31" s="39" t="n">
        <x:v>-0.110423282</x:v>
      </x:c>
      <x:c r="M31" s="39" t="n">
        <x:v>-0.0539602923</x:v>
      </x:c>
      <x:c r="N31" s="39" t="n">
        <x:v>-0.0014771096</x:v>
      </x:c>
      <x:c r="O31" s="39" t="n">
        <x:v>-0.1225736131</x:v>
      </x:c>
      <x:c r="P31" s="39" t="n">
        <x:v>-0.0782422502</x:v>
      </x:c>
      <x:c r="Q31" s="39" t="n">
        <x:v>-0.0062129093</x:v>
      </x:c>
      <x:c r="R31" s="39" t="n">
        <x:v>0.0067967554</x:v>
      </x:c>
      <x:c r="S31" s="39" t="n">
        <x:v>-0.011993785</x:v>
      </x:c>
      <x:c r="T31" s="39" t="n">
        <x:v>0.0873166978</x:v>
      </x:c>
      <x:c r="U31" s="39" t="n">
        <x:v>0.0293299172</x:v>
      </x:c>
      <x:c r="V31" s="39" t="n">
        <x:v>-0.0200912724</x:v>
      </x:c>
      <x:c r="W31" s="39" t="n">
        <x:v>-0.0070104561</x:v>
      </x:c>
      <x:c r="X31" s="39" t="n">
        <x:v>-0.0883011968</x:v>
      </x:c>
      <x:c r="Y31" s="39" t="n">
        <x:v>0.1249988236</x:v>
      </x:c>
      <x:c r="Z31" s="39" t="n">
        <x:v>0.0194449512</x:v>
      </x:c>
      <x:c r="AA31" s="39" t="n">
        <x:v>-0.0304678801</x:v>
      </x:c>
      <x:c r="AB31" s="39" t="n">
        <x:v>0.0499526118</x:v>
      </x:c>
      <x:c r="AC31" s="39" t="n">
        <x:v>0.0190274246</x:v>
      </x:c>
      <x:c r="AD31" s="39" t="n">
        <x:v>-0.0373282642</x:v>
      </x:c>
      <x:c r="AE31" s="39" t="n">
        <x:v>0.1026067749</x:v>
      </x:c>
      <x:c r="AF31" s="39" t="n">
        <x:v>-0.0053369857</x:v>
      </x:c>
      <x:c r="AG31" s="39" t="n">
        <x:v>-0.0168976472</x:v>
      </x:c>
      <x:c r="AH31" s="39" t="n">
        <x:v>0.0037549646</x:v>
      </x:c>
      <x:c r="AI31" s="39" t="n">
        <x:v>0.0097596399</x:v>
      </x:c>
      <x:c r="AJ31" s="39" t="n">
        <x:v>-0.0187858647</x:v>
      </x:c>
      <x:c r="AK31" s="39" t="n">
        <x:v>-0.0613503004</x:v>
      </x:c>
      <x:c r="AL31" s="39" t="n">
        <x:v>0.0565431523</x:v>
      </x:c>
      <x:c r="AM31" s="39" t="n">
        <x:v>-0.0193883531</x:v>
      </x:c>
      <x:c r="AN31" s="39" t="n">
        <x:v>-0.0270681496</x:v>
      </x:c>
      <x:c r="AO31" s="39" t="n">
        <x:v>0.0108982791</x:v>
      </x:c>
      <x:c r="AP31" s="39" t="n">
        <x:v>0.0256393272</x:v>
      </x:c>
      <x:c r="AQ31" s="39" t="n">
        <x:v>-0.0060608063</x:v>
      </x:c>
      <x:c r="AR31" s="39" t="n">
        <x:v>0.0365076636</x:v>
      </x:c>
      <x:c r="AS31" s="39" t="n">
        <x:v>-0.0029930495</x:v>
      </x:c>
      <x:c r="AT31" s="39" t="n">
        <x:v>0.0095882832</x:v>
      </x:c>
      <x:c r="AU31" s="39" t="n">
        <x:v>0.016158667</x:v>
      </x:c>
      <x:c r="AV31" s="39" t="n">
        <x:v>0.0182087978</x:v>
      </x:c>
      <x:c r="AW31" s="39" t="n">
        <x:v>-0.0070233243</x:v>
      </x:c>
      <x:c r="AX31" s="39" t="n">
        <x:v>-0.005578965</x:v>
      </x:c>
      <x:c r="AY31" s="39" t="n">
        <x:v>0.0147768852</x:v>
      </x:c>
      <x:c r="AZ31" s="39" t="n">
        <x:v>0.0413579808</x:v>
      </x:c>
      <x:c r="BA31" s="39" t="n">
        <x:v>0.0121331831</x:v>
      </x:c>
      <x:c r="BB31" s="39" t="n">
        <x:v>0.0234253522</x:v>
      </x:c>
      <x:c r="BC31" s="39" t="n">
        <x:v>-0.0537744696</x:v>
      </x:c>
      <x:c r="BD31" s="39" t="n">
        <x:v>-0.1097281967</x:v>
      </x:c>
      <x:c r="BE31" s="39" t="n">
        <x:v>-0.0029118333</x:v>
      </x:c>
      <x:c r="BF31" s="39" t="n">
        <x:v>-0.0334947985</x:v>
      </x:c>
      <x:c r="BG31" s="39" t="n">
        <x:v>-0.0485575542</x:v>
      </x:c>
      <x:c r="BH31" s="39" t="n">
        <x:v>-0.0330746479</x:v>
      </x:c>
      <x:c r="BI31" s="39" t="n">
        <x:v>0.0476314863</x:v>
      </x:c>
      <x:c r="BJ31" s="39" t="n">
        <x:v>0.0170581376</x:v>
      </x:c>
    </x:row>
    <x:row r="32" ht="19" customHeight="1">
      <x:c r="A32" s="40" t="d">
        <x:v>2023-04-24T00:00:00.000Z</x:v>
      </x:c>
      <x:c r="B32" s="39" t="n">
        <x:v>-0.0210237431</x:v>
      </x:c>
      <x:c r="C32" s="39" t="n">
        <x:v>0.024327175</x:v>
      </x:c>
      <x:c r="D32" s="39" t="n">
        <x:v>0.0011825794</x:v>
      </x:c>
      <x:c r="E32" s="39" t="n">
        <x:v>-0.0249586708</x:v>
      </x:c>
      <x:c r="F32" s="39" t="n">
        <x:v>0.0275927343</x:v>
      </x:c>
      <x:c r="G32" s="39" t="n">
        <x:v>0.1985712371</x:v>
      </x:c>
      <x:c r="H32" s="39" t="n">
        <x:v>0.0189386816</x:v>
      </x:c>
      <x:c r="I32" s="39" t="n">
        <x:v>0.0223638571</x:v>
      </x:c>
      <x:c r="J32" s="39" t="n">
        <x:v>-0.093842888</x:v>
      </x:c>
      <x:c r="K32" s="39" t="n">
        <x:v>-0.2155836239</x:v>
      </x:c>
      <x:c r="L32" s="39" t="n">
        <x:v>-0.013947776</x:v>
      </x:c>
      <x:c r="M32" s="39" t="n">
        <x:v>-0.0688270367</x:v>
      </x:c>
      <x:c r="N32" s="39" t="n">
        <x:v>-0.1658233852</x:v>
      </x:c>
      <x:c r="O32" s="39" t="n">
        <x:v>-0.0040925722</x:v>
      </x:c>
      <x:c r="P32" s="39" t="n">
        <x:v>-0.4137197115</x:v>
      </x:c>
      <x:c r="Q32" s="39" t="n">
        <x:v>-0.1767109167</x:v>
      </x:c>
      <x:c r="R32" s="39" t="n">
        <x:v>-0.0377896467</x:v>
      </x:c>
      <x:c r="S32" s="39" t="n">
        <x:v>-0.2232917252</x:v>
      </x:c>
      <x:c r="T32" s="39" t="n">
        <x:v>-0.1009904686</x:v>
      </x:c>
      <x:c r="U32" s="39" t="n">
        <x:v>-0.0270423391</x:v>
      </x:c>
      <x:c r="V32" s="39" t="n">
        <x:v>-0.0588254502</x:v>
      </x:c>
      <x:c r="W32" s="39" t="n">
        <x:v>0.0784590971</x:v>
      </x:c>
      <x:c r="X32" s="39" t="n">
        <x:v>0.0661965827</x:v>
      </x:c>
      <x:c r="Y32" s="39" t="n">
        <x:v>0.0080943365</x:v>
      </x:c>
      <x:c r="Z32" s="39" t="n">
        <x:v>-0.0771890407</x:v>
      </x:c>
      <x:c r="AA32" s="39" t="n">
        <x:v>0.0219337981</x:v>
      </x:c>
      <x:c r="AB32" s="39" t="n">
        <x:v>-0.1100210536</x:v>
      </x:c>
      <x:c r="AC32" s="39" t="n">
        <x:v>0.0370346053</x:v>
      </x:c>
      <x:c r="AD32" s="39" t="n">
        <x:v>-0.0173464695</x:v>
      </x:c>
      <x:c r="AE32" s="39" t="n">
        <x:v>-0.1012581691</x:v>
      </x:c>
      <x:c r="AF32" s="39" t="n">
        <x:v>0.0111281063</x:v>
      </x:c>
      <x:c r="AG32" s="39" t="n">
        <x:v>0.012307591</x:v>
      </x:c>
      <x:c r="AH32" s="39" t="n">
        <x:v>-0.0340146932</x:v>
      </x:c>
      <x:c r="AI32" s="39" t="n">
        <x:v>0.0919111004</x:v>
      </x:c>
      <x:c r="AJ32" s="39" t="n">
        <x:v>0.0665410034</x:v>
      </x:c>
      <x:c r="AK32" s="39" t="n">
        <x:v>-0.1336045181</x:v>
      </x:c>
      <x:c r="AL32" s="39" t="n">
        <x:v>0.0377357198</x:v>
      </x:c>
      <x:c r="AM32" s="39" t="n">
        <x:v>0.0014195572</x:v>
      </x:c>
      <x:c r="AN32" s="39" t="n">
        <x:v>0.0084151816</x:v>
      </x:c>
      <x:c r="AO32" s="39" t="n">
        <x:v>0.0529867077</x:v>
      </x:c>
      <x:c r="AP32" s="39" t="n">
        <x:v>0.0049269934</x:v>
      </x:c>
      <x:c r="AQ32" s="39" t="n">
        <x:v>0.0180468358</x:v>
      </x:c>
      <x:c r="AR32" s="39" t="n">
        <x:v>0.038872831</x:v>
      </x:c>
      <x:c r="AS32" s="39" t="n">
        <x:v>0.0008232827</x:v>
      </x:c>
      <x:c r="AT32" s="39" t="n">
        <x:v>-0.0031178827</x:v>
      </x:c>
      <x:c r="AU32" s="39" t="n">
        <x:v>0.0139767667</x:v>
      </x:c>
      <x:c r="AV32" s="39" t="n">
        <x:v>0.0210613759</x:v>
      </x:c>
      <x:c r="AW32" s="39" t="n">
        <x:v>-0.0135479897</x:v>
      </x:c>
      <x:c r="AX32" s="39" t="n">
        <x:v>0.0078626369</x:v>
      </x:c>
      <x:c r="AY32" s="39" t="n">
        <x:v>0.0143147111</x:v>
      </x:c>
      <x:c r="AZ32" s="39" t="n">
        <x:v>0.0182032937</x:v>
      </x:c>
      <x:c r="BA32" s="39" t="n">
        <x:v>-0.0196873655</x:v>
      </x:c>
      <x:c r="BB32" s="39" t="n">
        <x:v>0.0255069417</x:v>
      </x:c>
      <x:c r="BC32" s="39" t="n">
        <x:v>0.0080302247</x:v>
      </x:c>
      <x:c r="BD32" s="39" t="n">
        <x:v>0.0149248413</x:v>
      </x:c>
      <x:c r="BE32" s="39" t="n">
        <x:v>0.0197922047</x:v>
      </x:c>
      <x:c r="BF32" s="39" t="n">
        <x:v>-0.0256829556</x:v>
      </x:c>
      <x:c r="BG32" s="39" t="n">
        <x:v>-0.0108308606</x:v>
      </x:c>
      <x:c r="BH32" s="39" t="n">
        <x:v>0.0019460978</x:v>
      </x:c>
      <x:c r="BI32" s="39" t="n">
        <x:v>-0.0212644432</x:v>
      </x:c>
      <x:c r="BJ32" s="39" t="n">
        <x:v>0.0086062463</x:v>
      </x:c>
    </x:row>
    <x:row r="33" ht="19" customHeight="1">
      <x:c r="A33" s="40" t="d">
        <x:v>2023-05-22T00:00:00.000Z</x:v>
      </x:c>
      <x:c r="B33" s="39" t="n">
        <x:v>0.0024515024</x:v>
      </x:c>
      <x:c r="C33" s="39" t="n">
        <x:v>0.0133731147</x:v>
      </x:c>
      <x:c r="D33" s="39" t="n">
        <x:v>-0.0229611742</x:v>
      </x:c>
      <x:c r="E33" s="39" t="n">
        <x:v>-0.0383790731</x:v>
      </x:c>
      <x:c r="F33" s="39" t="n">
        <x:v>-0.1337566072</x:v>
      </x:c>
      <x:c r="G33" s="39" t="n">
        <x:v>-0.0193175135</x:v>
      </x:c>
      <x:c r="H33" s="39" t="n">
        <x:v>0.0504450401</x:v>
      </x:c>
      <x:c r="I33" s="39" t="n">
        <x:v>-0.0847852574</x:v>
      </x:c>
      <x:c r="J33" s="39" t="n">
        <x:v>-0.0821135727</x:v>
      </x:c>
      <x:c r="K33" s="39" t="n">
        <x:v>0.0789611859</x:v>
      </x:c>
      <x:c r="L33" s="39" t="n">
        <x:v>-0.0490180228</x:v>
      </x:c>
      <x:c r="M33" s="39" t="n">
        <x:v>-0.1542407687</x:v>
      </x:c>
      <x:c r="N33" s="39" t="n">
        <x:v>0.0352763743</x:v>
      </x:c>
      <x:c r="O33" s="39" t="n">
        <x:v>-0.0111868175</x:v>
      </x:c>
      <x:c r="P33" s="39" t="n">
        <x:v>0.2527704395</x:v>
      </x:c>
      <x:c r="Q33" s="39" t="n">
        <x:v>0.0074570739</x:v>
      </x:c>
      <x:c r="R33" s="39" t="n">
        <x:v>-0.0078784744</x:v>
      </x:c>
      <x:c r="S33" s="39" t="n">
        <x:v>0.1601172418</x:v>
      </x:c>
      <x:c r="T33" s="39" t="n">
        <x:v>0.0287262081</x:v>
      </x:c>
      <x:c r="U33" s="39" t="n">
        <x:v>-0.0720538426</x:v>
      </x:c>
      <x:c r="V33" s="39" t="n">
        <x:v>0.0787773613</x:v>
      </x:c>
      <x:c r="W33" s="39" t="n">
        <x:v>0.0021033301</x:v>
      </x:c>
      <x:c r="X33" s="39" t="n">
        <x:v>-0.0273022814</x:v>
      </x:c>
      <x:c r="Y33" s="39" t="n">
        <x:v>-0.0697391107</x:v>
      </x:c>
      <x:c r="Z33" s="39" t="n">
        <x:v>-0.0139919764</x:v>
      </x:c>
      <x:c r="AA33" s="39" t="n">
        <x:v>0.0213387069</x:v>
      </x:c>
      <x:c r="AB33" s="39" t="n">
        <x:v>0.5398399871</x:v>
      </x:c>
      <x:c r="AC33" s="39" t="n">
        <x:v>-0.0176722573</x:v>
      </x:c>
      <x:c r="AD33" s="39" t="n">
        <x:v>0.031734824</x:v>
      </x:c>
      <x:c r="AE33" s="39" t="n">
        <x:v>0.0102242581</x:v>
      </x:c>
      <x:c r="AF33" s="39" t="n">
        <x:v>0.0012095397</x:v>
      </x:c>
      <x:c r="AG33" s="39" t="n">
        <x:v>0.0432745217</x:v>
      </x:c>
      <x:c r="AH33" s="39" t="n">
        <x:v>0.1309537481</x:v>
      </x:c>
      <x:c r="AI33" s="39" t="n">
        <x:v>0.0600238999</x:v>
      </x:c>
      <x:c r="AJ33" s="39" t="n">
        <x:v>0.005953708</x:v>
      </x:c>
      <x:c r="AK33" s="39" t="n">
        <x:v>-0.109249771</x:v>
      </x:c>
      <x:c r="AL33" s="39" t="n">
        <x:v>0.0278489104</x:v>
      </x:c>
      <x:c r="AM33" s="39" t="n">
        <x:v>0.0334481923</x:v>
      </x:c>
      <x:c r="AN33" s="39" t="n">
        <x:v>0.0195588828</x:v>
      </x:c>
      <x:c r="AO33" s="39" t="n">
        <x:v>-0.0079020172</x:v>
      </x:c>
      <x:c r="AP33" s="39" t="n">
        <x:v>0.0000652937</x:v>
      </x:c>
      <x:c r="AQ33" s="39" t="n">
        <x:v>0.0154265745</x:v>
      </x:c>
      <x:c r="AR33" s="39" t="n">
        <x:v>0.0134000445</x:v>
      </x:c>
      <x:c r="AS33" s="39" t="n">
        <x:v>0.0190984884</x:v>
      </x:c>
      <x:c r="AT33" s="39" t="n">
        <x:v>-0.0101001616</x:v>
      </x:c>
      <x:c r="AU33" s="39" t="n">
        <x:v>-0.023803999</x:v>
      </x:c>
      <x:c r="AV33" s="39" t="n">
        <x:v>-0.0331357279</x:v>
      </x:c>
      <x:c r="AW33" s="39" t="n">
        <x:v>-0.016530579</x:v>
      </x:c>
      <x:c r="AX33" s="39" t="n">
        <x:v>0.0026015062</x:v>
      </x:c>
      <x:c r="AY33" s="39" t="n">
        <x:v>0.0089637475</x:v>
      </x:c>
      <x:c r="AZ33" s="39" t="n">
        <x:v>0.0275033569</x:v>
      </x:c>
      <x:c r="BA33" s="39" t="n">
        <x:v>0.0219325204</x:v>
      </x:c>
      <x:c r="BB33" s="39" t="n">
        <x:v>-0.0534481174</x:v>
      </x:c>
      <x:c r="BC33" s="39" t="n">
        <x:v>-0.0888563304</x:v>
      </x:c>
      <x:c r="BD33" s="39" t="n">
        <x:v>-0.0387527634</x:v>
      </x:c>
      <x:c r="BE33" s="39" t="n">
        <x:v>-0.0478499538</x:v>
      </x:c>
      <x:c r="BF33" s="39" t="n">
        <x:v>-0.0257600144</x:v>
      </x:c>
      <x:c r="BG33" s="39" t="n">
        <x:v>-0.0558971314</x:v>
      </x:c>
      <x:c r="BH33" s="39" t="n">
        <x:v>-0.0536588148</x:v>
      </x:c>
      <x:c r="BI33" s="39" t="n">
        <x:v>0.0686500643</x:v>
      </x:c>
      <x:c r="BJ33" s="39" t="n">
        <x:v>-0.0665158159</x:v>
      </x:c>
    </x:row>
    <x:row r="34" ht="19" customHeight="1">
      <x:c r="A34" s="40" t="d">
        <x:v>2023-06-19T00:00:00.000Z</x:v>
      </x:c>
      <x:c r="B34" s="39" t="n">
        <x:v>0.0048301648</x:v>
      </x:c>
      <x:c r="C34" s="39" t="n">
        <x:v>0.0899240732</x:v>
      </x:c>
      <x:c r="D34" s="39" t="n">
        <x:v>-0.0101263541</x:v>
      </x:c>
      <x:c r="E34" s="39" t="n">
        <x:v>-0.0168826914</x:v>
      </x:c>
      <x:c r="F34" s="39" t="n">
        <x:v>-0.0332977497</x:v>
      </x:c>
      <x:c r="G34" s="39" t="n">
        <x:v>-0.085714481</x:v>
      </x:c>
      <x:c r="H34" s="39" t="n">
        <x:v>-0.0083019127</x:v>
      </x:c>
      <x:c r="I34" s="39" t="n">
        <x:v>-0.076160451</x:v>
      </x:c>
      <x:c r="J34" s="39" t="n">
        <x:v>-0.037512908</x:v>
      </x:c>
      <x:c r="K34" s="39" t="n">
        <x:v>-0.0215698521</x:v>
      </x:c>
      <x:c r="L34" s="39" t="n">
        <x:v>0.0687407086</x:v>
      </x:c>
      <x:c r="M34" s="39" t="n">
        <x:v>-0.017529981</x:v>
      </x:c>
      <x:c r="N34" s="39" t="n">
        <x:v>-0.0074479013</x:v>
      </x:c>
      <x:c r="O34" s="39" t="n">
        <x:v>-0.1432856651</x:v>
      </x:c>
      <x:c r="P34" s="39" t="n">
        <x:v>-0.0502036437</x:v>
      </x:c>
      <x:c r="Q34" s="39" t="n">
        <x:v>0.0839772922</x:v>
      </x:c>
      <x:c r="R34" s="39" t="n">
        <x:v>0.0110175211</x:v>
      </x:c>
      <x:c r="S34" s="39" t="n">
        <x:v>-0.086547464</x:v>
      </x:c>
      <x:c r="T34" s="39" t="n">
        <x:v>-0.1339297138</x:v>
      </x:c>
      <x:c r="U34" s="39" t="n">
        <x:v>-0.1441357214</x:v>
      </x:c>
      <x:c r="V34" s="39" t="n">
        <x:v>0.0940401103</x:v>
      </x:c>
      <x:c r="W34" s="39" t="n">
        <x:v>-0.0132949472</x:v>
      </x:c>
      <x:c r="X34" s="39" t="n">
        <x:v>-0.1207946422</x:v>
      </x:c>
      <x:c r="Y34" s="39" t="n">
        <x:v>-0.0817788865</x:v>
      </x:c>
      <x:c r="Z34" s="39" t="n">
        <x:v>0.0187470507</x:v>
      </x:c>
      <x:c r="AA34" s="39" t="n">
        <x:v>-0.0355151606</x:v>
      </x:c>
      <x:c r="AB34" s="39" t="n">
        <x:v>0.1793049803</x:v>
      </x:c>
      <x:c r="AC34" s="39" t="n">
        <x:v>-0.011291098</x:v>
      </x:c>
      <x:c r="AD34" s="39" t="n">
        <x:v>0.0342958656</x:v>
      </x:c>
      <x:c r="AE34" s="39" t="n">
        <x:v>0.056952403</x:v>
      </x:c>
      <x:c r="AF34" s="39" t="n">
        <x:v>-0.0726584074</x:v>
      </x:c>
      <x:c r="AG34" s="39" t="n">
        <x:v>0.0076810415</x:v>
      </x:c>
      <x:c r="AH34" s="39" t="n">
        <x:v>-0.1876016594</x:v>
      </x:c>
      <x:c r="AI34" s="39" t="n">
        <x:v>0.0270107345</x:v>
      </x:c>
      <x:c r="AJ34" s="39" t="n">
        <x:v>-0.0235684637</x:v>
      </x:c>
      <x:c r="AK34" s="39" t="n">
        <x:v>-0.0086647811</x:v>
      </x:c>
      <x:c r="AL34" s="39" t="n">
        <x:v>-0.0116636237</x:v>
      </x:c>
      <x:c r="AM34" s="39" t="n">
        <x:v>-0.0718666897</x:v>
      </x:c>
      <x:c r="AN34" s="39" t="n">
        <x:v>-0.0358224155</x:v>
      </x:c>
      <x:c r="AO34" s="39" t="n">
        <x:v>-0.0528844004</x:v>
      </x:c>
      <x:c r="AP34" s="39" t="n">
        <x:v>0.0128588223</x:v>
      </x:c>
      <x:c r="AQ34" s="39" t="n">
        <x:v>0.0208136597</x:v>
      </x:c>
      <x:c r="AR34" s="39" t="n">
        <x:v>0.007640431</x:v>
      </x:c>
      <x:c r="AS34" s="39" t="n">
        <x:v>0.0249418435</x:v>
      </x:c>
      <x:c r="AT34" s="39" t="n">
        <x:v>-0.0006880892</x:v>
      </x:c>
      <x:c r="AU34" s="39" t="n">
        <x:v>0.0145783204</x:v>
      </x:c>
      <x:c r="AV34" s="39" t="n">
        <x:v>0.0172096367</x:v>
      </x:c>
      <x:c r="AW34" s="39" t="n">
        <x:v>0.0255940676</x:v>
      </x:c>
      <x:c r="AX34" s="39" t="n">
        <x:v>0.0203512248</x:v>
      </x:c>
      <x:c r="AY34" s="39" t="n">
        <x:v>0.0321709376</x:v>
      </x:c>
      <x:c r="AZ34" s="39" t="n">
        <x:v>0.0015663212</x:v>
      </x:c>
      <x:c r="BA34" s="39" t="n">
        <x:v>0.0503160022</x:v>
      </x:c>
      <x:c r="BB34" s="39" t="n">
        <x:v>-0.0031562929</x:v>
      </x:c>
      <x:c r="BC34" s="39" t="n">
        <x:v>-0.0219381784</x:v>
      </x:c>
      <x:c r="BD34" s="39" t="n">
        <x:v>-0.0053711621</x:v>
      </x:c>
      <x:c r="BE34" s="39" t="n">
        <x:v>0.0195457284</x:v>
      </x:c>
      <x:c r="BF34" s="39" t="n">
        <x:v>0.018599965</x:v>
      </x:c>
      <x:c r="BG34" s="39" t="n">
        <x:v>0.0222305024</x:v>
      </x:c>
      <x:c r="BH34" s="39" t="n">
        <x:v>-0.0087148843</x:v>
      </x:c>
      <x:c r="BI34" s="39" t="n">
        <x:v>-0.0227274852</x:v>
      </x:c>
      <x:c r="BJ34" s="39" t="n">
        <x:v>-0.0019200324</x:v>
      </x:c>
    </x:row>
    <x:row r="35" ht="19" customHeight="1">
      <x:c r="A35" s="40" t="d">
        <x:v>2023-07-17T00:00:00.000Z</x:v>
      </x:c>
      <x:c r="B35" s="39" t="n">
        <x:v>0.0449454202</x:v>
      </x:c>
      <x:c r="C35" s="39" t="n">
        <x:v>0.0210896493</x:v>
      </x:c>
      <x:c r="D35" s="39" t="n">
        <x:v>-0.0013703393</x:v>
      </x:c>
      <x:c r="E35" s="39" t="n">
        <x:v>0.0117834585</x:v>
      </x:c>
      <x:c r="F35" s="39" t="n">
        <x:v>-0.0521993154</x:v>
      </x:c>
      <x:c r="G35" s="39" t="n">
        <x:v>0.0269382092</x:v>
      </x:c>
      <x:c r="H35" s="39" t="n">
        <x:v>-0.026584122</x:v>
      </x:c>
      <x:c r="I35" s="39" t="n">
        <x:v>-0.0102689823</x:v>
      </x:c>
      <x:c r="J35" s="39" t="n">
        <x:v>-0.1573235957</x:v>
      </x:c>
      <x:c r="K35" s="39" t="n">
        <x:v>-0.014838266</x:v>
      </x:c>
      <x:c r="L35" s="39" t="n">
        <x:v>0.0472494927</x:v>
      </x:c>
      <x:c r="M35" s="39" t="n">
        <x:v>0.0566577052</x:v>
      </x:c>
      <x:c r="N35" s="39" t="n">
        <x:v>-0.0128008897</x:v>
      </x:c>
      <x:c r="O35" s="39" t="n">
        <x:v>-0.0783565186</x:v>
      </x:c>
      <x:c r="P35" s="39" t="n">
        <x:v>-0.0257590979</x:v>
      </x:c>
      <x:c r="Q35" s="39" t="n">
        <x:v>0.1402173966</x:v>
      </x:c>
      <x:c r="R35" s="39" t="n">
        <x:v>0.0179962721</x:v>
      </x:c>
      <x:c r="S35" s="39" t="n">
        <x:v>-0.0301760411</x:v>
      </x:c>
      <x:c r="T35" s="39" t="n">
        <x:v>0.0408757465</x:v>
      </x:c>
      <x:c r="U35" s="39" t="n">
        <x:v>-0.1113442865</x:v>
      </x:c>
      <x:c r="V35" s="39" t="n">
        <x:v>-0.0170620091</x:v>
      </x:c>
      <x:c r="W35" s="39" t="n">
        <x:v>0.0553503921</x:v>
      </x:c>
      <x:c r="X35" s="39" t="n">
        <x:v>-0.0662824372</x:v>
      </x:c>
      <x:c r="Y35" s="39" t="n">
        <x:v>-0.0077410546</x:v>
      </x:c>
      <x:c r="Z35" s="39" t="n">
        <x:v>-0.1021673086</x:v>
      </x:c>
      <x:c r="AA35" s="39" t="n">
        <x:v>-0.0545466517</x:v>
      </x:c>
      <x:c r="AB35" s="39" t="n">
        <x:v>0.4401998674</x:v>
      </x:c>
      <x:c r="AC35" s="39" t="n">
        <x:v>0.0236958022</x:v>
      </x:c>
      <x:c r="AD35" s="39" t="n">
        <x:v>-0.0509006639</x:v>
      </x:c>
      <x:c r="AE35" s="39" t="n">
        <x:v>-0.0472169447</x:v>
      </x:c>
      <x:c r="AF35" s="39" t="n">
        <x:v>0.0086258287</x:v>
      </x:c>
      <x:c r="AG35" s="39" t="n">
        <x:v>0.0355365039</x:v>
      </x:c>
      <x:c r="AH35" s="39" t="n">
        <x:v>-0.0464525016</x:v>
      </x:c>
      <x:c r="AI35" s="39" t="n">
        <x:v>-0.0299589672</x:v>
      </x:c>
      <x:c r="AJ35" s="39" t="n">
        <x:v>-0.0091106236</x:v>
      </x:c>
      <x:c r="AK35" s="39" t="n">
        <x:v>-0.0608922985</x:v>
      </x:c>
      <x:c r="AL35" s="39" t="n">
        <x:v>-0.0070145616</x:v>
      </x:c>
      <x:c r="AM35" s="39" t="n">
        <x:v>-0.026627485</x:v>
      </x:c>
      <x:c r="AN35" s="39" t="n">
        <x:v>0.0403195111</x:v>
      </x:c>
      <x:c r="AO35" s="39" t="n">
        <x:v>0.0251419829</x:v>
      </x:c>
      <x:c r="AP35" s="39" t="n">
        <x:v>-0.0092295867</x:v>
      </x:c>
      <x:c r="AQ35" s="39" t="n">
        <x:v>0.0013140925</x:v>
      </x:c>
      <x:c r="AR35" s="39" t="n">
        <x:v>-0.011906327</x:v>
      </x:c>
      <x:c r="AS35" s="39" t="n">
        <x:v>0.0088200841</x:v>
      </x:c>
      <x:c r="AT35" s="39" t="n">
        <x:v>0.0144810333</x:v>
      </x:c>
      <x:c r="AU35" s="39" t="n">
        <x:v>0.019330926</x:v>
      </x:c>
      <x:c r="AV35" s="39" t="n">
        <x:v>0.0171537968</x:v>
      </x:c>
      <x:c r="AW35" s="39" t="n">
        <x:v>0.0070265705</x:v>
      </x:c>
      <x:c r="AX35" s="39" t="n">
        <x:v>0.0008710018</x:v>
      </x:c>
      <x:c r="AY35" s="39" t="n">
        <x:v>0.0403821663</x:v>
      </x:c>
      <x:c r="AZ35" s="39" t="n">
        <x:v>-0.0137088431</x:v>
      </x:c>
      <x:c r="BA35" s="39" t="n">
        <x:v>-0.0091953583</x:v>
      </x:c>
      <x:c r="BB35" s="39" t="n">
        <x:v>0.0058678003</x:v>
      </x:c>
      <x:c r="BC35" s="39" t="n">
        <x:v>0.0692096561</x:v>
      </x:c>
      <x:c r="BD35" s="39" t="n">
        <x:v>0.0357120563</x:v>
      </x:c>
      <x:c r="BE35" s="39" t="n">
        <x:v>0.0097838583</x:v>
      </x:c>
      <x:c r="BF35" s="39" t="n">
        <x:v>0.0177363118</x:v>
      </x:c>
      <x:c r="BG35" s="39" t="n">
        <x:v>0.017604683</x:v>
      </x:c>
      <x:c r="BH35" s="39" t="n">
        <x:v>0.0408051369</x:v>
      </x:c>
      <x:c r="BI35" s="39" t="n">
        <x:v>-0.0173281219</x:v>
      </x:c>
      <x:c r="BJ35" s="39" t="n">
        <x:v>0.0294389744</x:v>
      </x:c>
    </x:row>
    <x:row r="36" ht="19" customHeight="1">
      <x:c r="A36" s="40" t="d">
        <x:v>2023-08-14T00:00:00.000Z</x:v>
      </x:c>
      <x:c r="B36" s="39" t="n">
        <x:v>0.1138130161</x:v>
      </x:c>
      <x:c r="C36" s="39" t="n">
        <x:v>-0.108184409</x:v>
      </x:c>
      <x:c r="D36" s="39" t="n">
        <x:v>0.0091058536</x:v>
      </x:c>
      <x:c r="E36" s="39" t="n">
        <x:v>-0.0108839606</x:v>
      </x:c>
      <x:c r="F36" s="39" t="n">
        <x:v>0.0724875913</x:v>
      </x:c>
      <x:c r="G36" s="39" t="n">
        <x:v>-0.0333665551</x:v>
      </x:c>
      <x:c r="H36" s="39" t="n">
        <x:v>0.0843823627</x:v>
      </x:c>
      <x:c r="I36" s="39" t="n">
        <x:v>0.1091497848</x:v>
      </x:c>
      <x:c r="J36" s="39" t="n">
        <x:v>0.2238829427</x:v>
      </x:c>
      <x:c r="K36" s="39" t="n">
        <x:v>0.0259833176</x:v>
      </x:c>
      <x:c r="L36" s="39" t="n">
        <x:v>-0.0526628447</x:v>
      </x:c>
      <x:c r="M36" s="39" t="n">
        <x:v>-0.0000208176</x:v>
      </x:c>
      <x:c r="N36" s="39" t="n">
        <x:v>0.0256268792</x:v>
      </x:c>
      <x:c r="O36" s="39" t="n">
        <x:v>0.1899144991</x:v>
      </x:c>
      <x:c r="P36" s="39" t="n">
        <x:v>0.035738716</x:v>
      </x:c>
      <x:c r="Q36" s="39" t="n">
        <x:v>-0.3213256447</x:v>
      </x:c>
      <x:c r="R36" s="39" t="n">
        <x:v>0.0958570878</x:v>
      </x:c>
      <x:c r="S36" s="39" t="n">
        <x:v>-0.1064748068</x:v>
      </x:c>
      <x:c r="T36" s="39" t="n">
        <x:v>-0.0744665942</x:v>
      </x:c>
      <x:c r="U36" s="39" t="n">
        <x:v>0.1282498845</x:v>
      </x:c>
      <x:c r="V36" s="39" t="n">
        <x:v>0.0066661035</x:v>
      </x:c>
      <x:c r="W36" s="39" t="n">
        <x:v>0.11323007</x:v>
      </x:c>
      <x:c r="X36" s="39" t="n">
        <x:v>0.1241922219</x:v>
      </x:c>
      <x:c r="Y36" s="39" t="n">
        <x:v>0.0295681092</x:v>
      </x:c>
      <x:c r="Z36" s="39" t="n">
        <x:v>0.0875843786</x:v>
      </x:c>
      <x:c r="AA36" s="39" t="n">
        <x:v>0.0382973909</x:v>
      </x:c>
      <x:c r="AB36" s="39" t="n">
        <x:v>-0.3618062935</x:v>
      </x:c>
      <x:c r="AC36" s="39" t="n">
        <x:v>0.0740562271</x:v>
      </x:c>
      <x:c r="AD36" s="39" t="n">
        <x:v>-0.0099663857</x:v>
      </x:c>
      <x:c r="AE36" s="39" t="n">
        <x:v>0.0413217272</x:v>
      </x:c>
      <x:c r="AF36" s="39" t="n">
        <x:v>0.1958760574</x:v>
      </x:c>
      <x:c r="AG36" s="39" t="n">
        <x:v>0.0065780328</x:v>
      </x:c>
      <x:c r="AH36" s="39" t="n">
        <x:v>0.138994544</x:v>
      </x:c>
      <x:c r="AI36" s="39" t="n">
        <x:v>0.1743680663</x:v>
      </x:c>
      <x:c r="AJ36" s="39" t="n">
        <x:v>0.0638959452</x:v>
      </x:c>
      <x:c r="AK36" s="39" t="n">
        <x:v>0.0219361183</x:v>
      </x:c>
      <x:c r="AL36" s="39" t="n">
        <x:v>-0.0216173359</x:v>
      </x:c>
      <x:c r="AM36" s="39" t="n">
        <x:v>0.0990755888</x:v>
      </x:c>
      <x:c r="AN36" s="39" t="n">
        <x:v>0.034159616</x:v>
      </x:c>
      <x:c r="AO36" s="39" t="n">
        <x:v>0.0945767776</x:v>
      </x:c>
      <x:c r="AP36" s="39" t="n">
        <x:v>0.0391892746</x:v>
      </x:c>
      <x:c r="AQ36" s="39" t="n">
        <x:v>0.0371970819</x:v>
      </x:c>
      <x:c r="AR36" s="39" t="n">
        <x:v>0.052044876</x:v>
      </x:c>
      <x:c r="AS36" s="39" t="n">
        <x:v>-0.0030916124</x:v>
      </x:c>
      <x:c r="AT36" s="39" t="n">
        <x:v>-0.0201188763</x:v>
      </x:c>
      <x:c r="AU36" s="39" t="n">
        <x:v>-0.0220767951</x:v>
      </x:c>
      <x:c r="AV36" s="39" t="n">
        <x:v>-0.0212554666</x:v>
      </x:c>
      <x:c r="AW36" s="39" t="n">
        <x:v>-0.0470177105</x:v>
      </x:c>
      <x:c r="AX36" s="39" t="n">
        <x:v>-0.0187244283</x:v>
      </x:c>
      <x:c r="AY36" s="39" t="n">
        <x:v>-0.0337253294</x:v>
      </x:c>
      <x:c r="AZ36" s="39" t="n">
        <x:v>0.0257937923</x:v>
      </x:c>
      <x:c r="BA36" s="39" t="n">
        <x:v>-0.000591877</x:v>
      </x:c>
      <x:c r="BB36" s="39" t="n">
        <x:v>-0.0210116526</x:v>
      </x:c>
      <x:c r="BC36" s="39" t="n">
        <x:v>0.0239389957</x:v>
      </x:c>
      <x:c r="BD36" s="39" t="n">
        <x:v>-0.0101588074</x:v>
      </x:c>
      <x:c r="BE36" s="39" t="n">
        <x:v>-0.0055458894</x:v>
      </x:c>
      <x:c r="BF36" s="39" t="n">
        <x:v>-0.0025553004</x:v>
      </x:c>
      <x:c r="BG36" s="39" t="n">
        <x:v>-0.0069187527</x:v>
      </x:c>
      <x:c r="BH36" s="39" t="n">
        <x:v>-0.0287121805</x:v>
      </x:c>
      <x:c r="BI36" s="39" t="n">
        <x:v>-0.0127111754</x:v>
      </x:c>
      <x:c r="BJ36" s="39" t="n">
        <x:v>-0.0610277362</x:v>
      </x:c>
    </x:row>
    <x:row r="37" ht="19" customHeight="1">
      <x:c r="A37" s="40" t="d">
        <x:v>2023-09-11T00:00:00.000Z</x:v>
      </x:c>
      <x:c r="B37" s="39" t="n">
        <x:v>0.0316006915</x:v>
      </x:c>
      <x:c r="C37" s="39" t="n">
        <x:v>0.010423676</x:v>
      </x:c>
      <x:c r="D37" s="39" t="n">
        <x:v>-0.0209504874</x:v>
      </x:c>
      <x:c r="E37" s="39" t="n">
        <x:v>0.0001180108</x:v>
      </x:c>
      <x:c r="F37" s="39" t="n">
        <x:v>-0.0371197444</x:v>
      </x:c>
      <x:c r="G37" s="39" t="n">
        <x:v>0.0102894602</x:v>
      </x:c>
      <x:c r="H37" s="39" t="n">
        <x:v>-0.0103008336</x:v>
      </x:c>
      <x:c r="I37" s="39" t="n">
        <x:v>0.027630151</x:v>
      </x:c>
      <x:c r="J37" s="39" t="n">
        <x:v>-0.0541219854</x:v>
      </x:c>
      <x:c r="K37" s="39" t="n">
        <x:v>0.0206783745</x:v>
      </x:c>
      <x:c r="L37" s="39" t="n">
        <x:v>-0.0192475544</x:v>
      </x:c>
      <x:c r="M37" s="39" t="n">
        <x:v>0.0394674982</x:v>
      </x:c>
      <x:c r="N37" s="39" t="n">
        <x:v>-0.0439298637</x:v>
      </x:c>
      <x:c r="O37" s="39" t="n">
        <x:v>0.0886563036</x:v>
      </x:c>
      <x:c r="P37" s="39" t="n">
        <x:v>0.1324222213</x:v>
      </x:c>
      <x:c r="Q37" s="39" t="n">
        <x:v>-0.3264368781</x:v>
      </x:c>
      <x:c r="R37" s="39" t="n">
        <x:v>0.0178157026</x:v>
      </x:c>
      <x:c r="S37" s="39" t="n">
        <x:v>-0.0610711498</x:v>
      </x:c>
      <x:c r="T37" s="39" t="n">
        <x:v>0.1217836385</x:v>
      </x:c>
      <x:c r="U37" s="39" t="n">
        <x:v>0.0104894574</x:v>
      </x:c>
      <x:c r="V37" s="39" t="n">
        <x:v>-0.0582999351</x:v>
      </x:c>
      <x:c r="W37" s="39" t="n">
        <x:v>-0.0278739778</x:v>
      </x:c>
      <x:c r="X37" s="39" t="n">
        <x:v>0.0874384699</x:v>
      </x:c>
      <x:c r="Y37" s="39" t="n">
        <x:v>0.0371301805</x:v>
      </x:c>
      <x:c r="Z37" s="39" t="n">
        <x:v>0.0292202863</x:v>
      </x:c>
      <x:c r="AA37" s="39" t="n">
        <x:v>-0.0182801748</x:v>
      </x:c>
      <x:c r="AB37" s="39" t="n">
        <x:v>-0.131651067</x:v>
      </x:c>
      <x:c r="AC37" s="39" t="n">
        <x:v>0.0226422174</x:v>
      </x:c>
      <x:c r="AD37" s="39" t="n">
        <x:v>0.0095265033</x:v>
      </x:c>
      <x:c r="AE37" s="39" t="n">
        <x:v>-0.0122910345</x:v>
      </x:c>
      <x:c r="AF37" s="39" t="n">
        <x:v>-0.0803882692</x:v>
      </x:c>
      <x:c r="AG37" s="39" t="n">
        <x:v>-0.0187216823</x:v>
      </x:c>
      <x:c r="AH37" s="39" t="n">
        <x:v>-0.0784070843</x:v>
      </x:c>
      <x:c r="AI37" s="39" t="n">
        <x:v>0.0534553192</x:v>
      </x:c>
      <x:c r="AJ37" s="39" t="n">
        <x:v>0.0005897781</x:v>
      </x:c>
      <x:c r="AK37" s="39" t="n">
        <x:v>0.0123445795</x:v>
      </x:c>
      <x:c r="AL37" s="39" t="n">
        <x:v>0.0061499095</x:v>
      </x:c>
      <x:c r="AM37" s="39" t="n">
        <x:v>0.0283887628</x:v>
      </x:c>
      <x:c r="AN37" s="39" t="n">
        <x:v>0.0004709172</x:v>
      </x:c>
      <x:c r="AO37" s="39" t="n">
        <x:v>-0.0289003789</x:v>
      </x:c>
      <x:c r="AP37" s="39" t="n">
        <x:v>-0.0163920773</x:v>
      </x:c>
      <x:c r="AQ37" s="39" t="n">
        <x:v>-0.0439553172</x:v>
      </x:c>
      <x:c r="AR37" s="39" t="n">
        <x:v>0.030910834</x:v>
      </x:c>
      <x:c r="AS37" s="39" t="n">
        <x:v>-0.0012002924</x:v>
      </x:c>
      <x:c r="AT37" s="39" t="n">
        <x:v>-0.0032764764</x:v>
      </x:c>
      <x:c r="AU37" s="39" t="n">
        <x:v>-0.0201686581</x:v>
      </x:c>
      <x:c r="AV37" s="39" t="n">
        <x:v>-0.0193310018</x:v>
      </x:c>
      <x:c r="AW37" s="39" t="n">
        <x:v>0.0038512317</x:v>
      </x:c>
      <x:c r="AX37" s="39" t="n">
        <x:v>-0.007990888</x:v>
      </x:c>
      <x:c r="AY37" s="39" t="n">
        <x:v>0.0185475354</x:v>
      </x:c>
      <x:c r="AZ37" s="39" t="n">
        <x:v>0.0205292239</x:v>
      </x:c>
      <x:c r="BA37" s="39" t="n">
        <x:v>0.038461155</x:v>
      </x:c>
      <x:c r="BB37" s="39" t="n">
        <x:v>-0.0215842786</x:v>
      </x:c>
      <x:c r="BC37" s="39" t="n">
        <x:v>0.018405961</x:v>
      </x:c>
      <x:c r="BD37" s="39" t="n">
        <x:v>0.0072714201</x:v>
      </x:c>
      <x:c r="BE37" s="39" t="n">
        <x:v>-0.0198636508</x:v>
      </x:c>
      <x:c r="BF37" s="39" t="n">
        <x:v>-0.0301536688</x:v>
      </x:c>
      <x:c r="BG37" s="39" t="n">
        <x:v>-0.0023277284</x:v>
      </x:c>
      <x:c r="BH37" s="39" t="n">
        <x:v>0.0054756732</x:v>
      </x:c>
      <x:c r="BI37" s="39" t="n">
        <x:v>-0.0034864475</x:v>
      </x:c>
      <x:c r="BJ37" s="39" t="n">
        <x:v>0.0117279486</x:v>
      </x:c>
    </x:row>
    <x:row r="38" ht="19" customHeight="1">
      <x:c r="A38" s="40" t="d">
        <x:v>2023-10-09T00:00:00.000Z</x:v>
      </x:c>
      <x:c r="B38" s="39" t="n">
        <x:v>0.0388363899</x:v>
      </x:c>
      <x:c r="C38" s="39" t="n">
        <x:v>0.1356938518</x:v>
      </x:c>
      <x:c r="D38" s="39" t="n">
        <x:v>0.0163155451</x:v>
      </x:c>
      <x:c r="E38" s="39" t="n">
        <x:v>0.0184046451</x:v>
      </x:c>
      <x:c r="F38" s="39" t="n">
        <x:v>0.0474476002</x:v>
      </x:c>
      <x:c r="G38" s="39" t="n">
        <x:v>-0.0203951674</x:v>
      </x:c>
      <x:c r="H38" s="39" t="n">
        <x:v>-0.0036135532</x:v>
      </x:c>
      <x:c r="I38" s="39" t="n">
        <x:v>-0.1887353979</x:v>
      </x:c>
      <x:c r="J38" s="39" t="n">
        <x:v>0.0526862427</x:v>
      </x:c>
      <x:c r="K38" s="39" t="n">
        <x:v>-0.1081971332</x:v>
      </x:c>
      <x:c r="L38" s="39" t="n">
        <x:v>0.0634654205</x:v>
      </x:c>
      <x:c r="M38" s="39" t="n">
        <x:v>-0.031912461</x:v>
      </x:c>
      <x:c r="N38" s="39" t="n">
        <x:v>0.003457979</x:v>
      </x:c>
      <x:c r="O38" s="39" t="n">
        <x:v>0.0038445444</x:v>
      </x:c>
      <x:c r="P38" s="39" t="n">
        <x:v>-0.0786047121</x:v>
      </x:c>
      <x:c r="Q38" s="39" t="n">
        <x:v>-0.0829488266</x:v>
      </x:c>
      <x:c r="R38" s="39" t="n">
        <x:v>0.0923126342</x:v>
      </x:c>
      <x:c r="S38" s="39" t="n">
        <x:v>0.0103981661</x:v>
      </x:c>
      <x:c r="T38" s="39" t="n">
        <x:v>-0.0974535707</x:v>
      </x:c>
      <x:c r="U38" s="39" t="n">
        <x:v>0.1003706654</x:v>
      </x:c>
      <x:c r="V38" s="39" t="n">
        <x:v>-0.0863410181</x:v>
      </x:c>
      <x:c r="W38" s="39" t="n">
        <x:v>0.0184434334</x:v>
      </x:c>
      <x:c r="X38" s="39" t="n">
        <x:v>-0.1089305861</x:v>
      </x:c>
      <x:c r="Y38" s="39" t="n">
        <x:v>0.0331792001</x:v>
      </x:c>
      <x:c r="Z38" s="39" t="n">
        <x:v>0.1525138278</x:v>
      </x:c>
      <x:c r="AA38" s="39" t="n">
        <x:v>0.0157210693</x:v>
      </x:c>
      <x:c r="AB38" s="39" t="n">
        <x:v>0.0654406177</x:v>
      </x:c>
      <x:c r="AC38" s="39" t="n">
        <x:v>0.0154016505</x:v>
      </x:c>
      <x:c r="AD38" s="39" t="n">
        <x:v>0.0122567688</x:v>
      </x:c>
      <x:c r="AE38" s="39" t="n">
        <x:v>-0.0270182179</x:v>
      </x:c>
      <x:c r="AF38" s="39" t="n">
        <x:v>-0.0680977658</x:v>
      </x:c>
      <x:c r="AG38" s="39" t="n">
        <x:v>0.0720561095</x:v>
      </x:c>
      <x:c r="AH38" s="39" t="n">
        <x:v>0.0039837745</x:v>
      </x:c>
      <x:c r="AI38" s="39" t="n">
        <x:v>0.0177903009</x:v>
      </x:c>
      <x:c r="AJ38" s="39" t="n">
        <x:v>0.0678745702</x:v>
      </x:c>
      <x:c r="AK38" s="39" t="n">
        <x:v>-0.1289378788</x:v>
      </x:c>
      <x:c r="AL38" s="39" t="n">
        <x:v>0.0156989829</x:v>
      </x:c>
      <x:c r="AM38" s="39" t="n">
        <x:v>-0.0149445822</x:v>
      </x:c>
      <x:c r="AN38" s="39" t="n">
        <x:v>0.0819345337</x:v>
      </x:c>
      <x:c r="AO38" s="39" t="n">
        <x:v>-0.0261128407</x:v>
      </x:c>
      <x:c r="AP38" s="39" t="n">
        <x:v>-0.0414775583</x:v>
      </x:c>
      <x:c r="AQ38" s="39" t="n">
        <x:v>-0.0143458161</x:v>
      </x:c>
      <x:c r="AR38" s="39" t="n">
        <x:v>-0.0435397736</x:v>
      </x:c>
      <x:c r="AS38" s="39" t="n">
        <x:v>-0.0566305347</x:v>
      </x:c>
      <x:c r="AT38" s="39" t="n">
        <x:v>-0.0050352341</x:v>
      </x:c>
      <x:c r="AU38" s="39" t="n">
        <x:v>-0.0137687614</x:v>
      </x:c>
      <x:c r="AV38" s="39" t="n">
        <x:v>-0.0146843872</x:v>
      </x:c>
      <x:c r="AW38" s="39" t="n">
        <x:v>-0.0178254497</x:v>
      </x:c>
      <x:c r="AX38" s="39" t="n">
        <x:v>-0.0012014004</x:v>
      </x:c>
      <x:c r="AY38" s="39" t="n">
        <x:v>-0.0266743108</x:v>
      </x:c>
      <x:c r="AZ38" s="39" t="n">
        <x:v>0.0226020638</x:v>
      </x:c>
      <x:c r="BA38" s="39" t="n">
        <x:v>-0.0357109349</x:v>
      </x:c>
      <x:c r="BB38" s="39" t="n">
        <x:v>-0.0580345405</x:v>
      </x:c>
      <x:c r="BC38" s="39" t="n">
        <x:v>-0.0434935362</x:v>
      </x:c>
      <x:c r="BD38" s="39" t="n">
        <x:v>-0.0228997477</x:v>
      </x:c>
      <x:c r="BE38" s="39" t="n">
        <x:v>-0.0005102184</x:v>
      </x:c>
      <x:c r="BF38" s="39" t="n">
        <x:v>-0.0062882736</x:v>
      </x:c>
      <x:c r="BG38" s="39" t="n">
        <x:v>-0.0238719838</x:v>
      </x:c>
      <x:c r="BH38" s="39" t="n">
        <x:v>-0.0328869732</x:v>
      </x:c>
      <x:c r="BI38" s="39" t="n">
        <x:v>0.040137855</x:v>
      </x:c>
      <x:c r="BJ38" s="39" t="n">
        <x:v>-0.0732309423</x:v>
      </x:c>
    </x:row>
    <x:row r="39" ht="19" customHeight="1">
      <x:c r="A39" s="40" t="d">
        <x:v>2023-11-06T00:00:00.000Z</x:v>
      </x:c>
      <x:c r="B39" s="39" t="n">
        <x:v>0.0031731581</x:v>
      </x:c>
      <x:c r="C39" s="39" t="n">
        <x:v>-0.142835557</x:v>
      </x:c>
      <x:c r="D39" s="39" t="n">
        <x:v>0.031042157</x:v>
      </x:c>
      <x:c r="E39" s="39" t="n">
        <x:v>0.0086852844</x:v>
      </x:c>
      <x:c r="F39" s="39" t="n">
        <x:v>0.0061987255</x:v>
      </x:c>
      <x:c r="G39" s="39" t="n">
        <x:v>0.1339165816</x:v>
      </x:c>
      <x:c r="H39" s="39" t="n">
        <x:v>0.0661691521</x:v>
      </x:c>
      <x:c r="I39" s="39" t="n">
        <x:v>0.0948486156</x:v>
      </x:c>
      <x:c r="J39" s="39" t="n">
        <x:v>-0.0800098077</x:v>
      </x:c>
      <x:c r="K39" s="39" t="n">
        <x:v>0.0485986091</x:v>
      </x:c>
      <x:c r="L39" s="39" t="n">
        <x:v>0.0056466751</x:v>
      </x:c>
      <x:c r="M39" s="39" t="n">
        <x:v>-0.0849348018</x:v>
      </x:c>
      <x:c r="N39" s="39" t="n">
        <x:v>0.103410607</x:v>
      </x:c>
      <x:c r="O39" s="39" t="n">
        <x:v>-0.1498344739</x:v>
      </x:c>
      <x:c r="P39" s="39" t="n">
        <x:v>-0.0482650939</x:v>
      </x:c>
      <x:c r="Q39" s="39" t="n">
        <x:v>0.0470581054</x:v>
      </x:c>
      <x:c r="R39" s="39" t="n">
        <x:v>-0.0175009998</x:v>
      </x:c>
      <x:c r="S39" s="39" t="n">
        <x:v>0.0449524789</x:v>
      </x:c>
      <x:c r="T39" s="39" t="n">
        <x:v>-0.3288185283</x:v>
      </x:c>
      <x:c r="U39" s="39" t="n">
        <x:v>0.0022371393</x:v>
      </x:c>
      <x:c r="V39" s="39" t="n">
        <x:v>0.1805292991</x:v>
      </x:c>
      <x:c r="W39" s="39" t="n">
        <x:v>-0.0385647177</x:v>
      </x:c>
      <x:c r="X39" s="39" t="n">
        <x:v>-0.0772978473</x:v>
      </x:c>
      <x:c r="Y39" s="39" t="n">
        <x:v>-0.1704553378</x:v>
      </x:c>
      <x:c r="Z39" s="39" t="n">
        <x:v>0.0069179185</x:v>
      </x:c>
      <x:c r="AA39" s="39" t="n">
        <x:v>-0.1874525077</x:v>
      </x:c>
      <x:c r="AB39" s="39" t="n">
        <x:v>-0.3505551548</x:v>
      </x:c>
      <x:c r="AC39" s="39" t="n">
        <x:v>0.0045753238</x:v>
      </x:c>
      <x:c r="AD39" s="39" t="n">
        <x:v>-0.1956433263</x:v>
      </x:c>
      <x:c r="AE39" s="39" t="n">
        <x:v>-0.095052101</x:v>
      </x:c>
      <x:c r="AF39" s="39" t="n">
        <x:v>0.0171317087</x:v>
      </x:c>
      <x:c r="AG39" s="39" t="n">
        <x:v>0.0143771775</x:v>
      </x:c>
      <x:c r="AH39" s="39" t="n">
        <x:v>-0.0349513765</x:v>
      </x:c>
      <x:c r="AI39" s="39" t="n">
        <x:v>-0.0144363376</x:v>
      </x:c>
      <x:c r="AJ39" s="39" t="n">
        <x:v>-0.0020198012</x:v>
      </x:c>
      <x:c r="AK39" s="39" t="n">
        <x:v>-0.0437607307</x:v>
      </x:c>
      <x:c r="AL39" s="39" t="n">
        <x:v>0.0778808057</x:v>
      </x:c>
      <x:c r="AM39" s="39" t="n">
        <x:v>-0.0986662571</x:v>
      </x:c>
      <x:c r="AN39" s="39" t="n">
        <x:v>-0.0141323301</x:v>
      </x:c>
      <x:c r="AO39" s="39" t="n">
        <x:v>-0.0070889704</x:v>
      </x:c>
      <x:c r="AP39" s="39" t="n">
        <x:v>0.0280115952</x:v>
      </x:c>
      <x:c r="AQ39" s="39" t="n">
        <x:v>-0.0433502099</x:v>
      </x:c>
      <x:c r="AR39" s="39" t="n">
        <x:v>0.0133008504</x:v>
      </x:c>
      <x:c r="AS39" s="39" t="n">
        <x:v>0.024837379</x:v>
      </x:c>
      <x:c r="AT39" s="39" t="n">
        <x:v>0.0070101872</x:v>
      </x:c>
      <x:c r="AU39" s="39" t="n">
        <x:v>0.016617822</x:v>
      </x:c>
      <x:c r="AV39" s="39" t="n">
        <x:v>0.0187311379</x:v>
      </x:c>
      <x:c r="AW39" s="39" t="n">
        <x:v>0.0070607868</x:v>
      </x:c>
      <x:c r="AX39" s="39" t="n">
        <x:v>-0.0082979315</x:v>
      </x:c>
      <x:c r="AY39" s="39" t="n">
        <x:v>0.0208279786</x:v>
      </x:c>
      <x:c r="AZ39" s="39" t="n">
        <x:v>0.0031854566</x:v>
      </x:c>
      <x:c r="BA39" s="39" t="n">
        <x:v>-0.0020281061</x:v>
      </x:c>
      <x:c r="BB39" s="39" t="n">
        <x:v>0.0221778506</x:v>
      </x:c>
      <x:c r="BC39" s="39" t="n">
        <x:v>-0.0867209869</x:v>
      </x:c>
      <x:c r="BD39" s="39" t="n">
        <x:v>0.0022939942</x:v>
      </x:c>
      <x:c r="BE39" s="39" t="n">
        <x:v>-0.0416021337</x:v>
      </x:c>
      <x:c r="BF39" s="39" t="n">
        <x:v>-0.0129543657</x:v>
      </x:c>
      <x:c r="BG39" s="39" t="n">
        <x:v>-0.0181612844</x:v>
      </x:c>
      <x:c r="BH39" s="39" t="n">
        <x:v>-0.0109020546</x:v>
      </x:c>
      <x:c r="BI39" s="39" t="n">
        <x:v>0.0326962036</x:v>
      </x:c>
      <x:c r="BJ39" s="39" t="n">
        <x:v>0.0059209849</x:v>
      </x:c>
    </x:row>
    <x:row r="40" ht="19" customHeight="1">
      <x:c r="A40" s="40" t="d">
        <x:v>2023-12-04T00:00:00.000Z</x:v>
      </x:c>
      <x:c r="B40" s="39" t="n">
        <x:v>0.0098173166</x:v>
      </x:c>
      <x:c r="C40" s="39" t="n">
        <x:v>0.1378949624</x:v>
      </x:c>
      <x:c r="D40" s="39" t="n">
        <x:v>-0.0564594168</x:v>
      </x:c>
      <x:c r="E40" s="39" t="n">
        <x:v>0.0125006169</x:v>
      </x:c>
      <x:c r="F40" s="39" t="n">
        <x:v>-0.0097360523</x:v>
      </x:c>
      <x:c r="G40" s="39" t="n">
        <x:v>-0.0242909212</x:v>
      </x:c>
      <x:c r="H40" s="39" t="n">
        <x:v>-0.0420223141</x:v>
      </x:c>
      <x:c r="I40" s="39" t="n">
        <x:v>-0.0315165997</x:v>
      </x:c>
      <x:c r="J40" s="39" t="n">
        <x:v>0.0099315791</x:v>
      </x:c>
      <x:c r="K40" s="39" t="n">
        <x:v>0.0130817402</x:v>
      </x:c>
      <x:c r="L40" s="39" t="n">
        <x:v>-0.0475773531</x:v>
      </x:c>
      <x:c r="M40" s="39" t="n">
        <x:v>-0.0370576989</x:v>
      </x:c>
      <x:c r="N40" s="39" t="n">
        <x:v>-0.0803580234</x:v>
      </x:c>
      <x:c r="O40" s="39" t="n">
        <x:v>-0.0755458996</x:v>
      </x:c>
      <x:c r="P40" s="39" t="n">
        <x:v>0.1448919434</x:v>
      </x:c>
      <x:c r="Q40" s="39" t="n">
        <x:v>0.217480787</x:v>
      </x:c>
      <x:c r="R40" s="39" t="n">
        <x:v>-0.0410519306</x:v>
      </x:c>
      <x:c r="S40" s="39" t="n">
        <x:v>0.108150254</x:v>
      </x:c>
      <x:c r="T40" s="39" t="n">
        <x:v>0.0318743496</x:v>
      </x:c>
      <x:c r="U40" s="39" t="n">
        <x:v>-0.0245286749</x:v>
      </x:c>
      <x:c r="V40" s="39" t="n">
        <x:v>-0.0136882894</x:v>
      </x:c>
      <x:c r="W40" s="39" t="n">
        <x:v>-0.0272053241</x:v>
      </x:c>
      <x:c r="X40" s="39" t="n">
        <x:v>-0.0798004068</x:v>
      </x:c>
      <x:c r="Y40" s="39" t="n">
        <x:v>-0.0041773672</x:v>
      </x:c>
      <x:c r="Z40" s="39" t="n">
        <x:v>-0.0280971946</x:v>
      </x:c>
      <x:c r="AA40" s="39" t="n">
        <x:v>-0.0263483567</x:v>
      </x:c>
      <x:c r="AB40" s="39" t="n">
        <x:v>0.4946794733</x:v>
      </x:c>
      <x:c r="AC40" s="39" t="n">
        <x:v>-0.0876219653</x:v>
      </x:c>
      <x:c r="AD40" s="39" t="n">
        <x:v>-0.012792031</x:v>
      </x:c>
      <x:c r="AE40" s="39" t="n">
        <x:v>-0.0118941818</x:v>
      </x:c>
      <x:c r="AF40" s="39" t="n">
        <x:v>0.1090891575</x:v>
      </x:c>
      <x:c r="AG40" s="39" t="n">
        <x:v>-0.0003830822</x:v>
      </x:c>
      <x:c r="AH40" s="39" t="n">
        <x:v>-0.0101930812</x:v>
      </x:c>
      <x:c r="AI40" s="39" t="n">
        <x:v>-0.0497437612</x:v>
      </x:c>
      <x:c r="AJ40" s="39" t="n">
        <x:v>-0.115314078</x:v>
      </x:c>
      <x:c r="AK40" s="39" t="n">
        <x:v>-0.0971520364</x:v>
      </x:c>
      <x:c r="AL40" s="39" t="n">
        <x:v>-0.0175944126</x:v>
      </x:c>
      <x:c r="AM40" s="39" t="n">
        <x:v>-0.0057991233</x:v>
      </x:c>
      <x:c r="AN40" s="39" t="n">
        <x:v>-0.0016871612</x:v>
      </x:c>
      <x:c r="AO40" s="39" t="n">
        <x:v>0.0326063156</x:v>
      </x:c>
      <x:c r="AP40" s="39" t="n">
        <x:v>0.0089485637</x:v>
      </x:c>
      <x:c r="AQ40" s="39" t="n">
        <x:v>0.0023614256</x:v>
      </x:c>
      <x:c r="AR40" s="39" t="n">
        <x:v>-0.0524689239</x:v>
      </x:c>
      <x:c r="AS40" s="39" t="n">
        <x:v>0.0172403637</x:v>
      </x:c>
      <x:c r="AT40" s="39" t="n">
        <x:v>0.0148989999</x:v>
      </x:c>
      <x:c r="AU40" s="39" t="n">
        <x:v>0.0075915798</x:v>
      </x:c>
      <x:c r="AV40" s="39" t="n">
        <x:v>0.0055406637</x:v>
      </x:c>
      <x:c r="AW40" s="39" t="n">
        <x:v>0.0363346623</x:v>
      </x:c>
      <x:c r="AX40" s="39" t="n">
        <x:v>0.0121185085</x:v>
      </x:c>
      <x:c r="AY40" s="39" t="n">
        <x:v>0.0439819057</x:v>
      </x:c>
      <x:c r="AZ40" s="39" t="n">
        <x:v>-0.0095976166</x:v>
      </x:c>
      <x:c r="BA40" s="39" t="n">
        <x:v>0.0268707044</x:v>
      </x:c>
      <x:c r="BB40" s="39" t="n">
        <x:v>-0.0022037125</x:v>
      </x:c>
      <x:c r="BC40" s="39" t="n">
        <x:v>-0.0254590362</x:v>
      </x:c>
      <x:c r="BD40" s="39" t="n">
        <x:v>0.0270764833</x:v>
      </x:c>
      <x:c r="BE40" s="39" t="n">
        <x:v>0.0237647514</x:v>
      </x:c>
      <x:c r="BF40" s="39" t="n">
        <x:v>0.0203682309</x:v>
      </x:c>
      <x:c r="BG40" s="39" t="n">
        <x:v>0.0258344885</x:v>
      </x:c>
      <x:c r="BH40" s="39" t="n">
        <x:v>0.0667026062</x:v>
      </x:c>
      <x:c r="BI40" s="39" t="n">
        <x:v>-0.0240368774</x:v>
      </x:c>
      <x:c r="BJ40" s="39" t="n">
        <x:v>0.0300608375</x:v>
      </x:c>
    </x:row>
    <x:row r="41" ht="19" customHeight="1">
      <x:c r="A41" s="40" t="d">
        <x:v>2024-01-01T00:00:00.000Z</x:v>
      </x:c>
      <x:c r="B41" s="39" t="n">
        <x:v>0.0478867898</x:v>
      </x:c>
      <x:c r="C41" s="39" t="n">
        <x:v>-0.0401986844</x:v>
      </x:c>
      <x:c r="D41" s="39" t="n">
        <x:v>0.0094487628</x:v>
      </x:c>
      <x:c r="E41" s="39" t="n">
        <x:v>-0.0141311725</x:v>
      </x:c>
      <x:c r="F41" s="39" t="n">
        <x:v>-0.0407086023</x:v>
      </x:c>
      <x:c r="G41" s="39" t="n">
        <x:v>-0.0193496583</x:v>
      </x:c>
      <x:c r="H41" s="39" t="n">
        <x:v>-0.0019077104</x:v>
      </x:c>
      <x:c r="I41" s="39" t="n">
        <x:v>-0.0210101954</x:v>
      </x:c>
      <x:c r="J41" s="39" t="n">
        <x:v>0.0056017609</x:v>
      </x:c>
      <x:c r="K41" s="39" t="n">
        <x:v>-0.0060426228</x:v>
      </x:c>
      <x:c r="L41" s="39" t="n">
        <x:v>0.029587215</x:v>
      </x:c>
      <x:c r="M41" s="39" t="n">
        <x:v>-0.0372029773</x:v>
      </x:c>
      <x:c r="N41" s="39" t="n">
        <x:v>0.0733558315</x:v>
      </x:c>
      <x:c r="O41" s="39" t="n">
        <x:v>0.0494207454</x:v>
      </x:c>
      <x:c r="P41" s="39" t="n">
        <x:v>0.1501424535</x:v>
      </x:c>
      <x:c r="Q41" s="39" t="n">
        <x:v>0.178262336</x:v>
      </x:c>
      <x:c r="R41" s="39" t="n">
        <x:v>-0.0674816894</x:v>
      </x:c>
      <x:c r="S41" s="39" t="n">
        <x:v>-0.0097355233</x:v>
      </x:c>
      <x:c r="T41" s="39" t="n">
        <x:v>0.2649080426</x:v>
      </x:c>
      <x:c r="U41" s="39" t="n">
        <x:v>0.0093518009</x:v>
      </x:c>
      <x:c r="V41" s="39" t="n">
        <x:v>0.0441417625</x:v>
      </x:c>
      <x:c r="W41" s="39" t="n">
        <x:v>-0.0147986819</x:v>
      </x:c>
      <x:c r="X41" s="39" t="n">
        <x:v>0.096228857</x:v>
      </x:c>
      <x:c r="Y41" s="39" t="n">
        <x:v>-0.0511075344</x:v>
      </x:c>
      <x:c r="Z41" s="39" t="n">
        <x:v>-0.0356518796</x:v>
      </x:c>
      <x:c r="AA41" s="39" t="n">
        <x:v>-0.0918035147</x:v>
      </x:c>
      <x:c r="AB41" s="39" t="n">
        <x:v>-0.0985364118</x:v>
      </x:c>
      <x:c r="AC41" s="39" t="n">
        <x:v>-0.0237079047</x:v>
      </x:c>
      <x:c r="AD41" s="39" t="n">
        <x:v>0.0312625019</x:v>
      </x:c>
      <x:c r="AE41" s="39" t="n">
        <x:v>0.0671973557</x:v>
      </x:c>
      <x:c r="AF41" s="39" t="n">
        <x:v>-0.0205725698</x:v>
      </x:c>
      <x:c r="AG41" s="39" t="n">
        <x:v>-0.0193499941</x:v>
      </x:c>
      <x:c r="AH41" s="39" t="n">
        <x:v>0.113696171</x:v>
      </x:c>
      <x:c r="AI41" s="39" t="n">
        <x:v>-0.0259670019</x:v>
      </x:c>
      <x:c r="AJ41" s="39" t="n">
        <x:v>-0.0846973646</x:v>
      </x:c>
      <x:c r="AK41" s="39" t="n">
        <x:v>0.1031340233</x:v>
      </x:c>
      <x:c r="AL41" s="39" t="n">
        <x:v>-0.0196297538</x:v>
      </x:c>
      <x:c r="AM41" s="39" t="n">
        <x:v>-0.0059491733</x:v>
      </x:c>
      <x:c r="AN41" s="39" t="n">
        <x:v>0.0702683337</x:v>
      </x:c>
      <x:c r="AO41" s="39" t="n">
        <x:v>0.0336138064</x:v>
      </x:c>
      <x:c r="AP41" s="39" t="n">
        <x:v>-0.032831293</x:v>
      </x:c>
      <x:c r="AQ41" s="39" t="n">
        <x:v>-0.0322972515</x:v>
      </x:c>
      <x:c r="AR41" s="39" t="n">
        <x:v>-0.018427884</x:v>
      </x:c>
      <x:c r="AS41" s="39" t="n">
        <x:v>0.0280848655</x:v>
      </x:c>
      <x:c r="AT41" s="39" t="n">
        <x:v>0.0079094672</x:v>
      </x:c>
      <x:c r="AU41" s="39" t="n">
        <x:v>0.0165215582</x:v>
      </x:c>
      <x:c r="AV41" s="39" t="n">
        <x:v>0.0171575387</x:v>
      </x:c>
      <x:c r="AW41" s="39" t="n">
        <x:v>0.0172866988</x:v>
      </x:c>
      <x:c r="AX41" s="39" t="n">
        <x:v>0.0230624665</x:v>
      </x:c>
      <x:c r="AY41" s="39" t="n">
        <x:v>0.021207956</x:v>
      </x:c>
      <x:c r="AZ41" s="39" t="n">
        <x:v>0.0072029883</x:v>
      </x:c>
      <x:c r="BA41" s="39" t="n">
        <x:v>-0.0191468077</x:v>
      </x:c>
      <x:c r="BB41" s="39" t="n">
        <x:v>0.0254625413</x:v>
      </x:c>
      <x:c r="BC41" s="39" t="n">
        <x:v>0.0245130835</x:v>
      </x:c>
      <x:c r="BD41" s="39" t="n">
        <x:v>0.0312359611</x:v>
      </x:c>
      <x:c r="BE41" s="39" t="n">
        <x:v>0.0466104382</x:v>
      </x:c>
      <x:c r="BF41" s="39" t="n">
        <x:v>0.0074878052</x:v>
      </x:c>
      <x:c r="BG41" s="39" t="n">
        <x:v>0.0220189969</x:v>
      </x:c>
      <x:c r="BH41" s="39" t="n">
        <x:v>0.0351161041</x:v>
      </x:c>
      <x:c r="BI41" s="39" t="n">
        <x:v>-0.042033632</x:v>
      </x:c>
      <x:c r="BJ41" s="39" t="n">
        <x:v>0.0163341123</x:v>
      </x:c>
    </x:row>
    <x:row r="42" ht="19" customHeight="1">
      <x:c r="A42" s="40" t="d">
        <x:v>2024-01-29T00:00:00.000Z</x:v>
      </x:c>
      <x:c r="B42" s="39" t="n">
        <x:v>0.1264261544</x:v>
      </x:c>
      <x:c r="C42" s="39" t="n">
        <x:v>0.0673743242</x:v>
      </x:c>
      <x:c r="D42" s="39" t="n">
        <x:v>0.0206783528</x:v>
      </x:c>
      <x:c r="E42" s="39" t="n">
        <x:v>0.0067862945</x:v>
      </x:c>
      <x:c r="F42" s="39" t="n">
        <x:v>0.0203650124</x:v>
      </x:c>
      <x:c r="G42" s="39" t="n">
        <x:v>0.1213404604</x:v>
      </x:c>
      <x:c r="H42" s="39" t="n">
        <x:v>0.0829714226</x:v>
      </x:c>
      <x:c r="I42" s="39" t="n">
        <x:v>0.0295481595</x:v>
      </x:c>
      <x:c r="J42" s="39" t="n">
        <x:v>-0.0375752071</x:v>
      </x:c>
      <x:c r="K42" s="39" t="n">
        <x:v>0.0791455051</x:v>
      </x:c>
      <x:c r="L42" s="39" t="n">
        <x:v>0.0188361282</x:v>
      </x:c>
      <x:c r="M42" s="39" t="n">
        <x:v>-0.0282720067</x:v>
      </x:c>
      <x:c r="N42" s="39" t="n">
        <x:v>0.0175574765</x:v>
      </x:c>
      <x:c r="O42" s="39" t="n">
        <x:v>0.0649271902</x:v>
      </x:c>
      <x:c r="P42" s="39" t="n">
        <x:v>0.0667976039</x:v>
      </x:c>
      <x:c r="Q42" s="39" t="n">
        <x:v>-0.0987407671</x:v>
      </x:c>
      <x:c r="R42" s="39" t="n">
        <x:v>0.0436175128</x:v>
      </x:c>
      <x:c r="S42" s="39" t="n">
        <x:v>0.0512421888</x:v>
      </x:c>
      <x:c r="T42" s="39" t="n">
        <x:v>-0.0734181708</x:v>
      </x:c>
      <x:c r="U42" s="39" t="n">
        <x:v>0.0378782677</x:v>
      </x:c>
      <x:c r="V42" s="39" t="n">
        <x:v>0.0996468505</x:v>
      </x:c>
      <x:c r="W42" s="39" t="n">
        <x:v>0.0235993389</x:v>
      </x:c>
      <x:c r="X42" s="39" t="n">
        <x:v>-0.1180297182</x:v>
      </x:c>
      <x:c r="Y42" s="39" t="n">
        <x:v>-0.0749315877</x:v>
      </x:c>
      <x:c r="Z42" s="39" t="n">
        <x:v>0.0959342677</x:v>
      </x:c>
      <x:c r="AA42" s="39" t="n">
        <x:v>0.0470398863</x:v>
      </x:c>
      <x:c r="AB42" s="39" t="n">
        <x:v>-0.1092445834</x:v>
      </x:c>
      <x:c r="AC42" s="39" t="n">
        <x:v>0.0708901731</x:v>
      </x:c>
      <x:c r="AD42" s="39" t="n">
        <x:v>0.0323651309</x:v>
      </x:c>
      <x:c r="AE42" s="39" t="n">
        <x:v>-0.1886293315</x:v>
      </x:c>
      <x:c r="AF42" s="39" t="n">
        <x:v>-0.1721165905</x:v>
      </x:c>
      <x:c r="AG42" s="39" t="n">
        <x:v>0.1186172867</x:v>
      </x:c>
      <x:c r="AH42" s="39" t="n">
        <x:v>0.1239718832</x:v>
      </x:c>
      <x:c r="AI42" s="39" t="n">
        <x:v>0.0337729937</x:v>
      </x:c>
      <x:c r="AJ42" s="39" t="n">
        <x:v>0.0291676542</x:v>
      </x:c>
      <x:c r="AK42" s="39" t="n">
        <x:v>-0.0276084366</x:v>
      </x:c>
      <x:c r="AL42" s="39" t="n">
        <x:v>0.0309322693</x:v>
      </x:c>
      <x:c r="AM42" s="39" t="n">
        <x:v>-0.1332160598</x:v>
      </x:c>
      <x:c r="AN42" s="39" t="n">
        <x:v>0.0728551667</x:v>
      </x:c>
      <x:c r="AO42" s="39" t="n">
        <x:v>0.0552626767</x:v>
      </x:c>
      <x:c r="AP42" s="39" t="n">
        <x:v>0.0054905022</x:v>
      </x:c>
      <x:c r="AQ42" s="39" t="n">
        <x:v>-0.0207926465</x:v>
      </x:c>
      <x:c r="AR42" s="39" t="n">
        <x:v>0.0707511981</x:v>
      </x:c>
      <x:c r="AS42" s="39" t="n">
        <x:v>-0.0153879192</x:v>
      </x:c>
      <x:c r="AT42" s="39" t="n">
        <x:v>-0.0104239618</x:v>
      </x:c>
      <x:c r="AU42" s="39" t="n">
        <x:v>-0.0141853867</x:v>
      </x:c>
      <x:c r="AV42" s="39" t="n">
        <x:v>-0.0141464705</x:v>
      </x:c>
      <x:c r="AW42" s="39" t="n">
        <x:v>-0.0206246909</x:v>
      </x:c>
      <x:c r="AX42" s="39" t="n">
        <x:v>-0.0138591136</x:v>
      </x:c>
      <x:c r="AY42" s="39" t="n">
        <x:v>0.0571428617</x:v>
      </x:c>
      <x:c r="AZ42" s="39" t="n">
        <x:v>0.054570196</x:v>
      </x:c>
      <x:c r="BA42" s="39" t="n">
        <x:v>-0.0319703395</x:v>
      </x:c>
      <x:c r="BB42" s="39" t="n">
        <x:v>0.0064800107</x:v>
      </x:c>
      <x:c r="BC42" s="39" t="n">
        <x:v>-0.022889479</x:v>
      </x:c>
      <x:c r="BD42" s="39" t="n">
        <x:v>-0.0142307994</x:v>
      </x:c>
      <x:c r="BE42" s="39" t="n">
        <x:v>-0.0063830183</x:v>
      </x:c>
      <x:c r="BF42" s="39" t="n">
        <x:v>-0.014369745</x:v>
      </x:c>
      <x:c r="BG42" s="39" t="n">
        <x:v>-0.0577490819</x:v>
      </x:c>
      <x:c r="BH42" s="39" t="n">
        <x:v>-0.0687423095</x:v>
      </x:c>
      <x:c r="BI42" s="39" t="n">
        <x:v>0.014948248</x:v>
      </x:c>
      <x:c r="BJ42" s="39" t="n">
        <x:v>-0.075959519</x:v>
      </x:c>
    </x:row>
    <x:row r="43" ht="19" customHeight="1">
      <x:c r="A43" s="40" t="d">
        <x:v>2024-02-26T00:00:00.000Z</x:v>
      </x:c>
      <x:c r="B43" s="39" t="n">
        <x:v>0.1809963224</x:v>
      </x:c>
      <x:c r="C43" s="39" t="n">
        <x:v>0.1086523336</x:v>
      </x:c>
      <x:c r="D43" s="39" t="n">
        <x:v>0.1108369107</x:v>
      </x:c>
      <x:c r="E43" s="39" t="n">
        <x:v>0.0002523417</x:v>
      </x:c>
      <x:c r="F43" s="39" t="n">
        <x:v>0.1548217116</x:v>
      </x:c>
      <x:c r="G43" s="39" t="n">
        <x:v>0.0871360152</x:v>
      </x:c>
      <x:c r="H43" s="39" t="n">
        <x:v>0.004081555</x:v>
      </x:c>
      <x:c r="I43" s="39" t="n">
        <x:v>0.2592666331</x:v>
      </x:c>
      <x:c r="J43" s="39" t="n">
        <x:v>0.0284997203</x:v>
      </x:c>
      <x:c r="K43" s="39" t="n">
        <x:v>-0.0247403768</x:v>
      </x:c>
      <x:c r="L43" s="39" t="n">
        <x:v>0.0350507792</x:v>
      </x:c>
      <x:c r="M43" s="39" t="n">
        <x:v>0.0217147156</x:v>
      </x:c>
      <x:c r="N43" s="39" t="n">
        <x:v>-0.0965054812</x:v>
      </x:c>
      <x:c r="O43" s="39" t="n">
        <x:v>0.0451959639</x:v>
      </x:c>
      <x:c r="P43" s="39" t="n">
        <x:v>0.0655478781</x:v>
      </x:c>
      <x:c r="Q43" s="39" t="n">
        <x:v>0.0156267533</x:v>
      </x:c>
      <x:c r="R43" s="39" t="n">
        <x:v>0.0645346835</x:v>
      </x:c>
      <x:c r="S43" s="39" t="n">
        <x:v>0.1006253751</x:v>
      </x:c>
      <x:c r="T43" s="39" t="n">
        <x:v>0.0033787003</x:v>
      </x:c>
      <x:c r="U43" s="39" t="n">
        <x:v>0.1346531871</x:v>
      </x:c>
      <x:c r="V43" s="39" t="n">
        <x:v>0.1145492143</x:v>
      </x:c>
      <x:c r="W43" s="39" t="n">
        <x:v>-0.0081212779</x:v>
      </x:c>
      <x:c r="X43" s="39" t="n">
        <x:v>0.0790732188</x:v>
      </x:c>
      <x:c r="Y43" s="39" t="n">
        <x:v>-0.0626695107</x:v>
      </x:c>
      <x:c r="Z43" s="39" t="n">
        <x:v>0.028893497</x:v>
      </x:c>
      <x:c r="AA43" s="39" t="n">
        <x:v>-0.0502032357</x:v>
      </x:c>
      <x:c r="AB43" s="39" t="n">
        <x:v>-0.2704367373</x:v>
      </x:c>
      <x:c r="AC43" s="39" t="n">
        <x:v>0.0233649242</x:v>
      </x:c>
      <x:c r="AD43" s="39" t="n">
        <x:v>0.0430508007</x:v>
      </x:c>
      <x:c r="AE43" s="39" t="n">
        <x:v>-0.0741159007</x:v>
      </x:c>
      <x:c r="AF43" s="39" t="n">
        <x:v>-0.039089702</x:v>
      </x:c>
      <x:c r="AG43" s="39" t="n">
        <x:v>0.1032844594</x:v>
      </x:c>
      <x:c r="AH43" s="39" t="n">
        <x:v>0.1075640144</x:v>
      </x:c>
      <x:c r="AI43" s="39" t="n">
        <x:v>0.1253032063</x:v>
      </x:c>
      <x:c r="AJ43" s="39" t="n">
        <x:v>0.0464658346</x:v>
      </x:c>
      <x:c r="AK43" s="39" t="n">
        <x:v>-0.035310032</x:v>
      </x:c>
      <x:c r="AL43" s="39" t="n">
        <x:v>-0.0189080812</x:v>
      </x:c>
      <x:c r="AM43" s="39" t="n">
        <x:v>-0.020502856</x:v>
      </x:c>
      <x:c r="AN43" s="39" t="n">
        <x:v>0.0482554424</x:v>
      </x:c>
      <x:c r="AO43" s="39" t="n">
        <x:v>0.0518051109</x:v>
      </x:c>
      <x:c r="AP43" s="39" t="n">
        <x:v>-0.0058252203</x:v>
      </x:c>
      <x:c r="AQ43" s="39" t="n">
        <x:v>0.0336938521</x:v>
      </x:c>
      <x:c r="AR43" s="39" t="n">
        <x:v>0.0291200494</x:v>
      </x:c>
      <x:c r="AS43" s="39" t="n">
        <x:v>0.0071475905</x:v>
      </x:c>
      <x:c r="AT43" s="39" t="n">
        <x:v>-0.0005493575</x:v>
      </x:c>
      <x:c r="AU43" s="39" t="n">
        <x:v>0.004957841</x:v>
      </x:c>
      <x:c r="AV43" s="39" t="n">
        <x:v>0.0042265038</x:v>
      </x:c>
      <x:c r="AW43" s="39" t="n">
        <x:v>-0.0123435534</x:v>
      </x:c>
      <x:c r="AX43" s="39" t="n">
        <x:v>-0.0069563753</x:v>
      </x:c>
      <x:c r="AY43" s="39" t="n">
        <x:v>0.038750554</x:v>
      </x:c>
      <x:c r="AZ43" s="39" t="n">
        <x:v>-0.0303093071</x:v>
      </x:c>
      <x:c r="BA43" s="39" t="n">
        <x:v>0.0065813535</x:v>
      </x:c>
      <x:c r="BB43" s="39" t="n">
        <x:v>-0.0126907804</x:v>
      </x:c>
      <x:c r="BC43" s="39" t="n">
        <x:v>0.0327017701</x:v>
      </x:c>
      <x:c r="BD43" s="39" t="n">
        <x:v>0.0020141144</x:v>
      </x:c>
      <x:c r="BE43" s="39" t="n">
        <x:v>0.0125625297</x:v>
      </x:c>
      <x:c r="BF43" s="39" t="n">
        <x:v>0.0164840579</x:v>
      </x:c>
      <x:c r="BG43" s="39" t="n">
        <x:v>0.0318645286</x:v>
      </x:c>
      <x:c r="BH43" s="39" t="n">
        <x:v>0.0061132964</x:v>
      </x:c>
      <x:c r="BI43" s="39" t="n">
        <x:v>-0.0123144429</x:v>
      </x:c>
      <x:c r="BJ43" s="39" t="n">
        <x:v>-0.0143950162</x:v>
      </x:c>
    </x:row>
    <x:row r="44" ht="19" customHeight="1">
      <x:c r="A44" s="40" t="d">
        <x:v>2024-03-25T00:00:00.000Z</x:v>
      </x:c>
      <x:c r="B44" s="39" t="n">
        <x:v>0.1791367333</x:v>
      </x:c>
      <x:c r="C44" s="39" t="n">
        <x:v>-0.0032672844</x:v>
      </x:c>
      <x:c r="D44" s="39" t="n">
        <x:v>-0.0531399101</x:v>
      </x:c>
      <x:c r="E44" s="39" t="n">
        <x:v>-0.0237336409</x:v>
      </x:c>
      <x:c r="F44" s="39" t="n">
        <x:v>0.0635950278</x:v>
      </x:c>
      <x:c r="G44" s="39" t="n">
        <x:v>0.1117732879</x:v>
      </x:c>
      <x:c r="H44" s="39" t="n">
        <x:v>0.0451096503</x:v>
      </x:c>
      <x:c r="I44" s="39" t="n">
        <x:v>-0.0543437986</x:v>
      </x:c>
      <x:c r="J44" s="39" t="n">
        <x:v>-0.0131147792</x:v>
      </x:c>
      <x:c r="K44" s="39" t="n">
        <x:v>0.0647554897</x:v>
      </x:c>
      <x:c r="L44" s="39" t="n">
        <x:v>-0.0700794919</x:v>
      </x:c>
      <x:c r="M44" s="39" t="n">
        <x:v>0.0147329763</x:v>
      </x:c>
      <x:c r="N44" s="39" t="n">
        <x:v>-0.0471672243</x:v>
      </x:c>
      <x:c r="O44" s="39" t="n">
        <x:v>0.0808509844</x:v>
      </x:c>
      <x:c r="P44" s="39" t="n">
        <x:v>-0.0193503748</x:v>
      </x:c>
      <x:c r="Q44" s="39" t="n">
        <x:v>0.0000682356</x:v>
      </x:c>
      <x:c r="R44" s="39" t="n">
        <x:v>-0.0444807326</x:v>
      </x:c>
      <x:c r="S44" s="39" t="n">
        <x:v>-0.0460687886</x:v>
      </x:c>
      <x:c r="T44" s="39" t="n">
        <x:v>0.1172753608</x:v>
      </x:c>
      <x:c r="U44" s="39" t="n">
        <x:v>-0.0410598502</x:v>
      </x:c>
      <x:c r="V44" s="39" t="n">
        <x:v>-0.0451435547</x:v>
      </x:c>
      <x:c r="W44" s="39" t="n">
        <x:v>-0.0220602057</x:v>
      </x:c>
      <x:c r="X44" s="39" t="n">
        <x:v>0.2408277242</x:v>
      </x:c>
      <x:c r="Y44" s="39" t="n">
        <x:v>0.0858002269</x:v>
      </x:c>
      <x:c r="Z44" s="39" t="n">
        <x:v>0.0583809647</x:v>
      </x:c>
      <x:c r="AA44" s="39" t="n">
        <x:v>0.0311397243</x:v>
      </x:c>
      <x:c r="AB44" s="39" t="n">
        <x:v>-0.0528985426</x:v>
      </x:c>
      <x:c r="AC44" s="39" t="n">
        <x:v>0.0051875324</x:v>
      </x:c>
      <x:c r="AD44" s="39" t="n">
        <x:v>0.0536180873</x:v>
      </x:c>
      <x:c r="AE44" s="39" t="n">
        <x:v>0.103592138</x:v>
      </x:c>
      <x:c r="AF44" s="39" t="n">
        <x:v>-0.0370985421</x:v>
      </x:c>
      <x:c r="AG44" s="39" t="n">
        <x:v>-0.0287186464</x:v>
      </x:c>
      <x:c r="AH44" s="39" t="n">
        <x:v>-0.0553895335</x:v>
      </x:c>
      <x:c r="AI44" s="39" t="n">
        <x:v>-0.0021285474</x:v>
      </x:c>
      <x:c r="AJ44" s="39" t="n">
        <x:v>-0.0235804408</x:v>
      </x:c>
      <x:c r="AK44" s="39" t="n">
        <x:v>0.0059461284</x:v>
      </x:c>
      <x:c r="AL44" s="39" t="n">
        <x:v>0.0147832728</x:v>
      </x:c>
      <x:c r="AM44" s="39" t="n">
        <x:v>0.1012637561</x:v>
      </x:c>
      <x:c r="AN44" s="39" t="n">
        <x:v>-0.0365509149</x:v>
      </x:c>
      <x:c r="AO44" s="39" t="n">
        <x:v>-0.0048552834</x:v>
      </x:c>
      <x:c r="AP44" s="39" t="n">
        <x:v>0.0029505259</x:v>
      </x:c>
      <x:c r="AQ44" s="39" t="n">
        <x:v>-0.0474725738</x:v>
      </x:c>
      <x:c r="AR44" s="39" t="n">
        <x:v>0.0049544409</x:v>
      </x:c>
      <x:c r="AS44" s="39" t="n">
        <x:v>0.0290061683</x:v>
      </x:c>
      <x:c r="AT44" s="39" t="n">
        <x:v>-0.0034162939</x:v>
      </x:c>
      <x:c r="AU44" s="39" t="n">
        <x:v>-0.0053069</x:v>
      </x:c>
      <x:c r="AV44" s="39" t="n">
        <x:v>-0.0049799988</x:v>
      </x:c>
      <x:c r="AW44" s="39" t="n">
        <x:v>0.0032213102</x:v>
      </x:c>
      <x:c r="AX44" s="39" t="n">
        <x:v>-0.0065204629</x:v>
      </x:c>
      <x:c r="AY44" s="39" t="n">
        <x:v>0.0244260573</x:v>
      </x:c>
      <x:c r="AZ44" s="39" t="n">
        <x:v>0.0038518058</x:v>
      </x:c>
      <x:c r="BA44" s="39" t="n">
        <x:v>-0.0256132043</x:v>
      </x:c>
      <x:c r="BB44" s="39" t="n">
        <x:v>0.0237960815</x:v>
      </x:c>
      <x:c r="BC44" s="39" t="n">
        <x:v>0.0795463464</x:v>
      </x:c>
      <x:c r="BD44" s="39" t="n">
        <x:v>0.0301549393</x:v>
      </x:c>
      <x:c r="BE44" s="39" t="n">
        <x:v>0.0012097567</x:v>
      </x:c>
      <x:c r="BF44" s="39" t="n">
        <x:v>0.0177919999</x:v>
      </x:c>
      <x:c r="BG44" s="39" t="n">
        <x:v>0.0448712856</x:v>
      </x:c>
      <x:c r="BH44" s="39" t="n">
        <x:v>-0.0083494913</x:v>
      </x:c>
      <x:c r="BI44" s="39" t="n">
        <x:v>-0.0458872785</x:v>
      </x:c>
      <x:c r="BJ44" s="39" t="n">
        <x:v>0.0622983489</x:v>
      </x:c>
    </x:row>
    <x:row r="45" ht="19" customHeight="1">
      <x:c r="A45" s="40" t="d">
        <x:v>2024-04-22T00:00:00.000Z</x:v>
      </x:c>
      <x:c r="B45" s="39" t="n">
        <x:v>0.0056098077</x:v>
      </x:c>
      <x:c r="C45" s="39" t="n">
        <x:v>-0.0238215369</x:v>
      </x:c>
      <x:c r="D45" s="39" t="n">
        <x:v>-0.0248345569</x:v>
      </x:c>
      <x:c r="E45" s="39" t="n">
        <x:v>-0.0087099508</x:v>
      </x:c>
      <x:c r="F45" s="39" t="n">
        <x:v>-0.0663190684</x:v>
      </x:c>
      <x:c r="G45" s="39" t="n">
        <x:v>0.1251352116</x:v>
      </x:c>
      <x:c r="H45" s="39" t="n">
        <x:v>0.0497618222</x:v>
      </x:c>
      <x:c r="I45" s="39" t="n">
        <x:v>-0.1233915989</x:v>
      </x:c>
      <x:c r="J45" s="39" t="n">
        <x:v>0.0034745053</x:v>
      </x:c>
      <x:c r="K45" s="39" t="n">
        <x:v>-0.0511374684</x:v>
      </x:c>
      <x:c r="L45" s="39" t="n">
        <x:v>-0.0649621641</x:v>
      </x:c>
      <x:c r="M45" s="39" t="n">
        <x:v>-0.032183603</x:v>
      </x:c>
      <x:c r="N45" s="39" t="n">
        <x:v>-0.0053085945</x:v>
      </x:c>
      <x:c r="O45" s="39" t="n">
        <x:v>0.0720864285</x:v>
      </x:c>
      <x:c r="P45" s="39" t="n">
        <x:v>-0.0905978593</x:v>
      </x:c>
      <x:c r="Q45" s="39" t="n">
        <x:v>-0.0924073874</x:v>
      </x:c>
      <x:c r="R45" s="39" t="n">
        <x:v>-0.0348942478</x:v>
      </x:c>
      <x:c r="S45" s="39" t="n">
        <x:v>-0.0606330768</x:v>
      </x:c>
      <x:c r="T45" s="39" t="n">
        <x:v>0.0393266206</x:v>
      </x:c>
      <x:c r="U45" s="39" t="n">
        <x:v>0.0138235413</x:v>
      </x:c>
      <x:c r="V45" s="39" t="n">
        <x:v>-0.0686638584</x:v>
      </x:c>
      <x:c r="W45" s="39" t="n">
        <x:v>-0.1193872088</x:v>
      </x:c>
      <x:c r="X45" s="39" t="n">
        <x:v>-0.0221093524</x:v>
      </x:c>
      <x:c r="Y45" s="39" t="n">
        <x:v>0.1715933039</x:v>
      </x:c>
      <x:c r="Z45" s="39" t="n">
        <x:v>0.0114463742</x:v>
      </x:c>
      <x:c r="AA45" s="39" t="n">
        <x:v>0.7350802915</x:v>
      </x:c>
      <x:c r="AB45" s="39" t="n">
        <x:v>-0.0850619186</x:v>
      </x:c>
      <x:c r="AC45" s="39" t="n">
        <x:v>0.0076233943</x:v>
      </x:c>
      <x:c r="AD45" s="39" t="n">
        <x:v>-0.0158999972</x:v>
      </x:c>
      <x:c r="AE45" s="39" t="n">
        <x:v>-0.0223533604</x:v>
      </x:c>
      <x:c r="AF45" s="39" t="n">
        <x:v>-0.1357461646</x:v>
      </x:c>
      <x:c r="AG45" s="39" t="n">
        <x:v>-0.081131927</x:v>
      </x:c>
      <x:c r="AH45" s="39" t="n">
        <x:v>-0.0933577589</x:v>
      </x:c>
      <x:c r="AI45" s="39" t="n">
        <x:v>-0.0075862136</x:v>
      </x:c>
      <x:c r="AJ45" s="39" t="n">
        <x:v>0.0483353714</x:v>
      </x:c>
      <x:c r="AK45" s="39" t="n">
        <x:v>0.0775105411</x:v>
      </x:c>
      <x:c r="AL45" s="39" t="n">
        <x:v>0.0077089214</x:v>
      </x:c>
      <x:c r="AM45" s="39" t="n">
        <x:v>0.1132012609</x:v>
      </x:c>
      <x:c r="AN45" s="39" t="n">
        <x:v>-0.0000696166</x:v>
      </x:c>
      <x:c r="AO45" s="39" t="n">
        <x:v>-0.1148387119</x:v>
      </x:c>
      <x:c r="AP45" s="39" t="n">
        <x:v>-0.0024805719</x:v>
      </x:c>
      <x:c r="AQ45" s="39" t="n">
        <x:v>-0.056745758</x:v>
      </x:c>
      <x:c r="AR45" s="39" t="n">
        <x:v>-0.029500029</x:v>
      </x:c>
      <x:c r="AS45" s="39" t="n">
        <x:v>-0.0385812263</x:v>
      </x:c>
      <x:c r="AT45" s="39" t="n">
        <x:v>-0.0108062512</x:v>
      </x:c>
      <x:c r="AU45" s="39" t="n">
        <x:v>-0.009300743</x:v>
      </x:c>
      <x:c r="AV45" s="39" t="n">
        <x:v>-0.0097992302</x:v>
      </x:c>
      <x:c r="AW45" s="39" t="n">
        <x:v>0.0023275551</x:v>
      </x:c>
      <x:c r="AX45" s="39" t="n">
        <x:v>-0.0090291964</x:v>
      </x:c>
      <x:c r="AY45" s="39" t="n">
        <x:v>-0.0311607723</x:v>
      </x:c>
      <x:c r="AZ45" s="39" t="n">
        <x:v>0.0099443649</x:v>
      </x:c>
      <x:c r="BA45" s="39" t="n">
        <x:v>-0.0040730485</x:v>
      </x:c>
      <x:c r="BB45" s="39" t="n">
        <x:v>0.0005149419</x:v>
      </x:c>
      <x:c r="BC45" s="39" t="n">
        <x:v>-0.0101995578</x:v>
      </x:c>
      <x:c r="BD45" s="39" t="n">
        <x:v>-0.010888056</x:v>
      </x:c>
      <x:c r="BE45" s="39" t="n">
        <x:v>-0.046127154</x:v>
      </x:c>
      <x:c r="BF45" s="39" t="n">
        <x:v>-0.0042728702</x:v>
      </x:c>
      <x:c r="BG45" s="39" t="n">
        <x:v>-0.0150506124</x:v>
      </x:c>
      <x:c r="BH45" s="39" t="n">
        <x:v>-0.0569392732</x:v>
      </x:c>
      <x:c r="BI45" s="39" t="n">
        <x:v>0.0012781078</x:v>
      </x:c>
      <x:c r="BJ45" s="39" t="n">
        <x:v>0.0188438112</x:v>
      </x:c>
    </x:row>
    <x:row r="46" ht="19" customHeight="1">
      <x:c r="A46" s="40" t="d">
        <x:v>2024-05-20T00:00:00.000Z</x:v>
      </x:c>
      <x:c r="B46" s="39" t="n">
        <x:v>0.2745300067</x:v>
      </x:c>
      <x:c r="C46" s="39" t="n">
        <x:v>0.0639669508</x:v>
      </x:c>
      <x:c r="D46" s="39" t="n">
        <x:v>-0.0371967735</x:v>
      </x:c>
      <x:c r="E46" s="39" t="n">
        <x:v>-0.048119449</x:v>
      </x:c>
      <x:c r="F46" s="39" t="n">
        <x:v>-0.1459206224</x:v>
      </x:c>
      <x:c r="G46" s="39" t="n">
        <x:v>-0.0460299776</x:v>
      </x:c>
      <x:c r="H46" s="39" t="n">
        <x:v>-0.0126982308</x:v>
      </x:c>
      <x:c r="I46" s="39" t="n">
        <x:v>0.0228648556</x:v>
      </x:c>
      <x:c r="J46" s="39" t="n">
        <x:v>-0.0693605244</x:v>
      </x:c>
      <x:c r="K46" s="39" t="n">
        <x:v>0.0256920505</x:v>
      </x:c>
      <x:c r="L46" s="39" t="n">
        <x:v>0.0628895636</x:v>
      </x:c>
      <x:c r="M46" s="39" t="n">
        <x:v>0.1217805201</x:v>
      </x:c>
      <x:c r="N46" s="39" t="n">
        <x:v>-0.0199535876</x:v>
      </x:c>
      <x:c r="O46" s="39" t="n">
        <x:v>-0.0760954684</x:v>
      </x:c>
      <x:c r="P46" s="39" t="n">
        <x:v>-0.0804541352</x:v>
      </x:c>
      <x:c r="Q46" s="39" t="n">
        <x:v>0.0202867221</x:v>
      </x:c>
      <x:c r="R46" s="39" t="n">
        <x:v>0.0089694523</x:v>
      </x:c>
      <x:c r="S46" s="39" t="n">
        <x:v>-0.1671271541</x:v>
      </x:c>
      <x:c r="T46" s="39" t="n">
        <x:v>0.4287787011</x:v>
      </x:c>
      <x:c r="U46" s="39" t="n">
        <x:v>-0.0561495657</x:v>
      </x:c>
      <x:c r="V46" s="39" t="n">
        <x:v>0.0662466326</x:v>
      </x:c>
      <x:c r="W46" s="39" t="n">
        <x:v>-0.0062327084</x:v>
      </x:c>
      <x:c r="X46" s="39" t="n">
        <x:v>-0.1090719209</x:v>
      </x:c>
      <x:c r="Y46" s="39" t="n">
        <x:v>-0.0838729574</x:v>
      </x:c>
      <x:c r="Z46" s="39" t="n">
        <x:v>-0.0337046113</x:v>
      </x:c>
      <x:c r="AA46" s="39" t="n">
        <x:v>-0.0912997581</x:v>
      </x:c>
      <x:c r="AB46" s="39" t="n">
        <x:v>-0.0283866288</x:v>
      </x:c>
      <x:c r="AC46" s="39" t="n">
        <x:v>-0.0124382534</x:v>
      </x:c>
      <x:c r="AD46" s="39" t="n">
        <x:v>-0.0931725039</x:v>
      </x:c>
      <x:c r="AE46" s="39" t="n">
        <x:v>0.0149353908</x:v>
      </x:c>
      <x:c r="AF46" s="39" t="n">
        <x:v>-0.0210481624</x:v>
      </x:c>
      <x:c r="AG46" s="39" t="n">
        <x:v>-0.0919673845</x:v>
      </x:c>
      <x:c r="AH46" s="39" t="n">
        <x:v>-0.1182141673</x:v>
      </x:c>
      <x:c r="AI46" s="39" t="n">
        <x:v>0.039734448</x:v>
      </x:c>
      <x:c r="AJ46" s="39" t="n">
        <x:v>0.0364190934</x:v>
      </x:c>
      <x:c r="AK46" s="39" t="n">
        <x:v>0.0032622425</x:v>
      </x:c>
      <x:c r="AL46" s="39" t="n">
        <x:v>-0.0112697193</x:v>
      </x:c>
      <x:c r="AM46" s="39" t="n">
        <x:v>-0.0686886891</x:v>
      </x:c>
      <x:c r="AN46" s="39" t="n">
        <x:v>0.088867708</x:v>
      </x:c>
      <x:c r="AO46" s="39" t="n">
        <x:v>-0.0276912579</x:v>
      </x:c>
      <x:c r="AP46" s="39" t="n">
        <x:v>-0.0484429663</x:v>
      </x:c>
      <x:c r="AQ46" s="39" t="n">
        <x:v>-0.0172235661</x:v>
      </x:c>
      <x:c r="AR46" s="39" t="n">
        <x:v>-0.0090759344</x:v>
      </x:c>
      <x:c r="AS46" s="39" t="n">
        <x:v>0.0299374355</x:v>
      </x:c>
      <x:c r="AT46" s="39" t="n">
        <x:v>0.0101441792</x:v>
      </x:c>
      <x:c r="AU46" s="39" t="n">
        <x:v>0.0139958933</x:v>
      </x:c>
      <x:c r="AV46" s="39" t="n">
        <x:v>0.0155384866</x:v>
      </x:c>
      <x:c r="AW46" s="39" t="n">
        <x:v>0.0170494498</x:v>
      </x:c>
      <x:c r="AX46" s="39" t="n">
        <x:v>0.0061633633</x:v>
      </x:c>
      <x:c r="AY46" s="39" t="n">
        <x:v>0.0449221487</x:v>
      </x:c>
      <x:c r="AZ46" s="39" t="n">
        <x:v>-0.0013900525</x:v>
      </x:c>
      <x:c r="BA46" s="39" t="n">
        <x:v>-0.0478362635</x:v>
      </x:c>
      <x:c r="BB46" s="39" t="n">
        <x:v>0.0024569771</x:v>
      </x:c>
      <x:c r="BC46" s="39" t="n">
        <x:v>-0.0622794903</x:v>
      </x:c>
      <x:c r="BD46" s="39" t="n">
        <x:v>-0.0167001997</x:v>
      </x:c>
      <x:c r="BE46" s="39" t="n">
        <x:v>0.0124471042</x:v>
      </x:c>
      <x:c r="BF46" s="39" t="n">
        <x:v>-0.025722245</x:v>
      </x:c>
      <x:c r="BG46" s="39" t="n">
        <x:v>-0.0105253589</x:v>
      </x:c>
      <x:c r="BH46" s="39" t="n">
        <x:v>-0.0058008342</x:v>
      </x:c>
      <x:c r="BI46" s="39" t="n">
        <x:v>0.016640772</x:v>
      </x:c>
      <x:c r="BJ46" s="39" t="n">
        <x:v>0.0640786181</x:v>
      </x:c>
    </x:row>
    <x:row r="47" ht="19" customHeight="1">
      <x:c r="A47" s="40" t="d">
        <x:v>2024-06-17T00:00:00.000Z</x:v>
      </x:c>
      <x:c r="B47" s="39" t="n">
        <x:v>-0.1891109157</x:v>
      </x:c>
      <x:c r="C47" s="39" t="n">
        <x:v>-0.03691287</x:v>
      </x:c>
      <x:c r="D47" s="39" t="n">
        <x:v>-0.005710485</x:v>
      </x:c>
      <x:c r="E47" s="39" t="n">
        <x:v>-0.0100883843</x:v>
      </x:c>
      <x:c r="F47" s="39" t="n">
        <x:v>-0.0005623575</x:v>
      </x:c>
      <x:c r="G47" s="39" t="n">
        <x:v>-0.0163848164</x:v>
      </x:c>
      <x:c r="H47" s="39" t="n">
        <x:v>-0.04127561</x:v>
      </x:c>
      <x:c r="I47" s="39" t="n">
        <x:v>-0.1612860384</x:v>
      </x:c>
      <x:c r="J47" s="39" t="n">
        <x:v>0.0040020714</x:v>
      </x:c>
      <x:c r="K47" s="39" t="n">
        <x:v>-0.067176454</x:v>
      </x:c>
      <x:c r="L47" s="39" t="n">
        <x:v>-0.0271335116</x:v>
      </x:c>
      <x:c r="M47" s="39" t="n">
        <x:v>-0.1119839297</x:v>
      </x:c>
      <x:c r="N47" s="39" t="n">
        <x:v>0.0319517002</x:v>
      </x:c>
      <x:c r="O47" s="39" t="n">
        <x:v>-0.0400548674</x:v>
      </x:c>
      <x:c r="P47" s="39" t="n">
        <x:v>-0.0279872738</x:v>
      </x:c>
      <x:c r="Q47" s="39" t="n">
        <x:v>-0.1457680145</x:v>
      </x:c>
      <x:c r="R47" s="39" t="n">
        <x:v>-0.1148083513</x:v>
      </x:c>
      <x:c r="S47" s="39" t="n">
        <x:v>-0.0162450358</x:v>
      </x:c>
      <x:c r="T47" s="39" t="n">
        <x:v>-0.2604496475</x:v>
      </x:c>
      <x:c r="U47" s="39" t="n">
        <x:v>0.036281267</x:v>
      </x:c>
      <x:c r="V47" s="39" t="n">
        <x:v>0.0564659051</x:v>
      </x:c>
      <x:c r="W47" s="39" t="n">
        <x:v>0.0079498296</x:v>
      </x:c>
      <x:c r="X47" s="39" t="n">
        <x:v>-0.0394816185</x:v>
      </x:c>
      <x:c r="Y47" s="39" t="n">
        <x:v>0.0044059164</x:v>
      </x:c>
      <x:c r="Z47" s="39" t="n">
        <x:v>0.0359899797</x:v>
      </x:c>
      <x:c r="AA47" s="39" t="n">
        <x:v>-0.0065694711</x:v>
      </x:c>
      <x:c r="AB47" s="39" t="n">
        <x:v>-0.0640804449</x:v>
      </x:c>
      <x:c r="AC47" s="39" t="n">
        <x:v>0.0066266616</x:v>
      </x:c>
      <x:c r="AD47" s="39" t="n">
        <x:v>-0.0770138709</x:v>
      </x:c>
      <x:c r="AE47" s="39" t="n">
        <x:v>0.1214597158</x:v>
      </x:c>
      <x:c r="AF47" s="39" t="n">
        <x:v>-0.009630876</x:v>
      </x:c>
      <x:c r="AG47" s="39" t="n">
        <x:v>-0.0001049691</x:v>
      </x:c>
      <x:c r="AH47" s="39" t="n">
        <x:v>-0.1720802865</x:v>
      </x:c>
      <x:c r="AI47" s="39" t="n">
        <x:v>0.053653989</x:v>
      </x:c>
      <x:c r="AJ47" s="39" t="n">
        <x:v>-0.0382782422</x:v>
      </x:c>
      <x:c r="AK47" s="39" t="n">
        <x:v>-0.0955131604</x:v>
      </x:c>
      <x:c r="AL47" s="39" t="n">
        <x:v>-0.0246253873</x:v>
      </x:c>
      <x:c r="AM47" s="39" t="n">
        <x:v>-0.0583838509</x:v>
      </x:c>
      <x:c r="AN47" s="39" t="n">
        <x:v>0.0099630252</x:v>
      </x:c>
      <x:c r="AO47" s="39" t="n">
        <x:v>0.1059519022</x:v>
      </x:c>
      <x:c r="AP47" s="39" t="n">
        <x:v>0.003354003</x:v>
      </x:c>
      <x:c r="AQ47" s="39" t="n">
        <x:v>0.0014460943</x:v>
      </x:c>
      <x:c r="AR47" s="39" t="n">
        <x:v>0.0051331687</x:v>
      </x:c>
      <x:c r="AS47" s="39" t="n">
        <x:v>-0.0906357863</x:v>
      </x:c>
      <x:c r="AT47" s="39" t="n">
        <x:v>-0.004209079</x:v>
      </x:c>
      <x:c r="AU47" s="39" t="n">
        <x:v>-0.0147708234</x:v>
      </x:c>
      <x:c r="AV47" s="39" t="n">
        <x:v>-0.0156395671</x:v>
      </x:c>
      <x:c r="AW47" s="39" t="n">
        <x:v>0.0060393289</x:v>
      </x:c>
      <x:c r="AX47" s="39" t="n">
        <x:v>-0.0080870436</x:v>
      </x:c>
      <x:c r="AY47" s="39" t="n">
        <x:v>0.034914383</x:v>
      </x:c>
      <x:c r="AZ47" s="39" t="n">
        <x:v>-0.0039983673</x:v>
      </x:c>
      <x:c r="BA47" s="39" t="n">
        <x:v>0.0103270206</x:v>
      </x:c>
      <x:c r="BB47" s="39" t="n">
        <x:v>-0.0070325803</x:v>
      </x:c>
      <x:c r="BC47" s="39" t="n">
        <x:v>-0.0327449349</x:v>
      </x:c>
      <x:c r="BD47" s="39" t="n">
        <x:v>-0.0373132562</x:v>
      </x:c>
      <x:c r="BE47" s="39" t="n">
        <x:v>0.00079379</x:v>
      </x:c>
      <x:c r="BF47" s="39" t="n">
        <x:v>-0.0464734034</x:v>
      </x:c>
      <x:c r="BG47" s="39" t="n">
        <x:v>-0.0464986465</x:v>
      </x:c>
      <x:c r="BH47" s="39" t="n">
        <x:v>0.0092248594</x:v>
      </x:c>
      <x:c r="BI47" s="39" t="n">
        <x:v>0.0162914835</x:v>
      </x:c>
      <x:c r="BJ47" s="39" t="n">
        <x:v>-0.0502079652</x:v>
      </x:c>
    </x:row>
    <x:row r="48" ht="19" customHeight="1">
      <x:c r="A48" s="40" t="d">
        <x:v>2024-07-15T00:00:00.000Z</x:v>
      </x:c>
      <x:c r="B48" s="39" t="n">
        <x:v>-0.172377109</x:v>
      </x:c>
      <x:c r="C48" s="39" t="n">
        <x:v>0.086127646</x:v>
      </x:c>
      <x:c r="D48" s="39" t="n">
        <x:v>0.0396614812</x:v>
      </x:c>
      <x:c r="E48" s="39" t="n">
        <x:v>0.0213239516</x:v>
      </x:c>
      <x:c r="F48" s="39" t="n">
        <x:v>-0.0820958054</x:v>
      </x:c>
      <x:c r="G48" s="39" t="n">
        <x:v>-0.2149442269</x:v>
      </x:c>
      <x:c r="H48" s="39" t="n">
        <x:v>-0.0681515554</x:v>
      </x:c>
      <x:c r="I48" s="39" t="n">
        <x:v>-0.0031582809</x:v>
      </x:c>
      <x:c r="J48" s="39" t="n">
        <x:v>0.0359956828</x:v>
      </x:c>
      <x:c r="K48" s="39" t="n">
        <x:v>-0.0715405996</x:v>
      </x:c>
      <x:c r="L48" s="39" t="n">
        <x:v>-0.0853054495</x:v>
      </x:c>
      <x:c r="M48" s="39" t="n">
        <x:v>-0.0391597581</x:v>
      </x:c>
      <x:c r="N48" s="39" t="n">
        <x:v>0.0358487654</x:v>
      </x:c>
      <x:c r="O48" s="39" t="n">
        <x:v>-0.0303242872</x:v>
      </x:c>
      <x:c r="P48" s="39" t="n">
        <x:v>0.0367381862</x:v>
      </x:c>
      <x:c r="Q48" s="39" t="n">
        <x:v>0.0456453986</x:v>
      </x:c>
      <x:c r="R48" s="39" t="n">
        <x:v>0.0183513124</x:v>
      </x:c>
      <x:c r="S48" s="39" t="n">
        <x:v>-0.0520600572</x:v>
      </x:c>
      <x:c r="T48" s="39" t="n">
        <x:v>-0.115893519</x:v>
      </x:c>
      <x:c r="U48" s="39" t="n">
        <x:v>0.0031559769</x:v>
      </x:c>
      <x:c r="V48" s="39" t="n">
        <x:v>-0.0627432862</x:v>
      </x:c>
      <x:c r="W48" s="39" t="n">
        <x:v>0.0480257402</x:v>
      </x:c>
      <x:c r="X48" s="39" t="n">
        <x:v>-0.1066849749</x:v>
      </x:c>
      <x:c r="Y48" s="39" t="n">
        <x:v>0.093356484</x:v>
      </x:c>
      <x:c r="Z48" s="39" t="n">
        <x:v>0.017879525</x:v>
      </x:c>
      <x:c r="AA48" s="39" t="n">
        <x:v>-0.0968521498</x:v>
      </x:c>
      <x:c r="AB48" s="39" t="n">
        <x:v>0.2452694616</x:v>
      </x:c>
      <x:c r="AC48" s="39" t="n">
        <x:v>-0.0039382249</x:v>
      </x:c>
      <x:c r="AD48" s="39" t="n">
        <x:v>0.1600329064</x:v>
      </x:c>
      <x:c r="AE48" s="39" t="n">
        <x:v>0.0075890686</x:v>
      </x:c>
      <x:c r="AF48" s="39" t="n">
        <x:v>0.0170034185</x:v>
      </x:c>
      <x:c r="AG48" s="39" t="n">
        <x:v>0.0400290093</x:v>
      </x:c>
      <x:c r="AH48" s="39" t="n">
        <x:v>0.0403778286</x:v>
      </x:c>
      <x:c r="AI48" s="39" t="n">
        <x:v>-0.0297521566</x:v>
      </x:c>
      <x:c r="AJ48" s="39" t="n">
        <x:v>-0.0556458865</x:v>
      </x:c>
      <x:c r="AK48" s="39" t="n">
        <x:v>0.0345091294</x:v>
      </x:c>
      <x:c r="AL48" s="39" t="n">
        <x:v>-0.0134761773</x:v>
      </x:c>
      <x:c r="AM48" s="39" t="n">
        <x:v>0.0139113519</x:v>
      </x:c>
      <x:c r="AN48" s="39" t="n">
        <x:v>-0.0348623505</x:v>
      </x:c>
      <x:c r="AO48" s="39" t="n">
        <x:v>-0.0060821787</x:v>
      </x:c>
      <x:c r="AP48" s="39" t="n">
        <x:v>0.0356381728</x:v>
      </x:c>
      <x:c r="AQ48" s="39" t="n">
        <x:v>0.0208596526</x:v>
      </x:c>
      <x:c r="AR48" s="39" t="n">
        <x:v>0.0354364836</x:v>
      </x:c>
      <x:c r="AS48" s="39" t="n">
        <x:v>0.0029870423</x:v>
      </x:c>
      <x:c r="AT48" s="39" t="n">
        <x:v>0.0085538433</x:v>
      </x:c>
      <x:c r="AU48" s="39" t="n">
        <x:v>0.0193962733</x:v>
      </x:c>
      <x:c r="AV48" s="39" t="n">
        <x:v>0.0198003162</x:v>
      </x:c>
      <x:c r="AW48" s="39" t="n">
        <x:v>0.0028805859</x:v>
      </x:c>
      <x:c r="AX48" s="39" t="n">
        <x:v>0.0032569107</x:v>
      </x:c>
      <x:c r="AY48" s="39" t="n">
        <x:v>0.009273645</x:v>
      </x:c>
      <x:c r="AZ48" s="39" t="n">
        <x:v>-0.0014580968</x:v>
      </x:c>
      <x:c r="BA48" s="39" t="n">
        <x:v>0.0306627596</x:v>
      </x:c>
      <x:c r="BB48" s="39" t="n">
        <x:v>0.0097487461</x:v>
      </x:c>
      <x:c r="BC48" s="39" t="n">
        <x:v>0.023949136</x:v>
      </x:c>
      <x:c r="BD48" s="39" t="n">
        <x:v>0.0360995374</x:v>
      </x:c>
      <x:c r="BE48" s="39" t="n">
        <x:v>0.0066918418</x:v>
      </x:c>
      <x:c r="BF48" s="39" t="n">
        <x:v>0.0105387227</x:v>
      </x:c>
      <x:c r="BG48" s="39" t="n">
        <x:v>0.0055391703</x:v>
      </x:c>
      <x:c r="BH48" s="39" t="n">
        <x:v>0.0668557957</x:v>
      </x:c>
      <x:c r="BI48" s="39" t="n">
        <x:v>-0.0488405076</x:v>
      </x:c>
      <x:c r="BJ48" s="39" t="n">
        <x:v>0.0146893986</x:v>
      </x:c>
    </x:row>
    <x:row r="49" ht="19" customHeight="1">
      <x:c r="A49" s="40" t="d">
        <x:v>2024-08-12T00:00:00.000Z</x:v>
      </x:c>
      <x:c r="B49" s="39" t="n">
        <x:v>0.0011661877</x:v>
      </x:c>
      <x:c r="C49" s="39" t="n">
        <x:v>0.0684709778</x:v>
      </x:c>
      <x:c r="D49" s="39" t="n">
        <x:v>-0.0154546107</x:v>
      </x:c>
      <x:c r="E49" s="39" t="n">
        <x:v>0.0106261851</x:v>
      </x:c>
      <x:c r="F49" s="39" t="n">
        <x:v>-0.0681866254</x:v>
      </x:c>
      <x:c r="G49" s="39" t="n">
        <x:v>-0.0143686394</x:v>
      </x:c>
      <x:c r="H49" s="39" t="n">
        <x:v>-0.0103100986</x:v>
      </x:c>
      <x:c r="I49" s="39" t="n">
        <x:v>0.0932562826</x:v>
      </x:c>
      <x:c r="J49" s="39" t="n">
        <x:v>-0.0937030778</x:v>
      </x:c>
      <x:c r="K49" s="39" t="n">
        <x:v>0.0396886576</x:v>
      </x:c>
      <x:c r="L49" s="39" t="n">
        <x:v>0.1863997903</x:v>
      </x:c>
      <x:c r="M49" s="39" t="n">
        <x:v>-0.0751859896</x:v>
      </x:c>
      <x:c r="N49" s="39" t="n">
        <x:v>0.0203135509</x:v>
      </x:c>
      <x:c r="O49" s="39" t="n">
        <x:v>-0.1164918257</x:v>
      </x:c>
      <x:c r="P49" s="39" t="n">
        <x:v>-0.001377415</x:v>
      </x:c>
      <x:c r="Q49" s="39" t="n">
        <x:v>0.1968664908</x:v>
      </x:c>
      <x:c r="R49" s="39" t="n">
        <x:v>0.0343756575</x:v>
      </x:c>
      <x:c r="S49" s="39" t="n">
        <x:v>0.1234623959</x:v>
      </x:c>
      <x:c r="T49" s="39" t="n">
        <x:v>-0.3882307879</x:v>
      </x:c>
      <x:c r="U49" s="39" t="n">
        <x:v>0.2208890018</x:v>
      </x:c>
      <x:c r="V49" s="39" t="n">
        <x:v>0.0328563493</x:v>
      </x:c>
      <x:c r="W49" s="39" t="n">
        <x:v>-0.0121201339</x:v>
      </x:c>
      <x:c r="X49" s="39" t="n">
        <x:v>-0.118944009</x:v>
      </x:c>
      <x:c r="Y49" s="39" t="n">
        <x:v>0.0712967334</x:v>
      </x:c>
      <x:c r="Z49" s="39" t="n">
        <x:v>0.0478845902</x:v>
      </x:c>
      <x:c r="AA49" s="39" t="n">
        <x:v>-0.1186287631</x:v>
      </x:c>
      <x:c r="AB49" s="39" t="n">
        <x:v>0.3644314381</x:v>
      </x:c>
      <x:c r="AC49" s="39" t="n">
        <x:v>-0.0352975486</x:v>
      </x:c>
      <x:c r="AD49" s="39" t="n">
        <x:v>-0.2974770461</x:v>
      </x:c>
      <x:c r="AE49" s="39" t="n">
        <x:v>-0.0930901465</x:v>
      </x:c>
      <x:c r="AF49" s="39" t="n">
        <x:v>-0.0095334701</x:v>
      </x:c>
      <x:c r="AG49" s="39" t="n">
        <x:v>0.0198107518</x:v>
      </x:c>
      <x:c r="AH49" s="39" t="n">
        <x:v>-0.0105630931</x:v>
      </x:c>
      <x:c r="AI49" s="39" t="n">
        <x:v>0.0273728753</x:v>
      </x:c>
      <x:c r="AJ49" s="39" t="n">
        <x:v>0.0382081987</x:v>
      </x:c>
      <x:c r="AK49" s="39" t="n">
        <x:v>0.1406420456</x:v>
      </x:c>
      <x:c r="AL49" s="39" t="n">
        <x:v>-0.0477021937</x:v>
      </x:c>
      <x:c r="AM49" s="39" t="n">
        <x:v>-0.1011966521</x:v>
      </x:c>
      <x:c r="AN49" s="39" t="n">
        <x:v>0.0389795211</x:v>
      </x:c>
      <x:c r="AO49" s="39" t="n">
        <x:v>0.0145357836</x:v>
      </x:c>
      <x:c r="AP49" s="39" t="n">
        <x:v>0.020204115</x:v>
      </x:c>
      <x:c r="AQ49" s="39" t="n">
        <x:v>-0.0166728592</x:v>
      </x:c>
      <x:c r="AR49" s="39" t="n">
        <x:v>-0.0003344289</x:v>
      </x:c>
      <x:c r="AS49" s="39" t="n">
        <x:v>-0.0362008253</x:v>
      </x:c>
      <x:c r="AT49" s="39" t="n">
        <x:v>0.0232853781</x:v>
      </x:c>
      <x:c r="AU49" s="39" t="n">
        <x:v>0.0152200644</x:v>
      </x:c>
      <x:c r="AV49" s="39" t="n">
        <x:v>0.0148518865</x:v>
      </x:c>
      <x:c r="AW49" s="39" t="n">
        <x:v>-0.0025776073</x:v>
      </x:c>
      <x:c r="AX49" s="39" t="n">
        <x:v>-0.0050371799</x:v>
      </x:c>
      <x:c r="AY49" s="39" t="n">
        <x:v>0.0110696428</x:v>
      </x:c>
      <x:c r="AZ49" s="39" t="n">
        <x:v>0.0070331208</x:v>
      </x:c>
      <x:c r="BA49" s="39" t="n">
        <x:v>-0.0346275718</x:v>
      </x:c>
      <x:c r="BB49" s="39" t="n">
        <x:v>0.0294370539</x:v>
      </x:c>
      <x:c r="BC49" s="39" t="n">
        <x:v>-0.0411834516</x:v>
      </x:c>
      <x:c r="BD49" s="39" t="n">
        <x:v>0.0136961621</x:v>
      </x:c>
      <x:c r="BE49" s="39" t="n">
        <x:v>0.0314788032</x:v>
      </x:c>
      <x:c r="BF49" s="39" t="n">
        <x:v>0.0068828795</x:v>
      </x:c>
      <x:c r="BG49" s="39" t="n">
        <x:v>-0.0012818082</x:v>
      </x:c>
      <x:c r="BH49" s="39" t="n">
        <x:v>0.0333698377</x:v>
      </x:c>
      <x:c r="BI49" s="39" t="n">
        <x:v>-0.0127019872</x:v>
      </x:c>
      <x:c r="BJ49" s="39" t="n">
        <x:v>0.0613290747</x:v>
      </x:c>
    </x:row>
    <x:row r="50" ht="19" customHeight="1">
      <x:c r="A50" s="40" t="d">
        <x:v>2024-09-09T00:00:00.000Z</x:v>
      </x:c>
      <x:c r="B50" s="39" t="n">
        <x:v>0.0314031761</x:v>
      </x:c>
      <x:c r="C50" s="39" t="n">
        <x:v>-0.0026591648</x:v>
      </x:c>
      <x:c r="D50" s="39" t="n">
        <x:v>0.0041098421</x:v>
      </x:c>
      <x:c r="E50" s="39" t="n">
        <x:v>0.0240194888</x:v>
      </x:c>
      <x:c r="F50" s="39" t="n">
        <x:v>0.016284134</x:v>
      </x:c>
      <x:c r="G50" s="39" t="n">
        <x:v>0.0187627392</x:v>
      </x:c>
      <x:c r="H50" s="39" t="n">
        <x:v>0.0088476773</x:v>
      </x:c>
      <x:c r="I50" s="39" t="n">
        <x:v>0.073180484</x:v>
      </x:c>
      <x:c r="J50" s="39" t="n">
        <x:v>-0.0114855406</x:v>
      </x:c>
      <x:c r="K50" s="39" t="n">
        <x:v>-0.0592392017</x:v>
      </x:c>
      <x:c r="L50" s="39" t="n">
        <x:v>-0.0212933151</x:v>
      </x:c>
      <x:c r="M50" s="39" t="n">
        <x:v>-0.0276239215</x:v>
      </x:c>
      <x:c r="N50" s="39" t="n">
        <x:v>-0.029518979</x:v>
      </x:c>
      <x:c r="O50" s="39" t="n">
        <x:v>-0.0010389677</x:v>
      </x:c>
      <x:c r="P50" s="39" t="n">
        <x:v>-0.1975698891</x:v>
      </x:c>
      <x:c r="Q50" s="39" t="n">
        <x:v>0.1858876292</x:v>
      </x:c>
      <x:c r="R50" s="39" t="n">
        <x:v>0.0394434683</x:v>
      </x:c>
      <x:c r="S50" s="39" t="n">
        <x:v>-0.0799386014</x:v>
      </x:c>
      <x:c r="T50" s="39" t="n">
        <x:v>-0.3005378621</x:v>
      </x:c>
      <x:c r="U50" s="39" t="n">
        <x:v>-0.0726344978</x:v>
      </x:c>
      <x:c r="V50" s="39" t="n">
        <x:v>0.0245734233</x:v>
      </x:c>
      <x:c r="W50" s="39" t="n">
        <x:v>0.0049556335</x:v>
      </x:c>
      <x:c r="X50" s="39" t="n">
        <x:v>-0.1279724779</x:v>
      </x:c>
      <x:c r="Y50" s="39" t="n">
        <x:v>0.0416068727</x:v>
      </x:c>
      <x:c r="Z50" s="39" t="n">
        <x:v>0.0545833591</x:v>
      </x:c>
      <x:c r="AA50" s="39" t="n">
        <x:v>0.2841833179</x:v>
      </x:c>
      <x:c r="AB50" s="39" t="n">
        <x:v>0.0560267581</x:v>
      </x:c>
      <x:c r="AC50" s="39" t="n">
        <x:v>-0.0194074512</x:v>
      </x:c>
      <x:c r="AD50" s="39" t="n">
        <x:v>-0.0281115608</x:v>
      </x:c>
      <x:c r="AE50" s="39" t="n">
        <x:v>-0.0332698841</x:v>
      </x:c>
      <x:c r="AF50" s="39" t="n">
        <x:v>-0.208685887</x:v>
      </x:c>
      <x:c r="AG50" s="39" t="n">
        <x:v>-0.065742883</x:v>
      </x:c>
      <x:c r="AH50" s="39" t="n">
        <x:v>0.0587015632</x:v>
      </x:c>
      <x:c r="AI50" s="39" t="n">
        <x:v>-0.0247635546</x:v>
      </x:c>
      <x:c r="AJ50" s="39" t="n">
        <x:v>0.0173723672</x:v>
      </x:c>
      <x:c r="AK50" s="39" t="n">
        <x:v>0.0968584226</x:v>
      </x:c>
      <x:c r="AL50" s="39" t="n">
        <x:v>0.0378792141</x:v>
      </x:c>
      <x:c r="AM50" s="39" t="n">
        <x:v>-0.0022414127</x:v>
      </x:c>
      <x:c r="AN50" s="39" t="n">
        <x:v>-0.0049337067</x:v>
      </x:c>
      <x:c r="AO50" s="39" t="n">
        <x:v>0.0119951724</x:v>
      </x:c>
      <x:c r="AP50" s="39" t="n">
        <x:v>0.0122783682</x:v>
      </x:c>
      <x:c r="AQ50" s="39" t="n">
        <x:v>0.0091307295</x:v>
      </x:c>
      <x:c r="AR50" s="39" t="n">
        <x:v>-0.0146505514</x:v>
      </x:c>
      <x:c r="AS50" s="39" t="n">
        <x:v>-0.0353922506</x:v>
      </x:c>
      <x:c r="AT50" s="39" t="n">
        <x:v>0.0173589663</x:v>
      </x:c>
      <x:c r="AU50" s="39" t="n">
        <x:v>0.0048281604</x:v>
      </x:c>
      <x:c r="AV50" s="39" t="n">
        <x:v>0.0052795101</x:v>
      </x:c>
      <x:c r="AW50" s="39" t="n">
        <x:v>0.0060905696</x:v>
      </x:c>
      <x:c r="AX50" s="39" t="n">
        <x:v>0.0157329827</x:v>
      </x:c>
      <x:c r="AY50" s="39" t="n">
        <x:v>0.0160601224</x:v>
      </x:c>
      <x:c r="AZ50" s="39" t="n">
        <x:v>-0.0047904694</x:v>
      </x:c>
      <x:c r="BA50" s="39" t="n">
        <x:v>0.0464318783</x:v>
      </x:c>
      <x:c r="BB50" s="39" t="n">
        <x:v>0.0408145364</x:v>
      </x:c>
      <x:c r="BC50" s="39" t="n">
        <x:v>-0.0809273077</x:v>
      </x:c>
      <x:c r="BD50" s="39" t="n">
        <x:v>0.0048341426</x:v>
      </x:c>
      <x:c r="BE50" s="39" t="n">
        <x:v>0.0158294464</x:v>
      </x:c>
      <x:c r="BF50" s="39" t="n">
        <x:v>0.0159397465</x:v>
      </x:c>
      <x:c r="BG50" s="39" t="n">
        <x:v>0.0160080565</x:v>
      </x:c>
      <x:c r="BH50" s="39" t="n">
        <x:v>0.081226692</x:v>
      </x:c>
      <x:c r="BI50" s="39" t="n">
        <x:v>-0.0277924677</x:v>
      </x:c>
      <x:c r="BJ50" s="39" t="n">
        <x:v>0.0532641429</x:v>
      </x:c>
    </x:row>
    <x:row r="51" ht="19" customHeight="1">
      <x:c r="A51" s="40" t="d">
        <x:v>2024-10-07T00:00:00.000Z</x:v>
      </x:c>
      <x:c r="B51" s="39" t="n">
        <x:v>0.3637800469</x:v>
      </x:c>
      <x:c r="C51" s="39" t="n">
        <x:v>-0.0965476449</x:v>
      </x:c>
      <x:c r="D51" s="39" t="n">
        <x:v>-0.0632079185</x:v>
      </x:c>
      <x:c r="E51" s="39" t="n">
        <x:v>0.008114467</x:v>
      </x:c>
      <x:c r="F51" s="39" t="n">
        <x:v>-0.0267116764</x:v>
      </x:c>
      <x:c r="G51" s="39" t="n">
        <x:v>0.0626549181</x:v>
      </x:c>
      <x:c r="H51" s="39" t="n">
        <x:v>-0.0138601443</x:v>
      </x:c>
      <x:c r="I51" s="39" t="n">
        <x:v>0.0382534014</x:v>
      </x:c>
      <x:c r="J51" s="39" t="n">
        <x:v>-0.0232358722</x:v>
      </x:c>
      <x:c r="K51" s="39" t="n">
        <x:v>-0.0689804959</x:v>
      </x:c>
      <x:c r="L51" s="39" t="n">
        <x:v>0.0466187035</x:v>
      </x:c>
      <x:c r="M51" s="39" t="n">
        <x:v>0.0385596872</x:v>
      </x:c>
      <x:c r="N51" s="39" t="n">
        <x:v>-0.0283884359</x:v>
      </x:c>
      <x:c r="O51" s="39" t="n">
        <x:v>-0.1653618337</x:v>
      </x:c>
      <x:c r="P51" s="39" t="n">
        <x:v>0.0950659371</x:v>
      </x:c>
      <x:c r="Q51" s="39" t="n">
        <x:v>-0.0354030047</x:v>
      </x:c>
      <x:c r="R51" s="39" t="n">
        <x:v>0.0215404256</x:v>
      </x:c>
      <x:c r="S51" s="39" t="n">
        <x:v>0.0746531705</x:v>
      </x:c>
      <x:c r="T51" s="39" t="n">
        <x:v>-0.1858522364</x:v>
      </x:c>
      <x:c r="U51" s="39" t="n">
        <x:v>0.0716812251</x:v>
      </x:c>
      <x:c r="V51" s="39" t="n">
        <x:v>-0.0096202707</x:v>
      </x:c>
      <x:c r="W51" s="39" t="n">
        <x:v>0.0245557977</x:v>
      </x:c>
      <x:c r="X51" s="39" t="n">
        <x:v>0.0681574399</x:v>
      </x:c>
      <x:c r="Y51" s="39" t="n">
        <x:v>-0.034040697</x:v>
      </x:c>
      <x:c r="Z51" s="39" t="n">
        <x:v>-0.01188296</x:v>
      </x:c>
      <x:c r="AA51" s="39" t="n">
        <x:v>0.0211149966</x:v>
      </x:c>
      <x:c r="AB51" s="39" t="n">
        <x:v>0.0899612483</x:v>
      </x:c>
      <x:c r="AC51" s="39" t="n">
        <x:v>0.0204233777</x:v>
      </x:c>
      <x:c r="AD51" s="39" t="n">
        <x:v>-0.0417771343</x:v>
      </x:c>
      <x:c r="AE51" s="39" t="n">
        <x:v>0.087145313</x:v>
      </x:c>
      <x:c r="AF51" s="39" t="n">
        <x:v>-0.0651360459</x:v>
      </x:c>
      <x:c r="AG51" s="39" t="n">
        <x:v>-0.0520063464</x:v>
      </x:c>
      <x:c r="AH51" s="39" t="n">
        <x:v>0.0134668923</x:v>
      </x:c>
      <x:c r="AI51" s="39" t="n">
        <x:v>0.020613279</x:v>
      </x:c>
      <x:c r="AJ51" s="39" t="n">
        <x:v>-0.0177734562</x:v>
      </x:c>
      <x:c r="AK51" s="39" t="n">
        <x:v>-0.029122864</x:v>
      </x:c>
      <x:c r="AL51" s="39" t="n">
        <x:v>-0.0665413061</x:v>
      </x:c>
      <x:c r="AM51" s="39" t="n">
        <x:v>-0.0526070429</x:v>
      </x:c>
      <x:c r="AN51" s="39" t="n">
        <x:v>-0.0274188364</x:v>
      </x:c>
      <x:c r="AO51" s="39" t="n">
        <x:v>0.0511906519</x:v>
      </x:c>
      <x:c r="AP51" s="39" t="n">
        <x:v>-0.0088680692</x:v>
      </x:c>
      <x:c r="AQ51" s="39" t="n">
        <x:v>0.0029138098</x:v>
      </x:c>
      <x:c r="AR51" s="39" t="n">
        <x:v>0.0130027913</x:v>
      </x:c>
      <x:c r="AS51" s="39" t="n">
        <x:v>-0.0037325178</x:v>
      </x:c>
      <x:c r="AT51" s="39" t="n">
        <x:v>-0.0060787321</x:v>
      </x:c>
      <x:c r="AU51" s="39" t="n">
        <x:v>-0.0146472016</x:v>
      </x:c>
      <x:c r="AV51" s="39" t="n">
        <x:v>-0.0145700271</x:v>
      </x:c>
      <x:c r="AW51" s="39" t="n">
        <x:v>0.0080706178</x:v>
      </x:c>
      <x:c r="AX51" s="39" t="n">
        <x:v>-0.0052948662</x:v>
      </x:c>
      <x:c r="AY51" s="39" t="n">
        <x:v>0.0399617594</x:v>
      </x:c>
      <x:c r="AZ51" s="39" t="n">
        <x:v>0.0158697385</x:v>
      </x:c>
      <x:c r="BA51" s="39" t="n">
        <x:v>-0.0123603385</x:v>
      </x:c>
      <x:c r="BB51" s="39" t="n">
        <x:v>-0.0437012276</x:v>
      </x:c>
      <x:c r="BC51" s="39" t="n">
        <x:v>0.0935083393</x:v>
      </x:c>
      <x:c r="BD51" s="39" t="n">
        <x:v>0.0223492854</x:v>
      </x:c>
      <x:c r="BE51" s="39" t="n">
        <x:v>-0.0327083969</x:v>
      </x:c>
      <x:c r="BF51" s="39" t="n">
        <x:v>0.0353281397</x:v>
      </x:c>
      <x:c r="BG51" s="39" t="n">
        <x:v>0.0161976319</x:v>
      </x:c>
      <x:c r="BH51" s="39" t="n">
        <x:v>-0.0674009668</x:v>
      </x:c>
      <x:c r="BI51" s="39" t="n">
        <x:v>-0.0012114734</x:v>
      </x:c>
      <x:c r="BJ51" s="39" t="n">
        <x:v>-0.00022386</x:v>
      </x:c>
    </x:row>
    <x:row r="52" ht="19" customHeight="1">
      <x:c r="A52" s="40" t="d">
        <x:v>2024-11-04T00:00:00.000Z</x:v>
      </x:c>
      <x:c r="B52" s="39" t="n">
        <x:v>0.0609498484</x:v>
      </x:c>
      <x:c r="C52" s="39" t="n">
        <x:v>-0.1106504716</x:v>
      </x:c>
      <x:c r="D52" s="39" t="n">
        <x:v>0.0246027973</x:v>
      </x:c>
      <x:c r="E52" s="39" t="n">
        <x:v>0.1513617427</x:v>
      </x:c>
      <x:c r="F52" s="39" t="n">
        <x:v>0.0003942124</x:v>
      </x:c>
      <x:c r="G52" s="39" t="n">
        <x:v>-0.0190847825</x:v>
      </x:c>
      <x:c r="H52" s="39" t="n">
        <x:v>-0.0418761166</x:v>
      </x:c>
      <x:c r="I52" s="39" t="n">
        <x:v>0.111672922</x:v>
      </x:c>
      <x:c r="J52" s="39" t="n">
        <x:v>-0.0276429406</x:v>
      </x:c>
      <x:c r="K52" s="39" t="n">
        <x:v>-0.0748371953</x:v>
      </x:c>
      <x:c r="L52" s="39" t="n">
        <x:v>-0.0884540506</x:v>
      </x:c>
      <x:c r="M52" s="39" t="n">
        <x:v>0.0652015686</x:v>
      </x:c>
      <x:c r="N52" s="39" t="n">
        <x:v>0.0737702199</x:v>
      </x:c>
      <x:c r="O52" s="39" t="n">
        <x:v>0.1207546523</x:v>
      </x:c>
      <x:c r="P52" s="39" t="n">
        <x:v>-0.0272980559</x:v>
      </x:c>
      <x:c r="Q52" s="39" t="n">
        <x:v>-0.1678864334</x:v>
      </x:c>
      <x:c r="R52" s="39" t="n">
        <x:v>0.0563787902</x:v>
      </x:c>
      <x:c r="S52" s="39" t="n">
        <x:v>-0.2200908345</x:v>
      </x:c>
      <x:c r="T52" s="39" t="n">
        <x:v>-0.1492450704</x:v>
      </x:c>
      <x:c r="U52" s="39" t="n">
        <x:v>0.2869857516</x:v>
      </x:c>
      <x:c r="V52" s="39" t="n">
        <x:v>0.0634985896</x:v>
      </x:c>
      <x:c r="W52" s="39" t="n">
        <x:v>0.0880851282</x:v>
      </x:c>
      <x:c r="X52" s="39" t="n">
        <x:v>0.1843175694</x:v>
      </x:c>
      <x:c r="Y52" s="39" t="n">
        <x:v>-0.1071705938</x:v>
      </x:c>
      <x:c r="Z52" s="39" t="n">
        <x:v>0.0135016452</x:v>
      </x:c>
      <x:c r="AA52" s="39" t="n">
        <x:v>0.0310347032</x:v>
      </x:c>
      <x:c r="AB52" s="39" t="n">
        <x:v>0.4463096001</x:v>
      </x:c>
      <x:c r="AC52" s="39" t="n">
        <x:v>0.0267271302</x:v>
      </x:c>
      <x:c r="AD52" s="39" t="n">
        <x:v>0.039556987</x:v>
      </x:c>
      <x:c r="AE52" s="39" t="n">
        <x:v>0.0351503127</x:v>
      </x:c>
      <x:c r="AF52" s="39" t="n">
        <x:v>0.0493721663</x:v>
      </x:c>
      <x:c r="AG52" s="39" t="n">
        <x:v>-0.2387784781</x:v>
      </x:c>
      <x:c r="AH52" s="39" t="n">
        <x:v>-0.120806894</x:v>
      </x:c>
      <x:c r="AI52" s="39" t="n">
        <x:v>-0.0888613318</x:v>
      </x:c>
      <x:c r="AJ52" s="39" t="n">
        <x:v>0.1073762575</x:v>
      </x:c>
      <x:c r="AK52" s="39" t="n">
        <x:v>0.0606304053</x:v>
      </x:c>
      <x:c r="AL52" s="39" t="n">
        <x:v>-0.0211072847</x:v>
      </x:c>
      <x:c r="AM52" s="39" t="n">
        <x:v>0.0101312127</x:v>
      </x:c>
      <x:c r="AN52" s="39" t="n">
        <x:v>0.0697337026</x:v>
      </x:c>
      <x:c r="AO52" s="39" t="n">
        <x:v>-0.0554222367</x:v>
      </x:c>
      <x:c r="AP52" s="39" t="n">
        <x:v>-0.0294792706</x:v>
      </x:c>
      <x:c r="AQ52" s="39" t="n">
        <x:v>0.0204671652</x:v>
      </x:c>
      <x:c r="AR52" s="39" t="n">
        <x:v>0.0109603439</x:v>
      </x:c>
      <x:c r="AS52" s="39" t="n">
        <x:v>-0.0545716868</x:v>
      </x:c>
      <x:c r="AT52" s="39" t="n">
        <x:v>-0.0185778955</x:v>
      </x:c>
      <x:c r="AU52" s="39" t="n">
        <x:v>-0.0235361985</x:v>
      </x:c>
      <x:c r="AV52" s="39" t="n">
        <x:v>-0.0250434782</x:v>
      </x:c>
      <x:c r="AW52" s="39" t="n">
        <x:v>-0.0305585215</x:v>
      </x:c>
      <x:c r="AX52" s="39" t="n">
        <x:v>-0.0245509976</x:v>
      </x:c>
      <x:c r="AY52" s="39" t="n">
        <x:v>0.0378448543</x:v>
      </x:c>
      <x:c r="AZ52" s="39" t="n">
        <x:v>0.0406486495</x:v>
      </x:c>
      <x:c r="BA52" s="39" t="n">
        <x:v>0.070733996</x:v>
      </x:c>
      <x:c r="BB52" s="39" t="n">
        <x:v>-0.0285274501</x:v>
      </x:c>
      <x:c r="BC52" s="39" t="n">
        <x:v>-0.0001562346</x:v>
      </x:c>
      <x:c r="BD52" s="39" t="n">
        <x:v>0.0349593101</x:v>
      </x:c>
      <x:c r="BE52" s="39" t="n">
        <x:v>-0.0480753558</x:v>
      </x:c>
      <x:c r="BF52" s="39" t="n">
        <x:v>-0.0042511726</x:v>
      </x:c>
      <x:c r="BG52" s="39" t="n">
        <x:v>-0.0453862208</x:v>
      </x:c>
      <x:c r="BH52" s="39" t="n">
        <x:v>-0.0133054615</x:v>
      </x:c>
      <x:c r="BI52" s="39" t="n">
        <x:v>-0.0220179595</x:v>
      </x:c>
      <x:c r="BJ52" s="39" t="n">
        <x:v>-0.0190242979</x:v>
      </x:c>
    </x:row>
    <x:row r="53" ht="19" customHeight="1">
      <x:c r="A53" s="40" t="d">
        <x:v>2024-12-02T00:00:00.000Z</x:v>
      </x:c>
      <x:c r="B53" s="39" t="n">
        <x:v>0.0537082317</x:v>
      </x:c>
      <x:c r="C53" s="39" t="n">
        <x:v>0.1443578929</x:v>
      </x:c>
      <x:c r="D53" s="39" t="n">
        <x:v>0.0115912773</x:v>
      </x:c>
      <x:c r="E53" s="39" t="n">
        <x:v>0.0158924618</x:v>
      </x:c>
      <x:c r="F53" s="39" t="n">
        <x:v>0.1694459367</x:v>
      </x:c>
      <x:c r="G53" s="39" t="n">
        <x:v>0.1020844725</x:v>
      </x:c>
      <x:c r="H53" s="39" t="n">
        <x:v>-0.0348709096</x:v>
      </x:c>
      <x:c r="I53" s="39" t="n">
        <x:v>0.1036937404</x:v>
      </x:c>
      <x:c r="J53" s="39" t="n">
        <x:v>-0.0314281881</x:v>
      </x:c>
      <x:c r="K53" s="39" t="n">
        <x:v>-0.0039376125</x:v>
      </x:c>
      <x:c r="L53" s="39" t="n">
        <x:v>0.0667173792</x:v>
      </x:c>
      <x:c r="M53" s="39" t="n">
        <x:v>0.0648136593</x:v>
      </x:c>
      <x:c r="N53" s="39" t="n">
        <x:v>0.1017331567</x:v>
      </x:c>
      <x:c r="O53" s="39" t="n">
        <x:v>0.1157913178</x:v>
      </x:c>
      <x:c r="P53" s="39" t="n">
        <x:v>0.1019512264</x:v>
      </x:c>
      <x:c r="Q53" s="39" t="n">
        <x:v>0.0800650062</x:v>
      </x:c>
      <x:c r="R53" s="39" t="n">
        <x:v>0.0931031037</x:v>
      </x:c>
      <x:c r="S53" s="39" t="n">
        <x:v>0.1394027934</x:v>
      </x:c>
      <x:c r="T53" s="39" t="n">
        <x:v>0.0691204665</x:v>
      </x:c>
      <x:c r="U53" s="39" t="n">
        <x:v>0.1053147174</x:v>
      </x:c>
      <x:c r="V53" s="39" t="n">
        <x:v>0.1439583739</x:v>
      </x:c>
      <x:c r="W53" s="39" t="n">
        <x:v>-0.0032072864</x:v>
      </x:c>
      <x:c r="X53" s="39" t="n">
        <x:v>0.0258167223</x:v>
      </x:c>
      <x:c r="Y53" s="39" t="n">
        <x:v>0.0290535948</x:v>
      </x:c>
      <x:c r="Z53" s="39" t="n">
        <x:v>-0.0608733516</x:v>
      </x:c>
      <x:c r="AA53" s="39" t="n">
        <x:v>-0.2775449598</x:v>
      </x:c>
      <x:c r="AB53" s="39" t="n">
        <x:v>-0.192835123</x:v>
      </x:c>
      <x:c r="AC53" s="39" t="n">
        <x:v>0.046933162</x:v>
      </x:c>
      <x:c r="AD53" s="39" t="n">
        <x:v>-0.0345763639</x:v>
      </x:c>
      <x:c r="AE53" s="39" t="n">
        <x:v>0.1059966334</x:v>
      </x:c>
      <x:c r="AF53" s="39" t="n">
        <x:v>0.0787321621</x:v>
      </x:c>
      <x:c r="AG53" s="39" t="n">
        <x:v>-0.0013563971</x:v>
      </x:c>
      <x:c r="AH53" s="39" t="n">
        <x:v>-0.0377271377</x:v>
      </x:c>
      <x:c r="AI53" s="39" t="n">
        <x:v>0.0557058087</x:v>
      </x:c>
      <x:c r="AJ53" s="39" t="n">
        <x:v>-0.0450113853</x:v>
      </x:c>
      <x:c r="AK53" s="39" t="n">
        <x:v>-0.0694697871</x:v>
      </x:c>
      <x:c r="AL53" s="39" t="n">
        <x:v>0.025897744</x:v>
      </x:c>
      <x:c r="AM53" s="39" t="n">
        <x:v>-0.098251766</x:v>
      </x:c>
      <x:c r="AN53" s="39" t="n">
        <x:v>0.0321319431</x:v>
      </x:c>
      <x:c r="AO53" s="39" t="n">
        <x:v>0.0715416422</x:v>
      </x:c>
      <x:c r="AP53" s="39" t="n">
        <x:v>0.0263591591</x:v>
      </x:c>
      <x:c r="AQ53" s="39" t="n">
        <x:v>0.0254977851</x:v>
      </x:c>
      <x:c r="AR53" s="39" t="n">
        <x:v>0.0427724453</x:v>
      </x:c>
      <x:c r="AS53" s="39" t="n">
        <x:v>-0.0009995481</x:v>
      </x:c>
      <x:c r="AT53" s="39" t="n">
        <x:v>-0.0153908194</x:v>
      </x:c>
      <x:c r="AU53" s="39" t="n">
        <x:v>-0.0175051182</x:v>
      </x:c>
      <x:c r="AV53" s="39" t="n">
        <x:v>-0.0166851119</x:v>
      </x:c>
      <x:c r="AW53" s="39" t="n">
        <x:v>-0.0355388153</x:v>
      </x:c>
      <x:c r="AX53" s="39" t="n">
        <x:v>-0.012729198</x:v>
      </x:c>
      <x:c r="AY53" s="39" t="n">
        <x:v>0.0193746931</x:v>
      </x:c>
      <x:c r="AZ53" s="39" t="n">
        <x:v>0.0424793944</x:v>
      </x:c>
      <x:c r="BA53" s="39" t="n">
        <x:v>0.0804806491</x:v>
      </x:c>
      <x:c r="BB53" s="39" t="n">
        <x:v>0.0142594155</x:v>
      </x:c>
      <x:c r="BC53" s="39" t="n">
        <x:v>-0.0516333509</x:v>
      </x:c>
      <x:c r="BD53" s="39" t="n">
        <x:v>0.0121749623</x:v>
      </x:c>
      <x:c r="BE53" s="39" t="n">
        <x:v>-0.0591374355</x:v>
      </x:c>
      <x:c r="BF53" s="39" t="n">
        <x:v>-0.032643518</x:v>
      </x:c>
      <x:c r="BG53" s="39" t="n">
        <x:v>-0.0468159561</x:v>
      </x:c>
      <x:c r="BH53" s="39" t="n">
        <x:v>-0.0150254491</x:v>
      </x:c>
      <x:c r="BI53" s="39" t="n">
        <x:v>-0.0088698977</x:v>
      </x:c>
      <x:c r="BJ53" s="39" t="n">
        <x:v>-0.0026951223</x:v>
      </x:c>
    </x:row>
    <x:row r="54" ht="19" customHeight="1">
      <x:c r="A54" s="40" t="d">
        <x:v>2024-12-30T00:00:00.000Z</x:v>
      </x:c>
      <x:c r="B54" s="39" t="n">
        <x:v>0.0247340661</x:v>
      </x:c>
      <x:c r="C54" s="39" t="n">
        <x:v>-0.0320690677</x:v>
      </x:c>
      <x:c r="D54" s="39" t="n">
        <x:v>-0.0058762133</x:v>
      </x:c>
      <x:c r="E54" s="39" t="n">
        <x:v>0.0349713174</x:v>
      </x:c>
      <x:c r="F54" s="39" t="n">
        <x:v>0.0202182945</x:v>
      </x:c>
      <x:c r="G54" s="39" t="n">
        <x:v>-0.0736547515</x:v>
      </x:c>
      <x:c r="H54" s="39" t="n">
        <x:v>-0.0354385647</x:v>
      </x:c>
      <x:c r="I54" s="39" t="n">
        <x:v>-0.1067840165</x:v>
      </x:c>
      <x:c r="J54" s="39" t="n">
        <x:v>0.0044590662</x:v>
      </x:c>
      <x:c r="K54" s="39" t="n">
        <x:v>-0.0256321169</x:v>
      </x:c>
      <x:c r="L54" s="39" t="n">
        <x:v>0.0573565207</x:v>
      </x:c>
      <x:c r="M54" s="39" t="n">
        <x:v>0.0971046319</x:v>
      </x:c>
      <x:c r="N54" s="39" t="n">
        <x:v>-0.0326496563</x:v>
      </x:c>
      <x:c r="O54" s="39" t="n">
        <x:v>-0.0163763635</x:v>
      </x:c>
      <x:c r="P54" s="39" t="n">
        <x:v>0.1020135914</x:v>
      </x:c>
      <x:c r="Q54" s="39" t="n">
        <x:v>-0.097543514</x:v>
      </x:c>
      <x:c r="R54" s="39" t="n">
        <x:v>0.0424345887</x:v>
      </x:c>
      <x:c r="S54" s="39" t="n">
        <x:v>0.0232263774</x:v>
      </x:c>
      <x:c r="T54" s="39" t="n">
        <x:v>0.0484892726</x:v>
      </x:c>
      <x:c r="U54" s="39" t="n">
        <x:v>-0.0918212391</x:v>
      </x:c>
      <x:c r="V54" s="39" t="n">
        <x:v>-0.0297727305</x:v>
      </x:c>
      <x:c r="W54" s="39" t="n">
        <x:v>-0.0692210163</x:v>
      </x:c>
      <x:c r="X54" s="39" t="n">
        <x:v>-0.0949526803</x:v>
      </x:c>
      <x:c r="Y54" s="39" t="n">
        <x:v>0.0518823172</x:v>
      </x:c>
      <x:c r="Z54" s="39" t="n">
        <x:v>-0.0286474973</x:v>
      </x:c>
      <x:c r="AA54" s="39" t="n">
        <x:v>-0.0761357669</x:v>
      </x:c>
      <x:c r="AB54" s="39" t="n">
        <x:v>-0.1293419265</x:v>
      </x:c>
      <x:c r="AC54" s="39" t="n">
        <x:v>0.0059252664</x:v>
      </x:c>
      <x:c r="AD54" s="39" t="n">
        <x:v>0.015131857</x:v>
      </x:c>
      <x:c r="AE54" s="39" t="n">
        <x:v>-0.1022769456</x:v>
      </x:c>
      <x:c r="AF54" s="39" t="n">
        <x:v>0.210482015</x:v>
      </x:c>
      <x:c r="AG54" s="39" t="n">
        <x:v>0.0705600641</x:v>
      </x:c>
      <x:c r="AH54" s="39" t="n">
        <x:v>-0.0578147809</x:v>
      </x:c>
      <x:c r="AI54" s="39" t="n">
        <x:v>-0.0489279602</x:v>
      </x:c>
      <x:c r="AJ54" s="39" t="n">
        <x:v>-0.0034822167</x:v>
      </x:c>
      <x:c r="AK54" s="39" t="n">
        <x:v>0.0996685896</x:v>
      </x:c>
      <x:c r="AL54" s="39" t="n">
        <x:v>-0.0443253586</x:v>
      </x:c>
      <x:c r="AM54" s="39" t="n">
        <x:v>0.0674899745</x:v>
      </x:c>
      <x:c r="AN54" s="39" t="n">
        <x:v>-0.0481991501</x:v>
      </x:c>
      <x:c r="AO54" s="39" t="n">
        <x:v>-0.0475115115</x:v>
      </x:c>
      <x:c r="AP54" s="39" t="n">
        <x:v>0.0272648529</x:v>
      </x:c>
      <x:c r="AQ54" s="39" t="n">
        <x:v>0.0047194548</x:v>
      </x:c>
      <x:c r="AR54" s="39" t="n">
        <x:v>-0.0076154831</x:v>
      </x:c>
      <x:c r="AS54" s="39" t="n">
        <x:v>-0.0265277688</x:v>
      </x:c>
      <x:c r="AT54" s="39" t="n">
        <x:v>-0.0249842634</x:v>
      </x:c>
      <x:c r="AU54" s="39" t="n">
        <x:v>-0.0304747521</x:v>
      </x:c>
      <x:c r="AV54" s="39" t="n">
        <x:v>-0.0310044264</x:v>
      </x:c>
      <x:c r="AW54" s="39" t="n">
        <x:v>-0.0339878689</x:v>
      </x:c>
      <x:c r="AX54" s="39" t="n">
        <x:v>-0.0267634568</x:v>
      </x:c>
      <x:c r="AY54" s="39" t="n">
        <x:v>-0.0284271373</x:v>
      </x:c>
      <x:c r="AZ54" s="39" t="n">
        <x:v>-0.0063929045</x:v>
      </x:c>
      <x:c r="BA54" s="39" t="n">
        <x:v>0.0060055738</x:v>
      </x:c>
      <x:c r="BB54" s="39" t="n">
        <x:v>-0.0423778354</x:v>
      </x:c>
      <x:c r="BC54" s="39" t="n">
        <x:v>-0.0635659781</x:v>
      </x:c>
      <x:c r="BD54" s="39" t="n">
        <x:v>-0.0188699316</x:v>
      </x:c>
      <x:c r="BE54" s="39" t="n">
        <x:v>-0.0294620045</x:v>
      </x:c>
      <x:c r="BF54" s="39" t="n">
        <x:v>-0.0423598733</x:v>
      </x:c>
      <x:c r="BG54" s="39" t="n">
        <x:v>-0.0934122608</x:v>
      </x:c>
      <x:c r="BH54" s="39" t="n">
        <x:v>-0.0436627641</x:v>
      </x:c>
      <x:c r="BI54" s="39" t="n">
        <x:v>0.0178770461</x:v>
      </x:c>
      <x:c r="BJ54" s="39" t="n">
        <x:v>-0.0220028414</x:v>
      </x:c>
    </x:row>
    <x:row r="55" ht="19" customHeight="1">
      <x:c r="A55" s="40" t="d">
        <x:v>2025-01-27T00:00:00.000Z</x:v>
      </x:c>
      <x:c r="B55" s="39" t="n">
        <x:v>0.0640674137</x:v>
      </x:c>
      <x:c r="C55" s="39" t="n">
        <x:v>0.0217529316</x:v>
      </x:c>
      <x:c r="D55" s="39" t="n">
        <x:v>0.0751977474</x:v>
      </x:c>
      <x:c r="E55" s="39" t="n">
        <x:v>0.0501598008</x:v>
      </x:c>
      <x:c r="F55" s="39" t="n">
        <x:v>-0.0056460761</x:v>
      </x:c>
      <x:c r="G55" s="39" t="n">
        <x:v>-0.0514608846</x:v>
      </x:c>
      <x:c r="H55" s="39" t="n">
        <x:v>0.0829941759</x:v>
      </x:c>
      <x:c r="I55" s="39" t="n">
        <x:v>-0.0728650121</x:v>
      </x:c>
      <x:c r="J55" s="39" t="n">
        <x:v>0.1354973047</x:v>
      </x:c>
      <x:c r="K55" s="39" t="n">
        <x:v>0.082844572</x:v>
      </x:c>
      <x:c r="L55" s="39" t="n">
        <x:v>-0.0008406823</x:v>
      </x:c>
      <x:c r="M55" s="39" t="n">
        <x:v>0.0904424916</x:v>
      </x:c>
      <x:c r="N55" s="39" t="n">
        <x:v>0.1237636691</x:v>
      </x:c>
      <x:c r="O55" s="39" t="n">
        <x:v>0.0447246295</x:v>
      </x:c>
      <x:c r="P55" s="39" t="n">
        <x:v>-0.1255596843</x:v>
      </x:c>
      <x:c r="Q55" s="39" t="n">
        <x:v>0.2965984163</x:v>
      </x:c>
      <x:c r="R55" s="39" t="n">
        <x:v>0.0238162574</x:v>
      </x:c>
      <x:c r="S55" s="39" t="n">
        <x:v>0.1836216405</x:v>
      </x:c>
      <x:c r="T55" s="39" t="n">
        <x:v>-0.1234125454</x:v>
      </x:c>
      <x:c r="U55" s="39" t="n">
        <x:v>0.0105040916</x:v>
      </x:c>
      <x:c r="V55" s="39" t="n">
        <x:v>0.1126415676</x:v>
      </x:c>
      <x:c r="W55" s="39" t="n">
        <x:v>-0.1689920965</x:v>
      </x:c>
      <x:c r="X55" s="39" t="n">
        <x:v>0.1175701218</x:v>
      </x:c>
      <x:c r="Y55" s="39" t="n">
        <x:v>0.0828463022</x:v>
      </x:c>
      <x:c r="Z55" s="39" t="n">
        <x:v>0.001688293</x:v>
      </x:c>
      <x:c r="AA55" s="39" t="n">
        <x:v>-0.4632849779</x:v>
      </x:c>
      <x:c r="AB55" s="39" t="n">
        <x:v>0.0021028846</x:v>
      </x:c>
      <x:c r="AC55" s="39" t="n">
        <x:v>0.0030497195</x:v>
      </x:c>
      <x:c r="AD55" s="39" t="n">
        <x:v>-0.0089500523</x:v>
      </x:c>
      <x:c r="AE55" s="39" t="n">
        <x:v>-0.0195964038</x:v>
      </x:c>
      <x:c r="AF55" s="39" t="n">
        <x:v>0.0163120813</x:v>
      </x:c>
      <x:c r="AG55" s="39" t="n">
        <x:v>0.0206624121</x:v>
      </x:c>
      <x:c r="AH55" s="39" t="n">
        <x:v>0.0062530837</x:v>
      </x:c>
      <x:c r="AI55" s="39" t="n">
        <x:v>-0.0199995683</x:v>
      </x:c>
      <x:c r="AJ55" s="39" t="n">
        <x:v>0.0604150235</x:v>
      </x:c>
      <x:c r="AK55" s="39" t="n">
        <x:v>0.0962300116</x:v>
      </x:c>
      <x:c r="AL55" s="39" t="n">
        <x:v>-0.0064186494</x:v>
      </x:c>
      <x:c r="AM55" s="39" t="n">
        <x:v>0.0845950072</x:v>
      </x:c>
      <x:c r="AN55" s="39" t="n">
        <x:v>0.0738592802</x:v>
      </x:c>
      <x:c r="AO55" s="39" t="n">
        <x:v>0.027777692</x:v>
      </x:c>
      <x:c r="AP55" s="39" t="n">
        <x:v>0.0514598677</x:v>
      </x:c>
      <x:c r="AQ55" s="39" t="n">
        <x:v>-0.0048086495</x:v>
      </x:c>
      <x:c r="AR55" s="39" t="n">
        <x:v>-0.0202257383</x:v>
      </x:c>
      <x:c r="AS55" s="39" t="n">
        <x:v>-0.0030620993</x:v>
      </x:c>
      <x:c r="AT55" s="39" t="n">
        <x:v>0.0117303194</x:v>
      </x:c>
      <x:c r="AU55" s="39" t="n">
        <x:v>0.0056938386</x:v>
      </x:c>
      <x:c r="AV55" s="39" t="n">
        <x:v>0.0059411521</x:v>
      </x:c>
      <x:c r="AW55" s="39" t="n">
        <x:v>0.0040111351</x:v>
      </x:c>
      <x:c r="AX55" s="39" t="n">
        <x:v>-0.0016151918</x:v>
      </x:c>
      <x:c r="AY55" s="39" t="n">
        <x:v>0.0206565223</x:v>
      </x:c>
      <x:c r="AZ55" s="39" t="n">
        <x:v>0.0388986635</x:v>
      </x:c>
      <x:c r="BA55" s="39" t="n">
        <x:v>0.0173601042</x:v>
      </x:c>
      <x:c r="BB55" s="39" t="n">
        <x:v>0.0008455452</x:v>
      </x:c>
      <x:c r="BC55" s="39" t="n">
        <x:v>-0.0130740857</x:v>
      </x:c>
      <x:c r="BD55" s="39" t="n">
        <x:v>0.0535658707</x:v>
      </x:c>
      <x:c r="BE55" s="39" t="n">
        <x:v>0.0581094011</x:v>
      </x:c>
      <x:c r="BF55" s="39" t="n">
        <x:v>0.031284786</x:v>
      </x:c>
      <x:c r="BG55" s="39" t="n">
        <x:v>0.0669510623</x:v>
      </x:c>
      <x:c r="BH55" s="39" t="n">
        <x:v>0.0054053303</x:v>
      </x:c>
      <x:c r="BI55" s="39" t="n">
        <x:v>-0.0558935146</x:v>
      </x:c>
      <x:c r="BJ55" s="39" t="n">
        <x:v>0.001886941</x:v>
      </x:c>
    </x:row>
    <x:row r="56" ht="19" customHeight="1">
      <x:c r="A56" s="40" t="d">
        <x:v>2025-02-24T00:00:00.000Z</x:v>
      </x:c>
      <x:c r="B56" s="39" t="n">
        <x:v>-0.2822144265</x:v>
      </x:c>
      <x:c r="C56" s="39" t="n">
        <x:v>-0.1188892313</x:v>
      </x:c>
      <x:c r="D56" s="39" t="n">
        <x:v>0.064521692</x:v>
      </x:c>
      <x:c r="E56" s="39" t="n">
        <x:v>0.0743436631</x:v>
      </x:c>
      <x:c r="F56" s="39" t="n">
        <x:v>0.0381633716</x:v>
      </x:c>
      <x:c r="G56" s="39" t="n">
        <x:v>-0.030416997</x:v>
      </x:c>
      <x:c r="H56" s="39" t="n">
        <x:v>-0.0275941023</x:v>
      </x:c>
      <x:c r="I56" s="39" t="n">
        <x:v>-0.1386285835</x:v>
      </x:c>
      <x:c r="J56" s="39" t="n">
        <x:v>0.0656483673</x:v>
      </x:c>
      <x:c r="K56" s="39" t="n">
        <x:v>-0.0824574633</x:v>
      </x:c>
      <x:c r="L56" s="39" t="n">
        <x:v>-0.1682214584</x:v>
      </x:c>
      <x:c r="M56" s="39" t="n">
        <x:v>-0.0269068747</x:v>
      </x:c>
      <x:c r="N56" s="39" t="n">
        <x:v>0.0012663567</x:v>
      </x:c>
      <x:c r="O56" s="39" t="n">
        <x:v>0.0296673264</x:v>
      </x:c>
      <x:c r="P56" s="39" t="n">
        <x:v>0.2182121769</x:v>
      </x:c>
      <x:c r="Q56" s="39" t="n">
        <x:v>0.0543151927</x:v>
      </x:c>
      <x:c r="R56" s="39" t="n">
        <x:v>0.0500817274</x:v>
      </x:c>
      <x:c r="S56" s="39" t="n">
        <x:v>0.2236085005</x:v>
      </x:c>
      <x:c r="T56" s="39" t="n">
        <x:v>-0.2972061987</x:v>
      </x:c>
      <x:c r="U56" s="39" t="n">
        <x:v>-0.1912140853</x:v>
      </x:c>
      <x:c r="V56" s="39" t="n">
        <x:v>0.0044744992</x:v>
      </x:c>
      <x:c r="W56" s="39" t="n">
        <x:v>0.0515671637</x:v>
      </x:c>
      <x:c r="X56" s="39" t="n">
        <x:v>-0.032689591</x:v>
      </x:c>
      <x:c r="Y56" s="39" t="n">
        <x:v>0.0019150066</x:v>
      </x:c>
      <x:c r="Z56" s="39" t="n">
        <x:v>0.1110321621</x:v>
      </x:c>
      <x:c r="AA56" s="39" t="n">
        <x:v>-0.3400088869</x:v>
      </x:c>
      <x:c r="AB56" s="39" t="n">
        <x:v>0.1085022935</x:v>
      </x:c>
      <x:c r="AC56" s="39" t="n">
        <x:v>0.0082186762</x:v>
      </x:c>
      <x:c r="AD56" s="39" t="n">
        <x:v>0.030398548</x:v>
      </x:c>
      <x:c r="AE56" s="39" t="n">
        <x:v>-0.0530948364</x:v>
      </x:c>
      <x:c r="AF56" s="39" t="n">
        <x:v>0.0256465816</x:v>
      </x:c>
      <x:c r="AG56" s="39" t="n">
        <x:v>-0.1405738759</x:v>
      </x:c>
      <x:c r="AH56" s="39" t="n">
        <x:v>-0.1333156608</x:v>
      </x:c>
      <x:c r="AI56" s="39" t="n">
        <x:v>0.1217790517</x:v>
      </x:c>
      <x:c r="AJ56" s="39" t="n">
        <x:v>0.0902193099</x:v>
      </x:c>
      <x:c r="AK56" s="39" t="n">
        <x:v>0.0701478411</x:v>
      </x:c>
      <x:c r="AL56" s="39" t="n">
        <x:v>-0.0278704497</x:v>
      </x:c>
      <x:c r="AM56" s="39" t="n">
        <x:v>-0.1638884225</x:v>
      </x:c>
      <x:c r="AN56" s="39" t="n">
        <x:v>0.0924530721</x:v>
      </x:c>
      <x:c r="AO56" s="39" t="n">
        <x:v>0.0222664461</x:v>
      </x:c>
      <x:c r="AP56" s="39" t="n">
        <x:v>0.061582472</x:v>
      </x:c>
      <x:c r="AQ56" s="39" t="n">
        <x:v>0.0574873863</x:v>
      </x:c>
      <x:c r="AR56" s="39" t="n">
        <x:v>0.0935981928</x:v>
      </x:c>
      <x:c r="AS56" s="39" t="n">
        <x:v>0.0084258962</x:v>
      </x:c>
      <x:c r="AT56" s="39" t="n">
        <x:v>0.0055214418</x:v>
      </x:c>
      <x:c r="AU56" s="39" t="n">
        <x:v>0.0026238889</x:v>
      </x:c>
      <x:c r="AV56" s="39" t="n">
        <x:v>0.0021025398</x:v>
      </x:c>
      <x:c r="AW56" s="39" t="n">
        <x:v>-0.0062912478</x:v>
      </x:c>
      <x:c r="AX56" s="39" t="n">
        <x:v>0.010158537</x:v>
      </x:c>
      <x:c r="AY56" s="39" t="n">
        <x:v>-0.0161862616</x:v>
      </x:c>
      <x:c r="AZ56" s="39" t="n">
        <x:v>0.012156811</x:v>
      </x:c>
      <x:c r="BA56" s="39" t="n">
        <x:v>-0.0652660586</x:v>
      </x:c>
      <x:c r="BB56" s="39" t="n">
        <x:v>0.0695627504</x:v>
      </x:c>
      <x:c r="BC56" s="39" t="n">
        <x:v>0.0251413756</x:v>
      </x:c>
      <x:c r="BD56" s="39" t="n">
        <x:v>0.0284918631</x:v>
      </x:c>
      <x:c r="BE56" s="39" t="n">
        <x:v>0.0233342226</x:v>
      </x:c>
      <x:c r="BF56" s="39" t="n">
        <x:v>-0.0071502687</x:v>
      </x:c>
      <x:c r="BG56" s="39" t="n">
        <x:v>0.0132062491</x:v>
      </x:c>
      <x:c r="BH56" s="39" t="n">
        <x:v>0.0701883098</x:v>
      </x:c>
      <x:c r="BI56" s="39" t="n">
        <x:v>-0.005006637</x:v>
      </x:c>
      <x:c r="BJ56" s="39" t="n">
        <x:v>0.0255101856</x:v>
      </x:c>
    </x:row>
    <x:row r="57" ht="19" customHeight="1">
      <x:c r="A57" s="40" t="d">
        <x:v>2025-03-24T00:00:00.000Z</x:v>
      </x:c>
      <x:c r="B57" s="39" t="n">
        <x:v>-0.0841460465</x:v>
      </x:c>
      <x:c r="C57" s="39" t="n">
        <x:v>-0.1259602202</x:v>
      </x:c>
      <x:c r="D57" s="39" t="n">
        <x:v>-0.0280217961</x:v>
      </x:c>
      <x:c r="E57" s="39" t="n">
        <x:v>-0.0429000458</x:v>
      </x:c>
      <x:c r="F57" s="39" t="n">
        <x:v>-0.1023345901</x:v>
      </x:c>
      <x:c r="G57" s="39" t="n">
        <x:v>-0.055054128</x:v>
      </x:c>
      <x:c r="H57" s="39" t="n">
        <x:v>0.0420592982</x:v>
      </x:c>
      <x:c r="I57" s="39" t="n">
        <x:v>-0.1006636432</x:v>
      </x:c>
      <x:c r="J57" s="39" t="n">
        <x:v>-0.1331085973</x:v>
      </x:c>
      <x:c r="K57" s="39" t="n">
        <x:v>-0.0222300467</x:v>
      </x:c>
      <x:c r="L57" s="39" t="n">
        <x:v>-0.1251714206</x:v>
      </x:c>
      <x:c r="M57" s="39" t="n">
        <x:v>-0.0997563471</x:v>
      </x:c>
      <x:c r="N57" s="39" t="n">
        <x:v>-0.072564167</x:v>
      </x:c>
      <x:c r="O57" s="39" t="n">
        <x:v>-0.2181184144</x:v>
      </x:c>
      <x:c r="P57" s="39" t="n">
        <x:v>-0.0400900327</x:v>
      </x:c>
      <x:c r="Q57" s="39" t="n">
        <x:v>-0.1853427449</x:v>
      </x:c>
      <x:c r="R57" s="39" t="n">
        <x:v>0.0228839113</x:v>
      </x:c>
      <x:c r="S57" s="39" t="n">
        <x:v>-0.1842239792</x:v>
      </x:c>
      <x:c r="T57" s="39" t="n">
        <x:v>-0.0414462756</x:v>
      </x:c>
      <x:c r="U57" s="39" t="n">
        <x:v>0.0747385619</x:v>
      </x:c>
      <x:c r="V57" s="39" t="n">
        <x:v>0.0129666371</x:v>
      </x:c>
      <x:c r="W57" s="39" t="n">
        <x:v>0.0171783722</x:v>
      </x:c>
      <x:c r="X57" s="39" t="n">
        <x:v>-0.0525816627</x:v>
      </x:c>
      <x:c r="Y57" s="39" t="n">
        <x:v>0.0557063399</x:v>
      </x:c>
      <x:c r="Z57" s="39" t="n">
        <x:v>0.0021807701</x:v>
      </x:c>
      <x:c r="AA57" s="39" t="n">
        <x:v>0.263600403</x:v>
      </x:c>
      <x:c r="AB57" s="39" t="n">
        <x:v>-0.1697172214</x:v>
      </x:c>
      <x:c r="AC57" s="39" t="n">
        <x:v>-0.031690891</x:v>
      </x:c>
      <x:c r="AD57" s="39" t="n">
        <x:v>0.0595256924</x:v>
      </x:c>
      <x:c r="AE57" s="39" t="n">
        <x:v>-0.1731904183</x:v>
      </x:c>
      <x:c r="AF57" s="39" t="n">
        <x:v>0.0030634543</x:v>
      </x:c>
      <x:c r="AG57" s="39" t="n">
        <x:v>0.1115648077</x:v>
      </x:c>
      <x:c r="AH57" s="39" t="n">
        <x:v>0.1551986498</x:v>
      </x:c>
      <x:c r="AI57" s="39" t="n">
        <x:v>-0.1393999737</x:v>
      </x:c>
      <x:c r="AJ57" s="39" t="n">
        <x:v>-0.0268879945</x:v>
      </x:c>
      <x:c r="AK57" s="39" t="n">
        <x:v>0.1456699729</x:v>
      </x:c>
      <x:c r="AL57" s="39" t="n">
        <x:v>0.0617173122</x:v>
      </x:c>
      <x:c r="AM57" s="39" t="n">
        <x:v>-0.0277595001</x:v>
      </x:c>
      <x:c r="AN57" s="39" t="n">
        <x:v>-0.1357678585</x:v>
      </x:c>
      <x:c r="AO57" s="39" t="n">
        <x:v>-0.0767405955</x:v>
      </x:c>
      <x:c r="AP57" s="39" t="n">
        <x:v>-0.0267628137</x:v>
      </x:c>
      <x:c r="AQ57" s="39" t="n">
        <x:v>-0.0431140277</x:v>
      </x:c>
      <x:c r="AR57" s="39" t="n">
        <x:v>0.0308145583</x:v>
      </x:c>
      <x:c r="AS57" s="39" t="n">
        <x:v>0.0103175654</x:v>
      </x:c>
      <x:c r="AT57" s="39" t="n">
        <x:v>0.010698013</x:v>
      </x:c>
      <x:c r="AU57" s="39" t="n">
        <x:v>0.0541733105</x:v>
      </x:c>
      <x:c r="AV57" s="39" t="n">
        <x:v>0.0611906118</x:v>
      </x:c>
      <x:c r="AW57" s="39" t="n">
        <x:v>0.0199015376</x:v>
      </x:c>
      <x:c r="AX57" s="39" t="n">
        <x:v>-0.0051410615</x:v>
      </x:c>
      <x:c r="AY57" s="39" t="n">
        <x:v>-0.0822616423</x:v>
      </x:c>
      <x:c r="AZ57" s="39" t="n">
        <x:v>0.000473037</x:v>
      </x:c>
      <x:c r="BA57" s="39" t="n">
        <x:v>-0.0100516676</x:v>
      </x:c>
      <x:c r="BB57" s="39" t="n">
        <x:v>-0.0029750616</x:v>
      </x:c>
      <x:c r="BC57" s="39" t="n">
        <x:v>-0.0051000643</x:v>
      </x:c>
      <x:c r="BD57" s="39" t="n">
        <x:v>-0.0066019644</x:v>
      </x:c>
      <x:c r="BE57" s="39" t="n">
        <x:v>0.0020396483</x:v>
      </x:c>
      <x:c r="BF57" s="39" t="n">
        <x:v>0.0133795536</x:v>
      </x:c>
      <x:c r="BG57" s="39" t="n">
        <x:v>0.0152138384</x:v>
      </x:c>
      <x:c r="BH57" s="39" t="n">
        <x:v>0.0284653812</x:v>
      </x:c>
      <x:c r="BI57" s="39" t="n">
        <x:v>0.0089519779</x:v>
      </x:c>
      <x:c r="BJ57" s="39" t="n">
        <x:v>0.019450515</x:v>
      </x:c>
    </x:row>
    <x:row r="58" ht="19" customHeight="1">
      <x:c r="A58" s="40" t="d">
        <x:v>2025-04-21T00:00:00.000Z</x:v>
      </x:c>
      <x:c r="B58" s="39" t="n">
        <x:v>0.0187998963</x:v>
      </x:c>
      <x:c r="C58" s="39" t="n">
        <x:v>0.0778306043</x:v>
      </x:c>
      <x:c r="D58" s="39" t="n">
        <x:v>-0.0321185461</x:v>
      </x:c>
      <x:c r="E58" s="39" t="n">
        <x:v>-0.0087537859</x:v>
      </x:c>
      <x:c r="F58" s="39" t="n">
        <x:v>-0.1149894031</x:v>
      </x:c>
      <x:c r="G58" s="39" t="n">
        <x:v>-0.027586657</x:v>
      </x:c>
      <x:c r="H58" s="39" t="n">
        <x:v>-0.0422875877</x:v>
      </x:c>
      <x:c r="I58" s="39" t="n">
        <x:v>0.1794524649</x:v>
      </x:c>
      <x:c r="J58" s="39" t="n">
        <x:v>-0.1341914631</x:v>
      </x:c>
      <x:c r="K58" s="39" t="n">
        <x:v>-0.012938914</x:v>
      </x:c>
      <x:c r="L58" s="39" t="n">
        <x:v>0.1188257131</x:v>
      </x:c>
      <x:c r="M58" s="39" t="n">
        <x:v>0.0585811551</x:v>
      </x:c>
      <x:c r="N58" s="39" t="n">
        <x:v>0.0030092863</x:v>
      </x:c>
      <x:c r="O58" s="39" t="n">
        <x:v>-0.1169750836</x:v>
      </x:c>
      <x:c r="P58" s="39" t="n">
        <x:v>0.0437762525</x:v>
      </x:c>
      <x:c r="Q58" s="39" t="n">
        <x:v>-0.0622793263</x:v>
      </x:c>
      <x:c r="R58" s="39" t="n">
        <x:v>0.0176531221</x:v>
      </x:c>
      <x:c r="S58" s="39" t="n">
        <x:v>0.1131893353</x:v>
      </x:c>
      <x:c r="T58" s="39" t="n">
        <x:v>-0.1961537234</x:v>
      </x:c>
      <x:c r="U58" s="39" t="n">
        <x:v>0.1420324801</x:v>
      </x:c>
      <x:c r="V58" s="39" t="n">
        <x:v>0.2137215053</x:v>
      </x:c>
      <x:c r="W58" s="39" t="n">
        <x:v>-0.0625626258</x:v>
      </x:c>
      <x:c r="X58" s="39" t="n">
        <x:v>-0.2342965215</x:v>
      </x:c>
      <x:c r="Y58" s="39" t="n">
        <x:v>0.0716162761</x:v>
      </x:c>
      <x:c r="Z58" s="39" t="n">
        <x:v>-0.0643278462</x:v>
      </x:c>
      <x:c r="AA58" s="39" t="n">
        <x:v>-0.3556530673</x:v>
      </x:c>
      <x:c r="AB58" s="39" t="n">
        <x:v>0.0579954637</x:v>
      </x:c>
      <x:c r="AC58" s="39" t="n">
        <x:v>-0.1005391684</x:v>
      </x:c>
      <x:c r="AD58" s="39" t="n">
        <x:v>-0.002840291</x:v>
      </x:c>
      <x:c r="AE58" s="39" t="n">
        <x:v>0.0595609723</x:v>
      </x:c>
      <x:c r="AF58" s="39" t="n">
        <x:v>-0.0475168318</x:v>
      </x:c>
      <x:c r="AG58" s="39" t="n">
        <x:v>0.0723410348</x:v>
      </x:c>
      <x:c r="AH58" s="39" t="n">
        <x:v>-0.1917941376</x:v>
      </x:c>
      <x:c r="AI58" s="39" t="n">
        <x:v>0.1339327329</x:v>
      </x:c>
      <x:c r="AJ58" s="39" t="n">
        <x:v>-0.0763907066</x:v>
      </x:c>
      <x:c r="AK58" s="39" t="n">
        <x:v>-0.0520601536</x:v>
      </x:c>
      <x:c r="AL58" s="39" t="n">
        <x:v>0.0521575431</x:v>
      </x:c>
      <x:c r="AM58" s="39" t="n">
        <x:v>0.0166486066</x:v>
      </x:c>
      <x:c r="AN58" s="39" t="n">
        <x:v>0.0187619222</x:v>
      </x:c>
      <x:c r="AO58" s="39" t="n">
        <x:v>-0.0208169382</x:v>
      </x:c>
      <x:c r="AP58" s="39" t="n">
        <x:v>-0.0090681862</x:v>
      </x:c>
      <x:c r="AQ58" s="39" t="n">
        <x:v>-0.0487212164</x:v>
      </x:c>
      <x:c r="AR58" s="39" t="n">
        <x:v>0.0252229294</x:v>
      </x:c>
      <x:c r="AS58" s="39" t="n">
        <x:v>0.0574053138</x:v>
      </x:c>
      <x:c r="AT58" s="39" t="n">
        <x:v>0.025541065</x:v>
      </x:c>
      <x:c r="AU58" s="39" t="n">
        <x:v>0.0622128976</x:v>
      </x:c>
      <x:c r="AV58" s="39" t="n">
        <x:v>0.0593593289</x:v>
      </x:c>
      <x:c r="AW58" s="39" t="n">
        <x:v>0.0217422767</x:v>
      </x:c>
      <x:c r="AX58" s="39" t="n">
        <x:v>0.0440292019</x:v>
      </x:c>
      <x:c r="AY58" s="39" t="n">
        <x:v>-0.0118263696</x:v>
      </x:c>
      <x:c r="AZ58" s="39" t="n">
        <x:v>-0.0060899081</x:v>
      </x:c>
      <x:c r="BA58" s="39" t="n">
        <x:v>0.0249937161</x:v>
      </x:c>
      <x:c r="BB58" s="39" t="n">
        <x:v>0.0106290643</x:v>
      </x:c>
      <x:c r="BC58" s="39" t="n">
        <x:v>-0.1715360575</x:v>
      </x:c>
      <x:c r="BD58" s="39" t="n">
        <x:v>-0.0242557464</x:v>
      </x:c>
      <x:c r="BE58" s="39" t="n">
        <x:v>-0.0559788715</x:v>
      </x:c>
      <x:c r="BF58" s="39" t="n">
        <x:v>-0.0037787464</x:v>
      </x:c>
      <x:c r="BG58" s="39" t="n">
        <x:v>-0.0274612617</x:v>
      </x:c>
      <x:c r="BH58" s="39" t="n">
        <x:v>-0.0132595295</x:v>
      </x:c>
      <x:c r="BI58" s="39" t="n">
        <x:v>0.0310812651</x:v>
      </x:c>
      <x:c r="BJ58" s="39" t="n">
        <x:v>0.0059708946</x:v>
      </x:c>
    </x:row>
    <x:row r="59" ht="19" customHeight="1">
      <x:c r="A59" s="40" t="d">
        <x:v>2025-05-19T00:00:00.000Z</x:v>
      </x:c>
      <x:c r="B59" s="39" t="n">
        <x:v>0.085887703</x:v>
      </x:c>
      <x:c r="C59" s="39" t="n">
        <x:v>-0.064178185</x:v>
      </x:c>
      <x:c r="D59" s="39" t="n">
        <x:v>-0.0585519485</x:v>
      </x:c>
      <x:c r="E59" s="39" t="n">
        <x:v>-0.0694937476</x:v>
      </x:c>
      <x:c r="F59" s="39" t="n">
        <x:v>0.1176068904</x:v>
      </x:c>
      <x:c r="G59" s="39" t="n">
        <x:v>-0.0951467806</x:v>
      </x:c>
      <x:c r="H59" s="39" t="n">
        <x:v>-0.0304532923</x:v>
      </x:c>
      <x:c r="I59" s="39" t="n">
        <x:v>-0.0016841948</x:v>
      </x:c>
      <x:c r="J59" s="39" t="n">
        <x:v>0.1123259028</x:v>
      </x:c>
      <x:c r="K59" s="39" t="n">
        <x:v>0.1628147901</x:v>
      </x:c>
      <x:c r="L59" s="39" t="n">
        <x:v>0.1855313074</x:v>
      </x:c>
      <x:c r="M59" s="39" t="n">
        <x:v>0.1461260268</x:v>
      </x:c>
      <x:c r="N59" s="39" t="n">
        <x:v>0.0180523981</x:v>
      </x:c>
      <x:c r="O59" s="39" t="n">
        <x:v>-0.025885723</x:v>
      </x:c>
      <x:c r="P59" s="39" t="n">
        <x:v>-0.010521758</x:v>
      </x:c>
      <x:c r="Q59" s="39" t="n">
        <x:v>-0.2570781433</x:v>
      </x:c>
      <x:c r="R59" s="39" t="n">
        <x:v>0.0774788481</x:v>
      </x:c>
      <x:c r="S59" s="39" t="n">
        <x:v>0.2161818857</x:v>
      </x:c>
      <x:c r="T59" s="39" t="n">
        <x:v>-0.0308217333</x:v>
      </x:c>
      <x:c r="U59" s="39" t="n">
        <x:v>0.0860495052</x:v>
      </x:c>
      <x:c r="V59" s="39" t="n">
        <x:v>-0.0107702479</x:v>
      </x:c>
      <x:c r="W59" s="39" t="n">
        <x:v>-0.0129584068</x:v>
      </x:c>
      <x:c r="X59" s="39" t="n">
        <x:v>0.0189248951</x:v>
      </x:c>
      <x:c r="Y59" s="39" t="n">
        <x:v>-0.0764756106</x:v>
      </x:c>
      <x:c r="Z59" s="39" t="n">
        <x:v>0.0442596934</x:v>
      </x:c>
      <x:c r="AA59" s="39" t="n">
        <x:v>0.0198674625</x:v>
      </x:c>
      <x:c r="AB59" s="39" t="n">
        <x:v>-0.4142975317</x:v>
      </x:c>
      <x:c r="AC59" s="39" t="n">
        <x:v>0.0181897349</x:v>
      </x:c>
      <x:c r="AD59" s="39" t="n">
        <x:v>-0.0396804789</x:v>
      </x:c>
      <x:c r="AE59" s="39" t="n">
        <x:v>-0.0324134065</x:v>
      </x:c>
      <x:c r="AF59" s="39" t="n">
        <x:v>0.0717074649</x:v>
      </x:c>
      <x:c r="AG59" s="39" t="n">
        <x:v>-0.0733861778</x:v>
      </x:c>
      <x:c r="AH59" s="39" t="n">
        <x:v>-0.0477383885</x:v>
      </x:c>
      <x:c r="AI59" s="39" t="n">
        <x:v>-0.1907280254</x:v>
      </x:c>
      <x:c r="AJ59" s="39" t="n">
        <x:v>0.0125099989</x:v>
      </x:c>
      <x:c r="AK59" s="39" t="n">
        <x:v>0.0152898602</x:v>
      </x:c>
      <x:c r="AL59" s="39" t="n">
        <x:v>0.1282850527</x:v>
      </x:c>
      <x:c r="AM59" s="39" t="n">
        <x:v>-0.0908386103</x:v>
      </x:c>
      <x:c r="AN59" s="39" t="n">
        <x:v>-0.0060799684</x:v>
      </x:c>
      <x:c r="AO59" s="39" t="n">
        <x:v>-0.0824014157</x:v>
      </x:c>
      <x:c r="AP59" s="39" t="n">
        <x:v>-0.0094710395</x:v>
      </x:c>
      <x:c r="AQ59" s="39" t="n">
        <x:v>0.0813263665</x:v>
      </x:c>
      <x:c r="AR59" s="39" t="n">
        <x:v>-0.0631884449</x:v>
      </x:c>
      <x:c r="AS59" s="39" t="n">
        <x:v>0.0177575005</x:v>
      </x:c>
      <x:c r="AT59" s="39" t="n">
        <x:v>0.0272429295</x:v>
      </x:c>
      <x:c r="AU59" s="39" t="n">
        <x:v>0.0008250854</x:v>
      </x:c>
      <x:c r="AV59" s="39" t="n">
        <x:v>-0.0027079816</x:v>
      </x:c>
      <x:c r="AW59" s="39" t="n">
        <x:v>0.0177987109</x:v>
      </x:c>
      <x:c r="AX59" s="39" t="n">
        <x:v>-0.0102852147</x:v>
      </x:c>
      <x:c r="AY59" s="39" t="n">
        <x:v>0.0666254263</x:v>
      </x:c>
      <x:c r="AZ59" s="39" t="n">
        <x:v>0.019413993</x:v>
      </x:c>
      <x:c r="BA59" s="39" t="n">
        <x:v>0.0134508203</x:v>
      </x:c>
      <x:c r="BB59" s="39" t="n">
        <x:v>-0.015729635</x:v>
      </x:c>
      <x:c r="BC59" s="39" t="n">
        <x:v>-0.0131694203</x:v>
      </x:c>
      <x:c r="BD59" s="39" t="n">
        <x:v>-0.0004451617</x:v>
      </x:c>
      <x:c r="BE59" s="39" t="n">
        <x:v>-0.1078803745</x:v>
      </x:c>
      <x:c r="BF59" s="39" t="n">
        <x:v>0.0552013965</x:v>
      </x:c>
      <x:c r="BG59" s="39" t="n">
        <x:v>-0.0010699641</x:v>
      </x:c>
      <x:c r="BH59" s="39" t="n">
        <x:v>-0.0467563698</x:v>
      </x:c>
      <x:c r="BI59" s="39" t="n">
        <x:v>0.0149318929</x:v>
      </x:c>
      <x:c r="BJ59" s="39" t="n">
        <x:v>0.0176923312</x:v>
      </x:c>
    </x:row>
    <x:row r="60" ht="19" customHeight="1">
      <x:c r="A60" s="40" t="d">
        <x:v>2025-06-16T00:00:00.000Z</x:v>
      </x:c>
      <x:c r="B60" s="39" t="n">
        <x:v>0.1788572723</x:v>
      </x:c>
      <x:c r="C60" s="39" t="n">
        <x:v>-0.0831311649</x:v>
      </x:c>
      <x:c r="D60" s="39" t="n">
        <x:v>-0.0103915387</x:v>
      </x:c>
      <x:c r="E60" s="39" t="n">
        <x:v>-0.0328283284</x:v>
      </x:c>
      <x:c r="F60" s="39" t="n">
        <x:v>0.0828703045</x:v>
      </x:c>
      <x:c r="G60" s="39" t="n">
        <x:v>0.0922659108</x:v>
      </x:c>
      <x:c r="H60" s="39" t="n">
        <x:v>0.0321867406</x:v>
      </x:c>
      <x:c r="I60" s="39" t="n">
        <x:v>0.0087913969</x:v>
      </x:c>
      <x:c r="J60" s="39" t="n">
        <x:v>-0.0052370531</x:v>
      </x:c>
      <x:c r="K60" s="39" t="n">
        <x:v>-0.0180920195</x:v>
      </x:c>
      <x:c r="L60" s="39" t="n">
        <x:v>0.119573636</x:v>
      </x:c>
      <x:c r="M60" s="39" t="n">
        <x:v>-0.0643492876</x:v>
      </x:c>
      <x:c r="N60" s="39" t="n">
        <x:v>-0.0051166033</x:v>
      </x:c>
      <x:c r="O60" s="39" t="n">
        <x:v>0.1197896276</x:v>
      </x:c>
      <x:c r="P60" s="39" t="n">
        <x:v>0.0837571729</x:v>
      </x:c>
      <x:c r="Q60" s="39" t="n">
        <x:v>-0.2278397446</x:v>
      </x:c>
      <x:c r="R60" s="39" t="n">
        <x:v>-0.058877505</x:v>
      </x:c>
      <x:c r="S60" s="39" t="n">
        <x:v>0.0889312432</x:v>
      </x:c>
      <x:c r="T60" s="39" t="n">
        <x:v>-0.0120851355</x:v>
      </x:c>
      <x:c r="U60" s="39" t="n">
        <x:v>0.1004847568</x:v>
      </x:c>
      <x:c r="V60" s="39" t="n">
        <x:v>0.0107626996</x:v>
      </x:c>
      <x:c r="W60" s="39" t="n">
        <x:v>-0.0126289385</x:v>
      </x:c>
      <x:c r="X60" s="39" t="n">
        <x:v>0.1805593826</x:v>
      </x:c>
      <x:c r="Y60" s="39" t="n">
        <x:v>0.1188580952</x:v>
      </x:c>
      <x:c r="Z60" s="39" t="n">
        <x:v>-0.0656672242</x:v>
      </x:c>
      <x:c r="AA60" s="39" t="n">
        <x:v>0.0549315138</x:v>
      </x:c>
      <x:c r="AB60" s="39" t="n">
        <x:v>0.3253485563</x:v>
      </x:c>
      <x:c r="AC60" s="39" t="n">
        <x:v>-0.0223578418</x:v>
      </x:c>
      <x:c r="AD60" s="39" t="n">
        <x:v>0.0172532288</x:v>
      </x:c>
      <x:c r="AE60" s="39" t="n">
        <x:v>-0.0349104716</x:v>
      </x:c>
      <x:c r="AF60" s="39" t="n">
        <x:v>-0.0025767159</x:v>
      </x:c>
      <x:c r="AG60" s="39" t="n">
        <x:v>0.0861597456</x:v>
      </x:c>
      <x:c r="AH60" s="39" t="n">
        <x:v>0.0506957085</x:v>
      </x:c>
      <x:c r="AI60" s="39" t="n">
        <x:v>0.0308218162</x:v>
      </x:c>
      <x:c r="AJ60" s="39" t="n">
        <x:v>-0.0142741475</x:v>
      </x:c>
      <x:c r="AK60" s="39" t="n">
        <x:v>-0.1767535997</x:v>
      </x:c>
      <x:c r="AL60" s="39" t="n">
        <x:v>0.0110694127</x:v>
      </x:c>
      <x:c r="AM60" s="39" t="n">
        <x:v>-0.0712363327</x:v>
      </x:c>
      <x:c r="AN60" s="39" t="n">
        <x:v>-0.0364157247</x:v>
      </x:c>
      <x:c r="AO60" s="39" t="n">
        <x:v>-0.0231720963</x:v>
      </x:c>
      <x:c r="AP60" s="39" t="n">
        <x:v>-0.0520726126</x:v>
      </x:c>
      <x:c r="AQ60" s="39" t="n">
        <x:v>-0.020599797</x:v>
      </x:c>
      <x:c r="AR60" s="39" t="n">
        <x:v>-0.0549480473</x:v>
      </x:c>
      <x:c r="AS60" s="39" t="n">
        <x:v>0.0048326395</x:v>
      </x:c>
      <x:c r="AT60" s="39" t="n">
        <x:v>0.0013547409</x:v>
      </x:c>
      <x:c r="AU60" s="39" t="n">
        <x:v>0.0188145618</x:v>
      </x:c>
      <x:c r="AV60" s="39" t="n">
        <x:v>0.0181076064</x:v>
      </x:c>
      <x:c r="AW60" s="39" t="n">
        <x:v>-0.0016514097</x:v>
      </x:c>
      <x:c r="AX60" s="39" t="n">
        <x:v>0.0368875548</x:v>
      </x:c>
      <x:c r="AY60" s="39" t="n">
        <x:v>0.0386174878</x:v>
      </x:c>
      <x:c r="AZ60" s="39" t="n">
        <x:v>0.0011094302</x:v>
      </x:c>
      <x:c r="BA60" s="39" t="n">
        <x:v>-0.0379056198</x:v>
      </x:c>
      <x:c r="BB60" s="39" t="n">
        <x:v>-0.0263139142</x:v>
      </x:c>
      <x:c r="BC60" s="39" t="n">
        <x:v>0.0975887408</x:v>
      </x:c>
      <x:c r="BD60" s="39" t="n">
        <x:v>-0.0244668743</x:v>
      </x:c>
      <x:c r="BE60" s="39" t="n">
        <x:v>0.0038380594</x:v>
      </x:c>
      <x:c r="BF60" s="39" t="n">
        <x:v>-0.0216815222</x:v>
      </x:c>
      <x:c r="BG60" s="39" t="n">
        <x:v>-0.0168954146</x:v>
      </x:c>
      <x:c r="BH60" s="39" t="n">
        <x:v>0.0115776686</x:v>
      </x:c>
      <x:c r="BI60" s="39" t="n">
        <x:v>0.0231370845</x:v>
      </x:c>
      <x:c r="BJ60" s="39" t="n">
        <x:v>-0.0229169731</x:v>
      </x:c>
    </x:row>
    <x:row r="61" ht="19" customHeight="1">
      <x:c r="A61" s="40" t="d">
        <x:v>2025-07-14T00:00:00.000Z</x:v>
      </x:c>
      <x:c r="B61" s="39" t="n">
        <x:v>-0.0936798746</x:v>
      </x:c>
      <x:c r="C61" s="39" t="n">
        <x:v>-0.2119052507</x:v>
      </x:c>
      <x:c r="D61" s="39" t="n">
        <x:v>0.0393230884</x:v>
      </x:c>
      <x:c r="E61" s="39" t="n">
        <x:v>0.027110745</x:v>
      </x:c>
      <x:c r="F61" s="39" t="n">
        <x:v>-0.0370076243</x:v>
      </x:c>
      <x:c r="G61" s="39" t="n">
        <x:v>-0.0334638327</x:v>
      </x:c>
      <x:c r="H61" s="39" t="n">
        <x:v>0.006372586</x:v>
      </x:c>
      <x:c r="I61" s="39" t="n">
        <x:v>-0.0593652101</x:v>
      </x:c>
      <x:c r="J61" s="39" t="n">
        <x:v>0.0057954807</x:v>
      </x:c>
      <x:c r="K61" s="39" t="n">
        <x:v>0.0732634619</x:v>
      </x:c>
      <x:c r="L61" s="39" t="n">
        <x:v>-0.0623645297</x:v>
      </x:c>
      <x:c r="M61" s="39" t="n">
        <x:v>0.0226131424</x:v>
      </x:c>
      <x:c r="N61" s="39" t="n">
        <x:v>-0.0272385847</x:v>
      </x:c>
      <x:c r="O61" s="39" t="n">
        <x:v>-0.0284556977</x:v>
      </x:c>
      <x:c r="P61" s="39" t="n">
        <x:v>-0.080839134</x:v>
      </x:c>
      <x:c r="Q61" s="39" t="n">
        <x:v>0.0047549902</x:v>
      </x:c>
      <x:c r="R61" s="39" t="n">
        <x:v>0.0103861519</x:v>
      </x:c>
      <x:c r="S61" s="39" t="n">
        <x:v>0.0153716726</x:v>
      </x:c>
      <x:c r="T61" s="39" t="n">
        <x:v>0.250253884</x:v>
      </x:c>
      <x:c r="U61" s="39" t="n">
        <x:v>-0.1457189687</x:v>
      </x:c>
      <x:c r="V61" s="39" t="n">
        <x:v>-0.0939911247</x:v>
      </x:c>
      <x:c r="W61" s="39" t="n">
        <x:v>0.0361915062</x:v>
      </x:c>
      <x:c r="X61" s="39" t="n">
        <x:v>-0.2901433767</x:v>
      </x:c>
      <x:c r="Y61" s="39" t="n">
        <x:v>-0.0517252828</x:v>
      </x:c>
      <x:c r="Z61" s="39" t="n">
        <x:v>-0.096559545</x:v>
      </x:c>
      <x:c r="AA61" s="39" t="n">
        <x:v>0.1890769977</x:v>
      </x:c>
      <x:c r="AB61" s="39" t="n">
        <x:v>0.1916076315</x:v>
      </x:c>
      <x:c r="AC61" s="39" t="n">
        <x:v>-0.039593392</x:v>
      </x:c>
      <x:c r="AD61" s="39" t="n">
        <x:v>-0.0133159221</x:v>
      </x:c>
      <x:c r="AE61" s="39" t="n">
        <x:v>0.0679235209</x:v>
      </x:c>
      <x:c r="AF61" s="39" t="n">
        <x:v>0.1089643174</x:v>
      </x:c>
      <x:c r="AG61" s="39" t="n">
        <x:v>0.0876419944</x:v>
      </x:c>
      <x:c r="AH61" s="39" t="n">
        <x:v>0.0760031151</x:v>
      </x:c>
      <x:c r="AI61" s="39" t="n">
        <x:v>0.012244586</x:v>
      </x:c>
      <x:c r="AJ61" s="39" t="n">
        <x:v>0.0569870369</x:v>
      </x:c>
      <x:c r="AK61" s="39" t="n">
        <x:v>-0.1779615785</x:v>
      </x:c>
      <x:c r="AL61" s="39" t="n">
        <x:v>0.0061387816</x:v>
      </x:c>
      <x:c r="AM61" s="39" t="n">
        <x:v>0.0383233056</x:v>
      </x:c>
      <x:c r="AN61" s="39" t="n">
        <x:v>-0.0745781969</x:v>
      </x:c>
      <x:c r="AO61" s="39" t="n">
        <x:v>-0.029974251</x:v>
      </x:c>
      <x:c r="AP61" s="39" t="n">
        <x:v>0.0104689166</x:v>
      </x:c>
      <x:c r="AQ61" s="39" t="n">
        <x:v>0.1519793767</x:v>
      </x:c>
      <x:c r="AR61" s="39" t="n">
        <x:v>-0.0482535519</x:v>
      </x:c>
      <x:c r="AS61" s="39" t="n">
        <x:v>0.0302699612</x:v>
      </x:c>
      <x:c r="AT61" s="39" t="n">
        <x:v>0.0016931533</x:v>
      </x:c>
      <x:c r="AU61" s="39" t="n">
        <x:v>0.0109437699</x:v>
      </x:c>
      <x:c r="AV61" s="39" t="n">
        <x:v>0.0121191026</x:v>
      </x:c>
      <x:c r="AW61" s="39" t="n">
        <x:v>0.0110566395</x:v>
      </x:c>
      <x:c r="AX61" s="39" t="n">
        <x:v>-0.0131634624</x:v>
      </x:c>
      <x:c r="AY61" s="39" t="n">
        <x:v>0.0741175656</x:v>
      </x:c>
      <x:c r="AZ61" s="39" t="n">
        <x:v>-0.0198848644</x:v>
      </x:c>
      <x:c r="BA61" s="39" t="n">
        <x:v>-0.0048164816</x:v>
      </x:c>
      <x:c r="BB61" s="39" t="n">
        <x:v>-0.0240207617</x:v>
      </x:c>
      <x:c r="BC61" s="39" t="n">
        <x:v>-0.041236345</x:v>
      </x:c>
      <x:c r="BD61" s="39" t="n">
        <x:v>0.0010946314</x:v>
      </x:c>
      <x:c r="BE61" s="39" t="n">
        <x:v>-0.0366692213</x:v>
      </x:c>
      <x:c r="BF61" s="39" t="n">
        <x:v>0.021085173</x:v>
      </x:c>
      <x:c r="BG61" s="39" t="n">
        <x:v>0.0102569426</x:v>
      </x:c>
      <x:c r="BH61" s="39" t="n">
        <x:v>-0.0439859228</x:v>
      </x:c>
      <x:c r="BI61" s="39" t="n">
        <x:v>0.0052185772</x:v>
      </x:c>
      <x:c r="BJ61" s="39" t="n">
        <x:v>0.0258475257</x:v>
      </x:c>
    </x:row>
    <x:row r="62" ht="19" customHeight="1">
      <x:c r="A62" s="40" t="d">
        <x:v>2025-08-11T00:00:00.000Z</x:v>
      </x:c>
      <x:c r="B62" s="39" t="n">
        <x:v>-0.0030849095</x:v>
      </x:c>
      <x:c r="C62" s="39" t="n">
        <x:v>-0.090448046</x:v>
      </x:c>
      <x:c r="D62" s="39" t="n">
        <x:v>0.0487612016</x:v>
      </x:c>
      <x:c r="E62" s="39" t="n">
        <x:v>0.0161450765</x:v>
      </x:c>
      <x:c r="F62" s="39" t="n">
        <x:v>-0.0710670055</x:v>
      </x:c>
      <x:c r="G62" s="39" t="n">
        <x:v>-0.2966484265</x:v>
      </x:c>
      <x:c r="H62" s="39" t="n">
        <x:v>-0.0454894169</x:v>
      </x:c>
      <x:c r="I62" s="39" t="n">
        <x:v>0.1828179133</x:v>
      </x:c>
      <x:c r="J62" s="39" t="n">
        <x:v>0.0110136441</x:v>
      </x:c>
      <x:c r="K62" s="39" t="n">
        <x:v>-0.0836669993</x:v>
      </x:c>
      <x:c r="L62" s="39" t="n">
        <x:v>-0.0777236474</x:v>
      </x:c>
      <x:c r="M62" s="39" t="n">
        <x:v>-0.0354281223</x:v>
      </x:c>
      <x:c r="N62" s="39" t="n">
        <x:v>0.0581163014</x:v>
      </x:c>
      <x:c r="O62" s="39" t="n">
        <x:v>0.2058492033</x:v>
      </x:c>
      <x:c r="P62" s="39" t="n">
        <x:v>0.1798334475</x:v>
      </x:c>
      <x:c r="Q62" s="39" t="n">
        <x:v>0.086237445</x:v>
      </x:c>
      <x:c r="R62" s="39" t="n">
        <x:v>-0.0111330425</x:v>
      </x:c>
      <x:c r="S62" s="39" t="n">
        <x:v>-0.0324500146</x:v>
      </x:c>
      <x:c r="T62" s="39" t="n">
        <x:v>-0.1418385597</x:v>
      </x:c>
      <x:c r="U62" s="39" t="n">
        <x:v>0.0066975477</x:v>
      </x:c>
      <x:c r="V62" s="39" t="n">
        <x:v>-0.0268046605</x:v>
      </x:c>
      <x:c r="W62" s="39" t="n">
        <x:v>-0.0661697397</x:v>
      </x:c>
      <x:c r="X62" s="39" t="n">
        <x:v>0.084975857</x:v>
      </x:c>
      <x:c r="Y62" s="39" t="n">
        <x:v>0.2698010788</x:v>
      </x:c>
      <x:c r="Z62" s="39" t="n">
        <x:v>0.0022241884</x:v>
      </x:c>
      <x:c r="AA62" s="39" t="n">
        <x:v>0.1290489871</x:v>
      </x:c>
      <x:c r="AB62" s="39" t="n">
        <x:v>-0.2193463084</x:v>
      </x:c>
      <x:c r="AC62" s="39" t="n">
        <x:v>-0.0161316379</x:v>
      </x:c>
      <x:c r="AD62" s="39" t="n">
        <x:v>0.0340598459</x:v>
      </x:c>
      <x:c r="AE62" s="39" t="n">
        <x:v>0.0241722839</x:v>
      </x:c>
      <x:c r="AF62" s="39" t="n">
        <x:v>0.0429294553</x:v>
      </x:c>
      <x:c r="AG62" s="39" t="n">
        <x:v>0.1084915986</x:v>
      </x:c>
      <x:c r="AH62" s="39" t="n">
        <x:v>0.1735546725</x:v>
      </x:c>
      <x:c r="AI62" s="39" t="n">
        <x:v>-0.1823751265</x:v>
      </x:c>
      <x:c r="AJ62" s="39" t="n">
        <x:v>0.030608876</x:v>
      </x:c>
      <x:c r="AK62" s="39" t="n">
        <x:v>-0.1515802057</x:v>
      </x:c>
      <x:c r="AL62" s="39" t="n">
        <x:v>-0.0281825431</x:v>
      </x:c>
      <x:c r="AM62" s="39" t="n">
        <x:v>0.020289213</x:v>
      </x:c>
      <x:c r="AN62" s="39" t="n">
        <x:v>-0.0022529711</x:v>
      </x:c>
      <x:c r="AO62" s="39" t="n">
        <x:v>0.1535703879</x:v>
      </x:c>
      <x:c r="AP62" s="39" t="n">
        <x:v>0.000774859</x:v>
      </x:c>
      <x:c r="AQ62" s="39" t="n">
        <x:v>0.0705803626</x:v>
      </x:c>
      <x:c r="AR62" s="39" t="n">
        <x:v>0.0045238821</x:v>
      </x:c>
      <x:c r="AS62" s="39" t="n">
        <x:v>0.0006697671</x:v>
      </x:c>
      <x:c r="AT62" s="39" t="n">
        <x:v>0.0039790603</x:v>
      </x:c>
      <x:c r="AU62" s="39" t="n">
        <x:v>0.0097611603</x:v>
      </x:c>
      <x:c r="AV62" s="39" t="n">
        <x:v>0.0093310563</x:v>
      </x:c>
      <x:c r="AW62" s="39" t="n">
        <x:v>-0.0076009486</x:v>
      </x:c>
      <x:c r="AX62" s="39" t="n">
        <x:v>-0.0075786572</x:v>
      </x:c>
      <x:c r="AY62" s="39" t="n">
        <x:v>0.0344100444</x:v>
      </x:c>
      <x:c r="AZ62" s="39" t="n">
        <x:v>0.0370410351</x:v>
      </x:c>
      <x:c r="BA62" s="39" t="n">
        <x:v>0.0088452712</x:v>
      </x:c>
      <x:c r="BB62" s="39" t="n">
        <x:v>0.0040787617</x:v>
      </x:c>
      <x:c r="BC62" s="39" t="n">
        <x:v>-0.0193085582</x:v>
      </x:c>
      <x:c r="BD62" s="39" t="n">
        <x:v>-0.0314756387</x:v>
      </x:c>
      <x:c r="BE62" s="39" t="n">
        <x:v>0.0276657171</x:v>
      </x:c>
      <x:c r="BF62" s="39" t="n">
        <x:v>-0.0419103875</x:v>
      </x:c>
      <x:c r="BG62" s="39" t="n">
        <x:v>-0.0278115774</x:v>
      </x:c>
      <x:c r="BH62" s="39" t="n">
        <x:v>-0.0405274305</x:v>
      </x:c>
      <x:c r="BI62" s="39" t="n">
        <x:v>-0.0243171704</x:v>
      </x:c>
      <x:c r="BJ62" s="39" t="n">
        <x:v>0.0138702127</x:v>
      </x:c>
    </x:row>
    <x:row r="63" ht="19" customHeight="1">
      <x:c r="A63" s="40" t="d">
        <x:v>2025-09-08T00:00:00.000Z</x:v>
      </x:c>
      <x:c r="B63" s="39" t="n">
        <x:v>0.0560899844</x:v>
      </x:c>
      <x:c r="C63" s="39" t="n">
        <x:v>-0.2741875769</x:v>
      </x:c>
      <x:c r="D63" s="39" t="n">
        <x:v>-0.0510280847</x:v>
      </x:c>
      <x:c r="E63" s="39" t="n">
        <x:v>0.0129461899</x:v>
      </x:c>
      <x:c r="F63" s="39" t="n">
        <x:v>-0.0537395024</x:v>
      </x:c>
      <x:c r="G63" s="39" t="n">
        <x:v>-0.2195707063</x:v>
      </x:c>
      <x:c r="H63" s="39" t="n">
        <x:v>-0.0830674576</x:v>
      </x:c>
      <x:c r="I63" s="39" t="n">
        <x:v>0.0754215246</x:v>
      </x:c>
      <x:c r="J63" s="39" t="n">
        <x:v>0.2919252225</x:v>
      </x:c>
      <x:c r="K63" s="39" t="n">
        <x:v>0.1210619816</x:v>
      </x:c>
      <x:c r="L63" s="39" t="n">
        <x:v>-0.0638476188</x:v>
      </x:c>
      <x:c r="M63" s="39" t="n">
        <x:v>-0.0306490241</x:v>
      </x:c>
      <x:c r="N63" s="39" t="n">
        <x:v>0.0017295261</x:v>
      </x:c>
      <x:c r="O63" s="39" t="n">
        <x:v>0.331851878</x:v>
      </x:c>
      <x:c r="P63" s="39" t="n">
        <x:v>-0.0392460783</x:v>
      </x:c>
      <x:c r="Q63" s="39" t="n">
        <x:v>0.1559011558</x:v>
      </x:c>
      <x:c r="R63" s="39" t="n">
        <x:v>-0.0586248573</x:v>
      </x:c>
      <x:c r="S63" s="39" t="n">
        <x:v>-0.0135713582</x:v>
      </x:c>
      <x:c r="T63" s="39" t="n">
        <x:v>-0.2964175109</x:v>
      </x:c>
      <x:c r="U63" s="39" t="n">
        <x:v>-0.0354627928</x:v>
      </x:c>
      <x:c r="V63" s="39" t="n">
        <x:v>-0.112092124</x:v>
      </x:c>
      <x:c r="W63" s="39" t="n">
        <x:v>-0.0817305646</x:v>
      </x:c>
      <x:c r="X63" s="39" t="n">
        <x:v>0.3325968105</x:v>
      </x:c>
      <x:c r="Y63" s="39" t="n">
        <x:v>0.1090115526</x:v>
      </x:c>
      <x:c r="Z63" s="39" t="n">
        <x:v>0.0092899019</x:v>
      </x:c>
      <x:c r="AA63" s="39" t="n">
        <x:v>0.0547608623</x:v>
      </x:c>
      <x:c r="AB63" s="39" t="n">
        <x:v>-0.0693536138</x:v>
      </x:c>
      <x:c r="AC63" s="39" t="n">
        <x:v>0.0543662505</x:v>
      </x:c>
      <x:c r="AD63" s="39" t="n">
        <x:v>-0.0508644333</x:v>
      </x:c>
      <x:c r="AE63" s="39" t="n">
        <x:v>0.218458485</x:v>
      </x:c>
      <x:c r="AF63" s="39" t="n">
        <x:v>-0.1565777354</x:v>
      </x:c>
      <x:c r="AG63" s="39" t="n">
        <x:v>0.0280007383</x:v>
      </x:c>
      <x:c r="AH63" s="39" t="n">
        <x:v>-0.2158813363</x:v>
      </x:c>
      <x:c r="AI63" s="39" t="n">
        <x:v>0.0788052988</x:v>
      </x:c>
      <x:c r="AJ63" s="39" t="n">
        <x:v>-0.0209633818</x:v>
      </x:c>
      <x:c r="AK63" s="39" t="n">
        <x:v>0.074935405</x:v>
      </x:c>
      <x:c r="AL63" s="39" t="n">
        <x:v>-0.0643148068</x:v>
      </x:c>
      <x:c r="AM63" s="39" t="n">
        <x:v>0.152618601</x:v>
      </x:c>
      <x:c r="AN63" s="39" t="n">
        <x:v>-0.0282616862</x:v>
      </x:c>
      <x:c r="AO63" s="39" t="n">
        <x:v>0.0459921783</x:v>
      </x:c>
      <x:c r="AP63" s="39" t="n">
        <x:v>-0.0269625511</x:v>
      </x:c>
      <x:c r="AQ63" s="39" t="n">
        <x:v>0.0085704559</x:v>
      </x:c>
      <x:c r="AR63" s="39" t="n">
        <x:v>0.0160433317</x:v>
      </x:c>
      <x:c r="AS63" s="39" t="n">
        <x:v>0.0228380914</x:v>
      </x:c>
      <x:c r="AT63" s="39" t="n">
        <x:v>-0.0040355581</x:v>
      </x:c>
      <x:c r="AU63" s="39" t="n">
        <x:v>0.0036387288</x:v>
      </x:c>
      <x:c r="AV63" s="39" t="n">
        <x:v>0.0034423078</x:v>
      </x:c>
      <x:c r="AW63" s="39" t="n">
        <x:v>0.0198373301</x:v>
      </x:c>
      <x:c r="AX63" s="39" t="n">
        <x:v>-0.0023141424</x:v>
      </x:c>
      <x:c r="AY63" s="39" t="n">
        <x:v>0.0300347223</x:v>
      </x:c>
      <x:c r="AZ63" s="39" t="n">
        <x:v>0.0458205398</x:v>
      </x:c>
      <x:c r="BA63" s="39" t="n">
        <x:v>0.0293645028</x:v>
      </x:c>
      <x:c r="BB63" s="39" t="n">
        <x:v>-0.0425631142</x:v>
      </x:c>
      <x:c r="BC63" s="39" t="n">
        <x:v>0.0351089651</x:v>
      </x:c>
      <x:c r="BD63" s="39" t="n">
        <x:v>0.0093973662</x:v>
      </x:c>
      <x:c r="BE63" s="39" t="n">
        <x:v>0.0040640005</x:v>
      </x:c>
      <x:c r="BF63" s="39" t="n">
        <x:v>-0.018226078</x:v>
      </x:c>
      <x:c r="BG63" s="39" t="n">
        <x:v>0.0038231147</x:v>
      </x:c>
      <x:c r="BH63" s="39" t="n">
        <x:v>0.0141017399</x:v>
      </x:c>
      <x:c r="BI63" s="39" t="n">
        <x:v>-0.0161230338</x:v>
      </x:c>
      <x:c r="BJ63" s="39" t="n">
        <x:v>-0.0167669973</x:v>
      </x:c>
    </x:row>
    <x:row r="64" ht="19" customHeight="1">
      <x:c r="A64" s="40" t="d">
        <x:v>2025-10-06T00:00:00.000Z</x:v>
      </x:c>
      <x:c r="B64" s="39" t="n">
        <x:v>-0.1132246607</x:v>
      </x:c>
      <x:c r="C64" s="39" t="n">
        <x:v>0.118172487</x:v>
      </x:c>
      <x:c r="D64" s="39" t="n">
        <x:v>0.0239856268</x:v>
      </x:c>
      <x:c r="E64" s="39" t="n">
        <x:v>-0.0125606216</x:v>
      </x:c>
      <x:c r="F64" s="39" t="n">
        <x:v>0.01628348</x:v>
      </x:c>
      <x:c r="G64" s="39" t="n">
        <x:v>0.0737653011</x:v>
      </x:c>
      <x:c r="H64" s="39" t="n">
        <x:v>-0.0583332739</x:v>
      </x:c>
      <x:c r="I64" s="39" t="n">
        <x:v>0.046040906</x:v>
      </x:c>
      <x:c r="J64" s="39" t="n">
        <x:v>0.0829432996</x:v>
      </x:c>
      <x:c r="K64" s="39" t="n">
        <x:v>0.0578138141</x:v>
      </x:c>
      <x:c r="L64" s="39" t="n">
        <x:v>0.1178246356</x:v>
      </x:c>
      <x:c r="M64" s="39" t="n">
        <x:v>0.1384091229</x:v>
      </x:c>
      <x:c r="N64" s="39" t="n">
        <x:v>-0.0434796574</x:v>
      </x:c>
      <x:c r="O64" s="39" t="n">
        <x:v>0.1350725297</x:v>
      </x:c>
      <x:c r="P64" s="39" t="n">
        <x:v>0.0890588806</x:v>
      </x:c>
      <x:c r="Q64" s="39" t="n">
        <x:v>-0.0025137116</x:v>
      </x:c>
      <x:c r="R64" s="39" t="n">
        <x:v>0.0688014359</x:v>
      </x:c>
      <x:c r="S64" s="39" t="n">
        <x:v>0.0028076771</x:v>
      </x:c>
      <x:c r="T64" s="39" t="n">
        <x:v>0.2070180289</x:v>
      </x:c>
      <x:c r="U64" s="39" t="n">
        <x:v>-0.0570849554</x:v>
      </x:c>
      <x:c r="V64" s="39" t="n">
        <x:v>0.0110980292</x:v>
      </x:c>
      <x:c r="W64" s="39" t="n">
        <x:v>-0.0449837525</x:v>
      </x:c>
      <x:c r="X64" s="39" t="n">
        <x:v>0.0321969627</x:v>
      </x:c>
      <x:c r="Y64" s="39" t="n">
        <x:v>0.1712984485</x:v>
      </x:c>
      <x:c r="Z64" s="39" t="n">
        <x:v>-0.0183162505</x:v>
      </x:c>
      <x:c r="AA64" s="39" t="n">
        <x:v>0.5877660125</x:v>
      </x:c>
      <x:c r="AB64" s="39" t="n">
        <x:v>-0.1640236981</x:v>
      </x:c>
      <x:c r="AC64" s="39" t="n">
        <x:v>-0.0422707525</x:v>
      </x:c>
      <x:c r="AD64" s="39" t="n">
        <x:v>0.0241394559</x:v>
      </x:c>
      <x:c r="AE64" s="39" t="n">
        <x:v>-0.0882607645</x:v>
      </x:c>
      <x:c r="AF64" s="39" t="n">
        <x:v>-0.0106258539</x:v>
      </x:c>
      <x:c r="AG64" s="39" t="n">
        <x:v>0.0596893369</x:v>
      </x:c>
      <x:c r="AH64" s="39" t="n">
        <x:v>0.3246186132</x:v>
      </x:c>
      <x:c r="AI64" s="39" t="n">
        <x:v>0.0192438909</x:v>
      </x:c>
      <x:c r="AJ64" s="39" t="n">
        <x:v>0.0144393915</x:v>
      </x:c>
      <x:c r="AK64" s="39" t="n">
        <x:v>0.1894385045</x:v>
      </x:c>
      <x:c r="AL64" s="39" t="n">
        <x:v>-0.0069291109</x:v>
      </x:c>
      <x:c r="AM64" s="39" t="n">
        <x:v>-0.0614634475</x:v>
      </x:c>
      <x:c r="AN64" s="39" t="n">
        <x:v>-0.0232340277</x:v>
      </x:c>
      <x:c r="AO64" s="39" t="n">
        <x:v>-0.1097839501</x:v>
      </x:c>
      <x:c r="AP64" s="39" t="n">
        <x:v>-0.0010016636</x:v>
      </x:c>
      <x:c r="AQ64" s="39" t="n">
        <x:v>0.0544168633</x:v>
      </x:c>
      <x:c r="AR64" s="39" t="n">
        <x:v>-0.0105384464</x:v>
      </x:c>
      <x:c r="AS64" s="39" t="n">
        <x:v>-0.0119108888</x:v>
      </x:c>
      <x:c r="AT64" s="39" t="n">
        <x:v>-0.0148339457</x:v>
      </x:c>
      <x:c r="AU64" s="39" t="n">
        <x:v>-0.0144153299</x:v>
      </x:c>
      <x:c r="AV64" s="39" t="n">
        <x:v>-0.014243116</x:v>
      </x:c>
      <x:c r="AW64" s="39" t="n">
        <x:v>-0.0155557543</x:v>
      </x:c>
      <x:c r="AX64" s="39" t="n">
        <x:v>-0.0143618833</x:v>
      </x:c>
      <x:c r="AY64" s="39" t="n">
        <x:v>-0.0055756367</x:v>
      </x:c>
      <x:c r="AZ64" s="39" t="n">
        <x:v>-0.0441020297</x:v>
      </x:c>
      <x:c r="BA64" s="39" t="n">
        <x:v>-0.0435321471</x:v>
      </x:c>
      <x:c r="BB64" s="39" t="n">
        <x:v>-0.0289036354</x:v>
      </x:c>
      <x:c r="BC64" s="39" t="n">
        <x:v>-0.0636098522</x:v>
      </x:c>
      <x:c r="BD64" s="39" t="n">
        <x:v>-0.036602666</x:v>
      </x:c>
      <x:c r="BE64" s="39" t="n">
        <x:v>0.0478294754</x:v>
      </x:c>
      <x:c r="BF64" s="39" t="n">
        <x:v>-0.0077183902</x:v>
      </x:c>
      <x:c r="BG64" s="39" t="n">
        <x:v>-0.0644875455</x:v>
      </x:c>
      <x:c r="BH64" s="39" t="n">
        <x:v>-0.0367252087</x:v>
      </x:c>
      <x:c r="BI64" s="39" t="n">
        <x:v>0.0494359073</x:v>
      </x:c>
      <x:c r="BJ64" s="39" t="n">
        <x:v>0.0850085985</x:v>
      </x:c>
    </x:row>
    <x:row r="65" ht="19" customHeight="1">
      <x:c r="A65" s="40" t="d">
        <x:v>2025-11-03T00:00:00.000Z</x:v>
      </x:c>
      <x:c r="B65" s="39" t="n">
        <x:v>-0.0575897703</x:v>
      </x:c>
      <x:c r="C65" s="39" t="n">
        <x:v>0.3017773154</x:v>
      </x:c>
      <x:c r="D65" s="39" t="n">
        <x:v>0.0765975948</x:v>
      </x:c>
      <x:c r="E65" s="39" t="n">
        <x:v>0.0296267245</x:v>
      </x:c>
      <x:c r="F65" s="39" t="n">
        <x:v>0.0426543754</x:v>
      </x:c>
      <x:c r="G65" s="39" t="n">
        <x:v>-0.3701273278</x:v>
      </x:c>
      <x:c r="H65" s="39" t="n">
        <x:v>0.0828861052</x:v>
      </x:c>
      <x:c r="I65" s="39" t="n">
        <x:v>0.1440052317</x:v>
      </x:c>
      <x:c r="J65" s="39" t="n">
        <x:v>0.2844025664</x:v>
      </x:c>
      <x:c r="K65" s="39" t="n">
        <x:v>0.0548814818</x:v>
      </x:c>
      <x:c r="L65" s="39" t="n">
        <x:v>-0.1192442185</x:v>
      </x:c>
      <x:c r="M65" s="39" t="n">
        <x:v>-0.045052137</x:v>
      </x:c>
      <x:c r="N65" s="39" t="n">
        <x:v>-0.2499622871</x:v>
      </x:c>
      <x:c r="O65" s="39" t="n">
        <x:v>0.4509542879</x:v>
      </x:c>
      <x:c r="P65" s="39" t="n">
        <x:v>-0.1028099594</x:v>
      </x:c>
      <x:c r="Q65" s="39" t="n">
        <x:v>0.311493827</x:v>
      </x:c>
      <x:c r="R65" s="39" t="n">
        <x:v>0.0327726227</x:v>
      </x:c>
      <x:c r="S65" s="39" t="n">
        <x:v>-0.0160906991</x:v>
      </x:c>
      <x:c r="T65" s="39" t="n">
        <x:v>-0.1097998472</x:v>
      </x:c>
      <x:c r="U65" s="39" t="n">
        <x:v>-0.2686227084</x:v>
      </x:c>
      <x:c r="V65" s="39" t="n">
        <x:v>-0.1106681825</x:v>
      </x:c>
      <x:c r="W65" s="39" t="n">
        <x:v>-0.0457551776</x:v>
      </x:c>
      <x:c r="X65" s="39" t="n">
        <x:v>0.3447768436</x:v>
      </x:c>
      <x:c r="Y65" s="39" t="n">
        <x:v>0.0150424042</x:v>
      </x:c>
      <x:c r="Z65" s="39" t="n">
        <x:v>-0.1282184694</x:v>
      </x:c>
      <x:c r="AA65" s="39" t="n">
        <x:v>0.0803731876</x:v>
      </x:c>
      <x:c r="AB65" s="39" t="n">
        <x:v>-0.3252059156</x:v>
      </x:c>
      <x:c r="AC65" s="39" t="n">
        <x:v>0.0332017377</x:v>
      </x:c>
      <x:c r="AD65" s="39" t="n">
        <x:v>0.2106510857</x:v>
      </x:c>
      <x:c r="AE65" s="39" t="n">
        <x:v>-0.1575254762</x:v>
      </x:c>
      <x:c r="AF65" s="39" t="n">
        <x:v>-0.0950211942</x:v>
      </x:c>
      <x:c r="AG65" s="39" t="n">
        <x:v>0.1497784368</x:v>
      </x:c>
      <x:c r="AH65" s="39" t="n">
        <x:v>0.0669620183</x:v>
      </x:c>
      <x:c r="AI65" s="39" t="n">
        <x:v>0.0895642369</x:v>
      </x:c>
      <x:c r="AJ65" s="39" t="n">
        <x:v>0.1620863177</x:v>
      </x:c>
      <x:c r="AK65" s="39" t="n">
        <x:v>0.3076584462</x:v>
      </x:c>
      <x:c r="AL65" s="39" t="n">
        <x:v>-0.0866762784</x:v>
      </x:c>
      <x:c r="AM65" s="39" t="n">
        <x:v>0.1785938646</x:v>
      </x:c>
      <x:c r="AN65" s="39" t="n">
        <x:v>-0.0089461293</x:v>
      </x:c>
      <x:c r="AO65" s="39" t="n">
        <x:v>-0.0325024757</x:v>
      </x:c>
      <x:c r="AP65" s="39" t="n">
        <x:v>0.0884075411</x:v>
      </x:c>
      <x:c r="AQ65" s="39" t="n">
        <x:v>-0.0428761073</x:v>
      </x:c>
      <x:c r="AR65" s="39" t="n">
        <x:v>0.0189152442</x:v>
      </x:c>
      <x:c r="AS65" s="39" t="n">
        <x:v>0.011174721</x:v>
      </x:c>
      <x:c r="AT65" s="39" t="n">
        <x:v>-0.0035432423</x:v>
      </x:c>
      <x:c r="AU65" s="39" t="n">
        <x:v>-0.0072355429</x:v>
      </x:c>
      <x:c r="AV65" s="39" t="n">
        <x:v>-0.0060041275</x:v>
      </x:c>
      <x:c r="AW65" s="39" t="n">
        <x:v>-0.0097495645</x:v>
      </x:c>
      <x:c r="AX65" s="39" t="n">
        <x:v>-0.0116789161</x:v>
      </x:c>
      <x:c r="AY65" s="39" t="n">
        <x:v>0.0390020995</x:v>
      </x:c>
      <x:c r="AZ65" s="39" t="n">
        <x:v>-0.0430645936</x:v>
      </x:c>
      <x:c r="BA65" s="39" t="n">
        <x:v>0.0054756313</x:v>
      </x:c>
      <x:c r="BB65" s="39" t="n">
        <x:v>-0.0427374905</x:v>
      </x:c>
      <x:c r="BC65" s="39" t="n">
        <x:v>0.0591207584</x:v>
      </x:c>
      <x:c r="BD65" s="39" t="n">
        <x:v>-0.0160557563</x:v>
      </x:c>
      <x:c r="BE65" s="39" t="n">
        <x:v>0.0208412337</x:v>
      </x:c>
      <x:c r="BF65" s="39" t="n">
        <x:v>-0.0040537868</x:v>
      </x:c>
      <x:c r="BG65" s="39" t="n">
        <x:v>-0.0455621475</x:v>
      </x:c>
      <x:c r="BH65" s="39" t="n">
        <x:v>-0.0067162681</x:v>
      </x:c>
      <x:c r="BI65" s="39" t="n">
        <x:v>-0.0065936657</x:v>
      </x:c>
      <x:c r="BJ65" s="39" t="n">
        <x:v>-0.0265898661</x:v>
      </x:c>
    </x:row>
    <x:row r="66" ht="19" customHeight="1">
      <x:c r="A66" s="40" t="d">
        <x:v>2025-12-01T00:00:00.000Z</x:v>
      </x:c>
      <x:c r="B66" s="39" t="n">
        <x:v>-0.1368782609</x:v>
      </x:c>
      <x:c r="C66" s="39" t="n">
        <x:v>0.0704477644</x:v>
      </x:c>
      <x:c r="D66" s="39" t="n">
        <x:v>-0.0110491184</x:v>
      </x:c>
      <x:c r="E66" s="39" t="n">
        <x:v>0.0055324847</x:v>
      </x:c>
      <x:c r="F66" s="39" t="n">
        <x:v>-0.1142866304</x:v>
      </x:c>
      <x:c r="G66" s="39" t="n">
        <x:v>0.1131564631</x:v>
      </x:c>
      <x:c r="H66" s="39" t="n">
        <x:v>-0.1110420989</x:v>
      </x:c>
      <x:c r="I66" s="39" t="n">
        <x:v>-0.0815302879</x:v>
      </x:c>
      <x:c r="J66" s="39" t="n">
        <x:v>-0.0724652027</x:v>
      </x:c>
      <x:c r="K66" s="39" t="n">
        <x:v>-0.0583342373</x:v>
      </x:c>
      <x:c r="L66" s="39" t="n">
        <x:v>-0.0961277063</x:v>
      </x:c>
      <x:c r="M66" s="39" t="n">
        <x:v>0.0312449244</x:v>
      </x:c>
      <x:c r="N66" s="39" t="n">
        <x:v>0.0794735744</x:v>
      </x:c>
      <x:c r="O66" s="39" t="n">
        <x:v>-0.0074889768</x:v>
      </x:c>
      <x:c r="P66" s="39" t="n">
        <x:v>0.0151016209</x:v>
      </x:c>
      <x:c r="Q66" s="39" t="n">
        <x:v>-0.0580011119</x:v>
      </x:c>
      <x:c r="R66" s="39" t="n">
        <x:v>-0.0769532661</x:v>
      </x:c>
      <x:c r="S66" s="39" t="n">
        <x:v>-0.2484052045</x:v>
      </x:c>
      <x:c r="T66" s="39" t="n">
        <x:v>0.054105693</x:v>
      </x:c>
      <x:c r="U66" s="39" t="n">
        <x:v>-0.1371364622</x:v>
      </x:c>
      <x:c r="V66" s="39" t="n">
        <x:v>-0.1534506504</x:v>
      </x:c>
      <x:c r="W66" s="39" t="n">
        <x:v>-0.1018468716</x:v>
      </x:c>
      <x:c r="X66" s="39" t="n">
        <x:v>-0.1162757891</x:v>
      </x:c>
      <x:c r="Y66" s="39" t="n">
        <x:v>-0.0339566165</x:v>
      </x:c>
      <x:c r="Z66" s="39" t="n">
        <x:v>0.0116107197</x:v>
      </x:c>
      <x:c r="AA66" s="39" t="n">
        <x:v>0.2252249921</x:v>
      </x:c>
      <x:c r="AB66" s="39" t="n">
        <x:v>0.3353449181</x:v>
      </x:c>
      <x:c r="AC66" s="39" t="n">
        <x:v>-0.0883534788</x:v>
      </x:c>
      <x:c r="AD66" s="39" t="n">
        <x:v>-0.1170122952</x:v>
      </x:c>
      <x:c r="AE66" s="39" t="n">
        <x:v>-0.0258494011</x:v>
      </x:c>
      <x:c r="AF66" s="39" t="n">
        <x:v>-0.0209198913</x:v>
      </x:c>
      <x:c r="AG66" s="39" t="n">
        <x:v>-0.0677819315</x:v>
      </x:c>
      <x:c r="AH66" s="39" t="n">
        <x:v>-0.1794788582</x:v>
      </x:c>
      <x:c r="AI66" s="39" t="n">
        <x:v>0.0411220635</x:v>
      </x:c>
      <x:c r="AJ66" s="39" t="n">
        <x:v>0.0587816525</x:v>
      </x:c>
      <x:c r="AK66" s="39" t="n">
        <x:v>-0.1919508206</x:v>
      </x:c>
      <x:c r="AL66" s="39" t="n">
        <x:v>-0.077355246</x:v>
      </x:c>
      <x:c r="AM66" s="39" t="n">
        <x:v>0.0980709925</x:v>
      </x:c>
      <x:c r="AN66" s="39" t="n">
        <x:v>-0.1049646891</x:v>
      </x:c>
      <x:c r="AO66" s="39" t="n">
        <x:v>-0.0895477766</x:v>
      </x:c>
      <x:c r="AP66" s="39" t="n">
        <x:v>-0.0540351008</x:v>
      </x:c>
      <x:c r="AQ66" s="39" t="n">
        <x:v>0.0336072493</x:v>
      </x:c>
      <x:c r="AR66" s="39" t="n">
        <x:v>-0.0381811247</x:v>
      </x:c>
      <x:c r="AS66" s="39" t="n">
        <x:v>0.0220910283</x:v>
      </x:c>
      <x:c r="AT66" s="39" t="n">
        <x:v>0.006294544</x:v>
      </x:c>
      <x:c r="AU66" s="39" t="n">
        <x:v>0.0095880209</x:v>
      </x:c>
      <x:c r="AV66" s="39" t="n">
        <x:v>0.0094833138</x:v>
      </x:c>
      <x:c r="AW66" s="39" t="n">
        <x:v>0.0362403064</x:v>
      </x:c>
      <x:c r="AX66" s="39" t="n">
        <x:v>0.0059343934</x:v>
      </x:c>
      <x:c r="AY66" s="39" t="n">
        <x:v>0.0316563596</x:v>
      </x:c>
      <x:c r="AZ66" s="39" t="n">
        <x:v>0.0364613358</x:v>
      </x:c>
      <x:c r="BA66" s="39" t="n">
        <x:v>-0.0078036165</x:v>
      </x:c>
      <x:c r="BB66" s="39" t="n">
        <x:v>0.0189715802</x:v>
      </x:c>
      <x:c r="BC66" s="39" t="n">
        <x:v>0.0235941759</x:v>
      </x:c>
      <x:c r="BD66" s="39" t="n">
        <x:v>-0.0025054996</x:v>
      </x:c>
      <x:c r="BE66" s="39" t="n">
        <x:v>0.0533500731</x:v>
      </x:c>
      <x:c r="BF66" s="39" t="n">
        <x:v>-0.0183510161</x:v>
      </x:c>
      <x:c r="BG66" s="39" t="n">
        <x:v>0.0167652938</x:v>
      </x:c>
      <x:c r="BH66" s="39" t="n">
        <x:v>-0.0312646218</x:v>
      </x:c>
      <x:c r="BI66" s="39" t="n">
        <x:v>-0.0201946106</x:v>
      </x:c>
      <x:c r="BJ66" s="39" t="n">
        <x:v>-0.0666045315</x:v>
      </x:c>
    </x:row>
    <x:row r="67" ht="19" customHeight="1">
      <x:c r="A67" s="40" t="d">
        <x:v>2025-12-29T00:00:00.000Z</x:v>
      </x:c>
      <x:c r="B67" s="39" t="n">
        <x:v>-0.0043700166</x:v>
      </x:c>
      <x:c r="C67" s="39" t="n">
        <x:v>-0.0635907882</x:v>
      </x:c>
      <x:c r="D67" s="39" t="n">
        <x:v>-0.0337098986</x:v>
      </x:c>
      <x:c r="E67" s="39" t="n">
        <x:v>-0.0201445153</x:v>
      </x:c>
      <x:c r="F67" s="39" t="n">
        <x:v>0.0970285186</x:v>
      </x:c>
      <x:c r="G67" s="39" t="n">
        <x:v>0.1430329262</x:v>
      </x:c>
      <x:c r="H67" s="39" t="n">
        <x:v>0.0566909925</x:v>
      </x:c>
      <x:c r="I67" s="39" t="n">
        <x:v>-0.0424420262</x:v>
      </x:c>
      <x:c r="J67" s="39" t="n">
        <x:v>0.0429714173</x:v>
      </x:c>
      <x:c r="K67" s="39" t="n">
        <x:v>-0.0876024758</x:v>
      </x:c>
      <x:c r="L67" s="39" t="n">
        <x:v>-0.0077654952</x:v>
      </x:c>
      <x:c r="M67" s="39" t="n">
        <x:v>-0.0426664672</x:v>
      </x:c>
      <x:c r="N67" s="39" t="n">
        <x:v>-0.0134266946</x:v>
      </x:c>
      <x:c r="O67" s="39" t="n">
        <x:v>0.0992602877</x:v>
      </x:c>
      <x:c r="P67" s="39" t="n">
        <x:v>0.0333421562</x:v>
      </x:c>
      <x:c r="Q67" s="39" t="n">
        <x:v>0.0763096349</x:v>
      </x:c>
      <x:c r="R67" s="39" t="n">
        <x:v>-0.0033932931</x:v>
      </x:c>
      <x:c r="S67" s="39" t="n">
        <x:v>-0.0321007222</x:v>
      </x:c>
      <x:c r="T67" s="39" t="n">
        <x:v>0.1213644592</x:v>
      </x:c>
      <x:c r="U67" s="39" t="n">
        <x:v>-0.0227385547</x:v>
      </x:c>
      <x:c r="V67" s="39" t="n">
        <x:v>-0.1287048369</x:v>
      </x:c>
      <x:c r="W67" s="39" t="n">
        <x:v>0.1087444046</x:v>
      </x:c>
      <x:c r="X67" s="39" t="n">
        <x:v>0.4143188177</x:v>
      </x:c>
      <x:c r="Y67" s="39" t="n">
        <x:v>0.0882993272</x:v>
      </x:c>
      <x:c r="Z67" s="39" t="n">
        <x:v>-0.0097406283</x:v>
      </x:c>
      <x:c r="AA67" s="39" t="n">
        <x:v>-0.1268346111</x:v>
      </x:c>
      <x:c r="AB67" s="39" t="n">
        <x:v>-0.0093280224</x:v>
      </x:c>
      <x:c r="AC67" s="39" t="n">
        <x:v>-0.0235680824</x:v>
      </x:c>
      <x:c r="AD67" s="39" t="n">
        <x:v>0.0173106841</x:v>
      </x:c>
      <x:c r="AE67" s="39" t="n">
        <x:v>0.0407691273</x:v>
      </x:c>
      <x:c r="AF67" s="39" t="n">
        <x:v>0.14551929</x:v>
      </x:c>
      <x:c r="AG67" s="39" t="n">
        <x:v>0.1427969406</x:v>
      </x:c>
      <x:c r="AH67" s="39" t="n">
        <x:v>0.0701433996</x:v>
      </x:c>
      <x:c r="AI67" s="39" t="n">
        <x:v>0.0578691005</x:v>
      </x:c>
      <x:c r="AJ67" s="39" t="n">
        <x:v>-0.142598981</x:v>
      </x:c>
      <x:c r="AK67" s="39" t="n">
        <x:v>0.1306043781</x:v>
      </x:c>
      <x:c r="AL67" s="39" t="n">
        <x:v>0.0041973526</x:v>
      </x:c>
      <x:c r="AM67" s="39" t="n">
        <x:v>0.026882263</x:v>
      </x:c>
      <x:c r="AN67" s="39" t="n">
        <x:v>-0.0648777143</x:v>
      </x:c>
      <x:c r="AO67" s="39" t="n">
        <x:v>-0.0582498604</x:v>
      </x:c>
      <x:c r="AP67" s="39" t="n">
        <x:v>-0.019411416</x:v>
      </x:c>
      <x:c r="AQ67" s="39" t="n">
        <x:v>-0.0056935336</x:v>
      </x:c>
      <x:c r="AR67" s="39" t="n">
        <x:v>-0.0639596922</x:v>
      </x:c>
      <x:c r="AS67" s="39" t="n">
        <x:v>0.0221121614</x:v>
      </x:c>
      <x:c r="AT67" s="39" t="n">
        <x:v>0.011238234</x:v>
      </x:c>
      <x:c r="AU67" s="39" t="n">
        <x:v>0.0095564152</x:v>
      </x:c>
      <x:c r="AV67" s="39" t="n">
        <x:v>0.0107219787</x:v>
      </x:c>
      <x:c r="AW67" s="39" t="n">
        <x:v>0.0105975009</x:v>
      </x:c>
      <x:c r="AX67" s="39" t="n">
        <x:v>0.0329757861</x:v>
      </x:c>
      <x:c r="AY67" s="39" t="n">
        <x:v>-0.0010820497</x:v>
      </x:c>
      <x:c r="AZ67" s="39" t="n">
        <x:v>0.0047543079</x:v>
      </x:c>
      <x:c r="BA67" s="39" t="n">
        <x:v>-0.0055770192</x:v>
      </x:c>
      <x:c r="BB67" s="39" t="n">
        <x:v>-0.0034417126</x:v>
      </x:c>
      <x:c r="BC67" s="39" t="n">
        <x:v>-0.0158096318</x:v>
      </x:c>
      <x:c r="BD67" s="39" t="n">
        <x:v>0.0382590757</x:v>
      </x:c>
      <x:c r="BE67" s="39" t="n">
        <x:v>0.0266758545</x:v>
      </x:c>
      <x:c r="BF67" s="39" t="n">
        <x:v>0.0355717942</x:v>
      </x:c>
      <x:c r="BG67" s="39" t="n">
        <x:v>0.076342215</x:v>
      </x:c>
      <x:c r="BH67" s="39" t="n">
        <x:v>-0.0002808698</x:v>
      </x:c>
      <x:c r="BI67" s="39" t="n">
        <x:v>-0.0188771124</x:v>
      </x:c>
      <x:c r="BJ67" s="39" t="n">
        <x:v>0.0047221049</x:v>
      </x:c>
    </x:row>
    <x:row r="68" ht="19" customHeight="1">
      <x:c r="A68" s="40" t="d">
        <x:v>2026-01-26T00:00:00.000Z</x:v>
      </x:c>
      <x:c r="B68" s="39" t="n">
        <x:v>-0.109878319</x:v>
      </x:c>
      <x:c r="C68" s="39" t="n">
        <x:v>0.131349814</x:v>
      </x:c>
      <x:c r="D68" s="39" t="n">
        <x:v>0.0053778864</x:v>
      </x:c>
      <x:c r="E68" s="39" t="n">
        <x:v>0.0223955241</x:v>
      </x:c>
      <x:c r="F68" s="39" t="n">
        <x:v>-0.0388631002</x:v>
      </x:c>
      <x:c r="G68" s="39" t="n">
        <x:v>0.0272318599</x:v>
      </x:c>
      <x:c r="H68" s="39" t="n">
        <x:v>0.1062449615</x:v>
      </x:c>
      <x:c r="I68" s="39" t="n">
        <x:v>-0.0082029663</x:v>
      </x:c>
      <x:c r="J68" s="39" t="n">
        <x:v>0.4084015573</x:v>
      </x:c>
      <x:c r="K68" s="39" t="n">
        <x:v>-0.0697378494</x:v>
      </x:c>
      <x:c r="L68" s="39" t="n">
        <x:v>0.0320344805</x:v>
      </x:c>
      <x:c r="M68" s="39" t="n">
        <x:v>0.0066857022</x:v>
      </x:c>
      <x:c r="N68" s="39" t="n">
        <x:v>-0.0602028481</x:v>
      </x:c>
      <x:c r="O68" s="39" t="n">
        <x:v>0.2587673252</x:v>
      </x:c>
      <x:c r="P68" s="39" t="n">
        <x:v>0.067559878</x:v>
      </x:c>
      <x:c r="Q68" s="39" t="n">
        <x:v>0.1034181168</x:v>
      </x:c>
      <x:c r="R68" s="39" t="n">
        <x:v>-0.0352457316</x:v>
      </x:c>
      <x:c r="S68" s="39" t="n">
        <x:v>-0.183972029</x:v>
      </x:c>
      <x:c r="T68" s="39" t="n">
        <x:v>0.3916382151</x:v>
      </x:c>
      <x:c r="U68" s="39" t="n">
        <x:v>-0.349113103</x:v>
      </x:c>
      <x:c r="V68" s="39" t="n">
        <x:v>-0.1406043744</x:v>
      </x:c>
      <x:c r="W68" s="39" t="n">
        <x:v>-0.0581079698</x:v>
      </x:c>
      <x:c r="X68" s="39" t="n">
        <x:v>0.3383117617</x:v>
      </x:c>
      <x:c r="Y68" s="39" t="n">
        <x:v>-0.1026167442</x:v>
      </x:c>
      <x:c r="Z68" s="39" t="n">
        <x:v>-0.0666221736</x:v>
      </x:c>
      <x:c r="AA68" s="39" t="n">
        <x:v>0.2864875093</x:v>
      </x:c>
      <x:c r="AB68" s="39" t="n">
        <x:v>-0.1642992476</x:v>
      </x:c>
      <x:c r="AC68" s="39" t="n">
        <x:v>-0.0107384961</x:v>
      </x:c>
      <x:c r="AD68" s="39" t="n">
        <x:v>-0.0855936034</x:v>
      </x:c>
      <x:c r="AE68" s="39" t="n">
        <x:v>-0.1132842155</x:v>
      </x:c>
      <x:c r="AF68" s="39" t="n">
        <x:v>-0.0588897061</x:v>
      </x:c>
      <x:c r="AG68" s="39" t="n">
        <x:v>0.1260879015</x:v>
      </x:c>
      <x:c r="AH68" s="39" t="n">
        <x:v>0.0275880243</x:v>
      </x:c>
      <x:c r="AI68" s="39" t="n">
        <x:v>-0.0400076583</x:v>
      </x:c>
      <x:c r="AJ68" s="39" t="n">
        <x:v>-0.0963804981</x:v>
      </x:c>
      <x:c r="AK68" s="39" t="n">
        <x:v>-0.0593840581</x:v>
      </x:c>
      <x:c r="AL68" s="39" t="n">
        <x:v>-0.1201206717</x:v>
      </x:c>
      <x:c r="AM68" s="39" t="n">
        <x:v>0.0961224775</x:v>
      </x:c>
      <x:c r="AN68" s="39" t="n">
        <x:v>-0.0085020818</x:v>
      </x:c>
      <x:c r="AO68" s="39" t="n">
        <x:v>0.0154582625</x:v>
      </x:c>
      <x:c r="AP68" s="39" t="n">
        <x:v>-0.0041064379</x:v>
      </x:c>
      <x:c r="AQ68" s="39" t="n">
        <x:v>0.0782385616</x:v>
      </x:c>
      <x:c r="AR68" s="39" t="n">
        <x:v>-0.0617150812</x:v>
      </x:c>
      <x:c r="AS68" s="39" t="n">
        <x:v>0.0372953986</x:v>
      </x:c>
      <x:c r="AT68" s="39" t="n">
        <x:v>0.0183242146</x:v>
      </x:c>
      <x:c r="AU68" s="39" t="n">
        <x:v>0.0170001845</x:v>
      </x:c>
      <x:c r="AV68" s="39" t="n">
        <x:v>0.0157486159</x:v>
      </x:c>
      <x:c r="AW68" s="39" t="n">
        <x:v>0.0589010183</x:v>
      </x:c>
      <x:c r="AX68" s="39" t="n">
        <x:v>-0.0020556954</x:v>
      </x:c>
      <x:c r="AY68" s="39" t="n">
        <x:v>0.0192042527</x:v>
      </x:c>
      <x:c r="AZ68" s="39" t="n">
        <x:v>0.0243655012</x:v>
      </x:c>
      <x:c r="BA68" s="39" t="n">
        <x:v>0.0200932874</x:v>
      </x:c>
      <x:c r="BB68" s="39" t="n">
        <x:v>0.0995030391</x:v>
      </x:c>
      <x:c r="BC68" s="39" t="n">
        <x:v>0.151976965</x:v>
      </x:c>
      <x:c r="BD68" s="39" t="n">
        <x:v>-0.0584629328</x:v>
      </x:c>
      <x:c r="BE68" s="39" t="n">
        <x:v>-0.0178346832</x:v>
      </x:c>
      <x:c r="BF68" s="39" t="n">
        <x:v>0.0498840656</x:v>
      </x:c>
      <x:c r="BG68" s="39" t="n">
        <x:v>0.0858104407</x:v>
      </x:c>
      <x:c r="BH68" s="39" t="n">
        <x:v>0.0275116936</x:v>
      </x:c>
      <x:c r="BI68" s="39" t="n">
        <x:v>-0.0316943724</x:v>
      </x:c>
      <x:c r="BJ68" s="39" t="n">
        <x:v>-0.0079930491</x:v>
      </x:c>
    </x:row>
    <x:row r="69" ht="19" customHeight="1">
      <x:c r="A69" s="40" t="d">
        <x:v>2026-02-23T00:00:00.000Z</x:v>
      </x:c>
      <x:c r="B69" s="39" t="n">
        <x:v>0.0825304055</x:v>
      </x:c>
      <x:c r="C69" s="39" t="n">
        <x:v>-0.167588247</x:v>
      </x:c>
      <x:c r="D69" s="39" t="n">
        <x:v>0.0061960077</x:v>
      </x:c>
      <x:c r="E69" s="39" t="n">
        <x:v>0.028747487</x:v>
      </x:c>
      <x:c r="F69" s="39" t="n">
        <x:v>-0.0319968472</x:v>
      </x:c>
      <x:c r="G69" s="39" t="n">
        <x:v>-0.0264520349</x:v>
      </x:c>
      <x:c r="H69" s="39" t="n">
        <x:v>-0.0311438026</x:v>
      </x:c>
      <x:c r="I69" s="39" t="n">
        <x:v>0.262129022</x:v>
      </x:c>
      <x:c r="J69" s="39" t="n">
        <x:v>0.0222079499</x:v>
      </x:c>
      <x:c r="K69" s="39" t="n">
        <x:v>0.0227578339</x:v>
      </x:c>
      <x:c r="L69" s="39" t="n">
        <x:v>-0.0649691652</x:v>
      </x:c>
      <x:c r="M69" s="39" t="n">
        <x:v>0.0017385991</x:v>
      </x:c>
      <x:c r="N69" s="39" t="n">
        <x:v>-0.016002295</x:v>
      </x:c>
      <x:c r="O69" s="39" t="n">
        <x:v>0.0006889156</x:v>
      </x:c>
      <x:c r="P69" s="39" t="n">
        <x:v>0.0325738716</x:v>
      </x:c>
      <x:c r="Q69" s="39" t="n">
        <x:v>0.0310781269</x:v>
      </x:c>
      <x:c r="R69" s="39" t="n">
        <x:v>0.029622348</x:v>
      </x:c>
      <x:c r="S69" s="39" t="n">
        <x:v>0.0764215542</x:v>
      </x:c>
      <x:c r="T69" s="39" t="n">
        <x:v>0.1866657207</x:v>
      </x:c>
      <x:c r="U69" s="39" t="n">
        <x:v>0.0414919238</x:v>
      </x:c>
      <x:c r="V69" s="39" t="n">
        <x:v>0.1887232975</x:v>
      </x:c>
      <x:c r="W69" s="39" t="n">
        <x:v>-0.0402752408</x:v>
      </x:c>
      <x:c r="X69" s="39" t="n">
        <x:v>-0.0356359601</x:v>
      </x:c>
      <x:c r="Y69" s="39" t="n">
        <x:v>0.0317064202</x:v>
      </x:c>
      <x:c r="Z69" s="39" t="n">
        <x:v>-0.0040024982</x:v>
      </x:c>
      <x:c r="AA69" s="39" t="n">
        <x:v>0.0053241298</x:v>
      </x:c>
      <x:c r="AB69" s="39" t="n">
        <x:v>-0.2900720656</x:v>
      </x:c>
      <x:c r="AC69" s="39" t="n">
        <x:v>0.0332825483</x:v>
      </x:c>
      <x:c r="AD69" s="39" t="n">
        <x:v>0.0032409693</x:v>
      </x:c>
      <x:c r="AE69" s="39" t="n">
        <x:v>0.1170530086</x:v>
      </x:c>
      <x:c r="AF69" s="39" t="n">
        <x:v>-0.0949219827</x:v>
      </x:c>
      <x:c r="AG69" s="39" t="n">
        <x:v>-0.076049361</x:v>
      </x:c>
      <x:c r="AH69" s="39" t="n">
        <x:v>-0.1851108365</x:v>
      </x:c>
      <x:c r="AI69" s="39" t="n">
        <x:v>-0.0416660092</x:v>
      </x:c>
      <x:c r="AJ69" s="39" t="n">
        <x:v>0.0380382816</x:v>
      </x:c>
      <x:c r="AK69" s="39" t="n">
        <x:v>0.295704409</x:v>
      </x:c>
      <x:c r="AL69" s="39" t="n">
        <x:v>-0.0318512967</x:v>
      </x:c>
      <x:c r="AM69" s="39" t="n">
        <x:v>0.0508760928</x:v>
      </x:c>
      <x:c r="AN69" s="39" t="n">
        <x:v>0.010536019</x:v>
      </x:c>
      <x:c r="AO69" s="39" t="n">
        <x:v>-0.0366420676</x:v>
      </x:c>
      <x:c r="AP69" s="39" t="n">
        <x:v>0.0006934539</x:v>
      </x:c>
      <x:c r="AQ69" s="39" t="n">
        <x:v>0.0171135046</x:v>
      </x:c>
      <x:c r="AR69" s="39" t="n">
        <x:v>0.0554174246</x:v>
      </x:c>
      <x:c r="AS69" s="39" t="n">
        <x:v>0.0202956573</x:v>
      </x:c>
      <x:c r="AT69" s="39" t="n">
        <x:v>0.0066067325</x:v>
      </x:c>
      <x:c r="AU69" s="39" t="n">
        <x:v>-0.005424106</x:v>
      </x:c>
      <x:c r="AV69" s="39" t="n">
        <x:v>-0.0046832528</x:v>
      </x:c>
      <x:c r="AW69" s="39" t="n">
        <x:v>0.0311901712</x:v>
      </x:c>
      <x:c r="AX69" s="39" t="n">
        <x:v>0.001251273</x:v>
      </x:c>
      <x:c r="AY69" s="39" t="n">
        <x:v>-0.0132083008</x:v>
      </x:c>
      <x:c r="AZ69" s="39" t="n">
        <x:v>-0.0118358331</x:v>
      </x:c>
      <x:c r="BA69" s="39" t="n">
        <x:v>-0.0321926622</x:v>
      </x:c>
      <x:c r="BB69" s="39" t="n">
        <x:v>0.1183014556</x:v>
      </x:c>
      <x:c r="BC69" s="39" t="n">
        <x:v>0.1167027698</x:v>
      </x:c>
      <x:c r="BD69" s="39" t="n">
        <x:v>-0.0495901629</x:v>
      </x:c>
      <x:c r="BE69" s="39" t="n">
        <x:v>0.0571046265</x:v>
      </x:c>
      <x:c r="BF69" s="39" t="n">
        <x:v>0.1128738155</x:v>
      </x:c>
      <x:c r="BG69" s="39" t="n">
        <x:v>0.1341453886</x:v>
      </x:c>
      <x:c r="BH69" s="39" t="n">
        <x:v>0.1019205132</x:v>
      </x:c>
      <x:c r="BI69" s="39" t="n">
        <x:v>-0.035172213</x:v>
      </x:c>
      <x:c r="BJ69" s="39" t="n">
        <x:v>0.1526808993</x:v>
      </x:c>
    </x:row>
    <x:row r="70" ht="19" customHeight="1">
      <x:c r="A70" s="40" t="d">
        <x:v>2026-03-23T00:00:00.000Z</x:v>
      </x:c>
      <x:c r="B70" s="39" t="n">
        <x:v>-0.1610221569</x:v>
      </x:c>
      <x:c r="C70" s="39" t="n">
        <x:v>0.1205730995</x:v>
      </x:c>
      <x:c r="D70" s="39" t="n">
        <x:v>0.0062918227</x:v>
      </x:c>
      <x:c r="E70" s="39" t="n">
        <x:v>0.0850561341</x:v>
      </x:c>
      <x:c r="F70" s="39" t="n">
        <x:v>-0.0629193934</x:v>
      </x:c>
      <x:c r="G70" s="39" t="n">
        <x:v>-0.1036068678</x:v>
      </x:c>
      <x:c r="H70" s="39" t="n">
        <x:v>0.0984197628</x:v>
      </x:c>
      <x:c r="I70" s="39" t="n">
        <x:v>0.1110559972</x:v>
      </x:c>
      <x:c r="J70" s="39" t="n">
        <x:v>0.0089239534</x:v>
      </x:c>
      <x:c r="K70" s="39" t="n">
        <x:v>0.1282718052</x:v>
      </x:c>
      <x:c r="L70" s="39" t="n">
        <x:v>0.3125107014</x:v>
      </x:c>
      <x:c r="M70" s="39" t="n">
        <x:v>-0.0170822176</x:v>
      </x:c>
      <x:c r="N70" s="39" t="n">
        <x:v>-0.080104386</x:v>
      </x:c>
      <x:c r="O70" s="39" t="n">
        <x:v>0.14888828</x:v>
      </x:c>
      <x:c r="P70" s="39" t="n">
        <x:v>-0.0161210697</x:v>
      </x:c>
      <x:c r="Q70" s="39" t="n">
        <x:v>0.4663001399</x:v>
      </x:c>
      <x:c r="R70" s="39" t="n">
        <x:v>-0.057317429</x:v>
      </x:c>
      <x:c r="S70" s="39" t="n">
        <x:v>0.2595187936</x:v>
      </x:c>
      <x:c r="T70" s="39" t="n">
        <x:v>0.0809478119</x:v>
      </x:c>
      <x:c r="U70" s="39" t="n">
        <x:v>-0.1600291047</x:v>
      </x:c>
      <x:c r="V70" s="39" t="n">
        <x:v>0.078693374</x:v>
      </x:c>
      <x:c r="W70" s="39" t="n">
        <x:v>-0.0127216901</x:v>
      </x:c>
      <x:c r="X70" s="39" t="n">
        <x:v>-0.1607912964</x:v>
      </x:c>
      <x:c r="Y70" s="39" t="n">
        <x:v>-0.2104378279</x:v>
      </x:c>
      <x:c r="Z70" s="39" t="n">
        <x:v>-0.0317577743</x:v>
      </x:c>
      <x:c r="AA70" s="39" t="n">
        <x:v>0.2483644814</x:v>
      </x:c>
      <x:c r="AB70" s="39" t="n">
        <x:v>0.0260314572</x:v>
      </x:c>
      <x:c r="AC70" s="39" t="n">
        <x:v>-0.0516024342</x:v>
      </x:c>
      <x:c r="AD70" s="39" t="n">
        <x:v>-0.1265998912</x:v>
      </x:c>
      <x:c r="AE70" s="39" t="n">
        <x:v>0.145843105</x:v>
      </x:c>
      <x:c r="AF70" s="39" t="n">
        <x:v>-0.0277248478</x:v>
      </x:c>
      <x:c r="AG70" s="39" t="n">
        <x:v>-0.1568591548</x:v>
      </x:c>
      <x:c r="AH70" s="39" t="n">
        <x:v>0.1418175222</x:v>
      </x:c>
      <x:c r="AI70" s="39" t="n">
        <x:v>-0.1457590667</x:v>
      </x:c>
      <x:c r="AJ70" s="39" t="n">
        <x:v>0.0525678176</x:v>
      </x:c>
      <x:c r="AK70" s="39" t="n">
        <x:v>0.007834473</x:v>
      </x:c>
      <x:c r="AL70" s="39" t="n">
        <x:v>-0.0468044513</x:v>
      </x:c>
      <x:c r="AM70" s="39" t="n">
        <x:v>-0.0460008075</x:v>
      </x:c>
      <x:c r="AN70" s="39" t="n">
        <x:v>0.0997741961</x:v>
      </x:c>
      <x:c r="AO70" s="39" t="n">
        <x:v>-0.0735071287</x:v>
      </x:c>
      <x:c r="AP70" s="39" t="n">
        <x:v>0.0026560885</x:v>
      </x:c>
      <x:c r="AQ70" s="39" t="n">
        <x:v>0.0993771884</x:v>
      </x:c>
      <x:c r="AR70" s="39" t="n">
        <x:v>-0.0235962492</x:v>
      </x:c>
      <x:c r="AS70" s="39" t="n">
        <x:v>-0.0775449863</x:v>
      </x:c>
      <x:c r="AT70" s="39" t="n">
        <x:v>-0.0339320071</x:v>
      </x:c>
      <x:c r="AU70" s="39" t="n">
        <x:v>-0.0405612991</x:v>
      </x:c>
      <x:c r="AV70" s="39" t="n">
        <x:v>-0.0358792645</x:v>
      </x:c>
      <x:c r="AW70" s="39" t="n">
        <x:v>-0.0485309254</x:v>
      </x:c>
      <x:c r="AX70" s="39" t="n">
        <x:v>-0.0025391235</x:v>
      </x:c>
      <x:c r="AY70" s="39" t="n">
        <x:v>-0.1172105284</x:v>
      </x:c>
      <x:c r="AZ70" s="39" t="n">
        <x:v>-0.035765357</x:v>
      </x:c>
      <x:c r="BA70" s="39" t="n">
        <x:v>-0.006732414</x:v>
      </x:c>
      <x:c r="BB70" s="39" t="n">
        <x:v>-0.0929632836</x:v>
      </x:c>
      <x:c r="BC70" s="39" t="n">
        <x:v>0.1414445631</x:v>
      </x:c>
      <x:c r="BD70" s="39" t="n">
        <x:v>-0.0127129943</x:v>
      </x:c>
      <x:c r="BE70" s="39" t="n">
        <x:v>-0.1145832374</x:v>
      </x:c>
      <x:c r="BF70" s="39" t="n">
        <x:v>-0.0609757976</x:v>
      </x:c>
      <x:c r="BG70" s="39" t="n">
        <x:v>-0.0384074099</x:v>
      </x:c>
      <x:c r="BH70" s="39" t="n">
        <x:v>-0.02860967</x:v>
      </x:c>
      <x:c r="BI70" s="39" t="n">
        <x:v>0.0720231032</x:v>
      </x:c>
      <x:c r="BJ70" s="39" t="n">
        <x:v>-0.0152680964</x:v>
      </x:c>
    </x:row>
    <x:row r="71" ht="19" customHeight="1">
      <x:c r="A71" s="40" t="d">
        <x:v>2026-04-20T00:00:00.000Z</x:v>
      </x:c>
      <x:c r="B71" s="39" t="n">
        <x:v>-0.1592193606</x:v>
      </x:c>
      <x:c r="C71" s="39" t="n">
        <x:v>-0.0397447885</x:v>
      </x:c>
      <x:c r="D71" s="39" t="n">
        <x:v>0.0291612849</x:v>
      </x:c>
      <x:c r="E71" s="39" t="n">
        <x:v>0.030572461</x:v>
      </x:c>
      <x:c r="F71" s="39" t="n">
        <x:v>-0.0711318374</x:v>
      </x:c>
      <x:c r="G71" s="39" t="n">
        <x:v>-0.0382881336</x:v>
      </x:c>
      <x:c r="H71" s="39" t="n">
        <x:v>0.145617657</x:v>
      </x:c>
      <x:c r="I71" s="39" t="n">
        <x:v>0.0177150279</x:v>
      </x:c>
      <x:c r="J71" s="39" t="n">
        <x:v>0.1009162321</x:v>
      </x:c>
      <x:c r="K71" s="39" t="n">
        <x:v>0.0258388016</x:v>
      </x:c>
      <x:c r="L71" s="39" t="n">
        <x:v>0.0402904283</x:v>
      </x:c>
      <x:c r="M71" s="39" t="n">
        <x:v>-0.0386763908</x:v>
      </x:c>
      <x:c r="N71" s="39" t="n">
        <x:v>-0.1769802723</x:v>
      </x:c>
      <x:c r="O71" s="39" t="n">
        <x:v>0.0905403897</x:v>
      </x:c>
      <x:c r="P71" s="39" t="n">
        <x:v>0.025251204</x:v>
      </x:c>
      <x:c r="Q71" s="39" t="n">
        <x:v>-0.0807912921</x:v>
      </x:c>
      <x:c r="R71" s="39" t="n">
        <x:v>-0.0438157013</x:v>
      </x:c>
      <x:c r="S71" s="39" t="n">
        <x:v>-0.1983567933</x:v>
      </x:c>
      <x:c r="T71" s="39" t="n">
        <x:v>-0.068525514</x:v>
      </x:c>
      <x:c r="U71" s="39" t="n">
        <x:v>-0.2297853085</x:v>
      </x:c>
      <x:c r="V71" s="39" t="n">
        <x:v>-0.1633472421</x:v>
      </x:c>
      <x:c r="W71" s="39" t="n">
        <x:v>-0.0113851017</x:v>
      </x:c>
      <x:c r="X71" s="39" t="n">
        <x:v>-0.1052741825</x:v>
      </x:c>
      <x:c r="Y71" s="39" t="n">
        <x:v>0.0958325326</x:v>
      </x:c>
      <x:c r="Z71" s="39" t="n">
        <x:v>0.0109960449</x:v>
      </x:c>
      <x:c r="AA71" s="39" t="n">
        <x:v>0.4667577228</x:v>
      </x:c>
      <x:c r="AB71" s="39" t="n">
        <x:v>-0.0342468998</x:v>
      </x:c>
      <x:c r="AC71" s="39" t="n">
        <x:v>-0.0082624933</x:v>
      </x:c>
      <x:c r="AD71" s="39" t="n">
        <x:v>-0.1279845769</x:v>
      </x:c>
      <x:c r="AE71" s="39" t="n">
        <x:v>-0.0459546254</x:v>
      </x:c>
      <x:c r="AF71" s="39" t="n">
        <x:v>0.0556414311</x:v>
      </x:c>
      <x:c r="AG71" s="39" t="n">
        <x:v>-0.1067279365</x:v>
      </x:c>
      <x:c r="AH71" s="39" t="n">
        <x:v>0.1809081609</x:v>
      </x:c>
      <x:c r="AI71" s="39" t="n">
        <x:v>-0.0258223571</x:v>
      </x:c>
      <x:c r="AJ71" s="39" t="n">
        <x:v>-0.0332224556</x:v>
      </x:c>
      <x:c r="AK71" s="39" t="n">
        <x:v>0.1930826811</x:v>
      </x:c>
      <x:c r="AL71" s="39" t="n">
        <x:v>-0.0178238633</x:v>
      </x:c>
      <x:c r="AM71" s="39" t="n">
        <x:v>0.0652383078</x:v>
      </x:c>
      <x:c r="AN71" s="39" t="n">
        <x:v>-0.0656166758</x:v>
      </x:c>
      <x:c r="AO71" s="39" t="n">
        <x:v>-0.0667052491</x:v>
      </x:c>
      <x:c r="AP71" s="39" t="n">
        <x:v>-0.0502225058</x:v>
      </x:c>
      <x:c r="AQ71" s="39" t="n">
        <x:v>-0.0252900147</x:v>
      </x:c>
      <x:c r="AR71" s="39" t="n">
        <x:v>-0.031014561</x:v>
      </x:c>
      <x:c r="AS71" s="39" t="n">
        <x:v>0.0655298189</x:v>
      </x:c>
      <x:c r="AT71" s="39" t="n">
        <x:v>0.0202383175</x:v>
      </x:c>
      <x:c r="AU71" s="39" t="n">
        <x:v>0.0286133945</x:v>
      </x:c>
      <x:c r="AV71" s="39" t="n">
        <x:v>0.0238588656</x:v>
      </x:c>
      <x:c r="AW71" s="39" t="n">
        <x:v>0.0558128236</x:v>
      </x:c>
      <x:c r="AX71" s="39" t="n">
        <x:v>0.0085674949</x:v>
      </x:c>
      <x:c r="AY71" s="39" t="n">
        <x:v>0.185654552</x:v>
      </x:c>
      <x:c r="AZ71" s="39" t="n">
        <x:v>-0.0504376426</x:v>
      </x:c>
      <x:c r="BA71" s="39" t="n">
        <x:v>-0.0294872337</x:v>
      </x:c>
      <x:c r="BB71" s="39" t="n">
        <x:v>-0.0487983997</x:v>
      </x:c>
      <x:c r="BC71" s="39" t="n">
        <x:v>-0.1333114422</x:v>
      </x:c>
      <x:c r="BD71" s="39" t="n">
        <x:v>-0.0365273166</x:v>
      </x:c>
      <x:c r="BE71" s="39" t="n">
        <x:v>-0.0759705646</x:v>
      </x:c>
      <x:c r="BF71" s="39" t="n">
        <x:v>-0.039033174</x:v>
      </x:c>
      <x:c r="BG71" s="39" t="n">
        <x:v>-0.0466265713</x:v>
      </x:c>
      <x:c r="BH71" s="39" t="n">
        <x:v>-0.0063295155</x:v>
      </x:c>
      <x:c r="BI71" s="39" t="n">
        <x:v>0.0579653466</x:v>
      </x:c>
      <x:c r="BJ71" s="39" t="n">
        <x:v>-0.0576493356</x:v>
      </x:c>
    </x:row>
    <x:row r="72" ht="19" customHeight="1">
      <x:c r="A72" s="40" t="d">
        <x:v>2026-05-18T00:00:00.000Z</x:v>
      </x:c>
      <x:c r="B72" s="39" t="n">
        <x:v>-0.0933056743</x:v>
      </x:c>
      <x:c r="C72" s="39" t="n">
        <x:v>0.0336924383</x:v>
      </x:c>
      <x:c r="D72" s="39" t="n">
        <x:v>0.0050872517</x:v>
      </x:c>
      <x:c r="E72" s="39" t="n">
        <x:v>0.012223025</x:v>
      </x:c>
      <x:c r="F72" s="39" t="n">
        <x:v>0.0138728806</x:v>
      </x:c>
      <x:c r="G72" s="39" t="n">
        <x:v>-0.0427605189</x:v>
      </x:c>
      <x:c r="H72" s="39" t="n">
        <x:v>-0.0933149332</x:v>
      </x:c>
      <x:c r="I72" s="39" t="n">
        <x:v>-0.036088102</x:v>
      </x:c>
      <x:c r="J72" s="39" t="n">
        <x:v>0.1237280689</x:v>
      </x:c>
      <x:c r="K72" s="39" t="n">
        <x:v>-0.0213954703</x:v>
      </x:c>
      <x:c r="L72" s="39" t="n">
        <x:v>0.0833817887</x:v>
      </x:c>
      <x:c r="M72" s="39" t="n">
        <x:v>0.0164585734</x:v>
      </x:c>
      <x:c r="N72" s="39" t="n">
        <x:v>0.0614936648</x:v>
      </x:c>
      <x:c r="O72" s="39" t="n">
        <x:v>0.0431741371</x:v>
      </x:c>
      <x:c r="P72" s="39" t="n">
        <x:v>0.094388605</x:v>
      </x:c>
      <x:c r="Q72" s="39" t="n">
        <x:v>0.4322207469</x:v>
      </x:c>
      <x:c r="R72" s="39" t="n">
        <x:v>0.0067533939</x:v>
      </x:c>
      <x:c r="S72" s="39" t="n">
        <x:v>0.0164678432</x:v>
      </x:c>
      <x:c r="T72" s="39" t="n">
        <x:v>-0.1383655526</x:v>
      </x:c>
      <x:c r="U72" s="39" t="n">
        <x:v>0.0405150772</x:v>
      </x:c>
      <x:c r="V72" s="39" t="n">
        <x:v>-0.0981163107</x:v>
      </x:c>
      <x:c r="W72" s="39" t="n">
        <x:v>-0.0957315395</x:v>
      </x:c>
      <x:c r="X72" s="39" t="n">
        <x:v>0.2024509762</x:v>
      </x:c>
      <x:c r="Y72" s="39" t="n">
        <x:v>-0.140646634</x:v>
      </x:c>
      <x:c r="Z72" s="39" t="n">
        <x:v>-0.0139661649</x:v>
      </x:c>
      <x:c r="AA72" s="39" t="n">
        <x:v>-0.3439367121</x:v>
      </x:c>
      <x:c r="AB72" s="39" t="n">
        <x:v>-0.2655825003</x:v>
      </x:c>
      <x:c r="AC72" s="39" t="n">
        <x:v>-0.0493658272</x:v>
      </x:c>
      <x:c r="AD72" s="39" t="n">
        <x:v>0.2885278827</x:v>
      </x:c>
      <x:c r="AE72" s="39" t="n">
        <x:v>0.1937676688</x:v>
      </x:c>
      <x:c r="AF72" s="39" t="n">
        <x:v>-0.089184431</x:v>
      </x:c>
      <x:c r="AG72" s="39" t="n">
        <x:v>-0.113308978</x:v>
      </x:c>
      <x:c r="AH72" s="39" t="n">
        <x:v>0.0629499459</x:v>
      </x:c>
      <x:c r="AI72" s="39" t="n">
        <x:v>0.1440980239</x:v>
      </x:c>
      <x:c r="AJ72" s="39" t="n">
        <x:v>0.0536616984</x:v>
      </x:c>
      <x:c r="AK72" s="39" t="n">
        <x:v>0.3946067584</x:v>
      </x:c>
      <x:c r="AL72" s="39" t="n">
        <x:v>-0.1810629198</x:v>
      </x:c>
      <x:c r="AM72" s="39" t="n">
        <x:v>0.0138444619</x:v>
      </x:c>
      <x:c r="AN72" s="39" t="n">
        <x:v>0.0068978078</x:v>
      </x:c>
      <x:c r="AO72" s="39" t="n">
        <x:v>-0.0687847791</x:v>
      </x:c>
      <x:c r="AP72" s="39" t="n">
        <x:v>0.0151533658</x:v>
      </x:c>
      <x:c r="AQ72" s="39" t="n">
        <x:v>0.0111136327</x:v>
      </x:c>
      <x:c r="AR72" s="39" t="n">
        <x:v>0.043904423</x:v>
      </x:c>
      <x:c r="AS72" s="39" t="n">
        <x:v>0.00466015</x:v>
      </x:c>
      <x:c r="AT72" s="39" t="n">
        <x:v>-0.0053423713</x:v>
      </x:c>
      <x:c r="AU72" s="39" t="n">
        <x:v>-0.0159574597</x:v>
      </x:c>
      <x:c r="AV72" s="39" t="n">
        <x:v>-0.015742682</x:v>
      </x:c>
      <x:c r="AW72" s="39" t="n">
        <x:v>0.0002220564</x:v>
      </x:c>
      <x:c r="AX72" s="39" t="n">
        <x:v>-0.0108688803</x:v>
      </x:c>
      <x:c r="AY72" s="39" t="n">
        <x:v>0.0689674292</x:v>
      </x:c>
      <x:c r="AZ72" s="39" t="n">
        <x:v>-0.0630885147</x:v>
      </x:c>
      <x:c r="BA72" s="39" t="n">
        <x:v>-0.0672896001</x:v>
      </x:c>
      <x:c r="BB72" s="39" t="n">
        <x:v>0.0006211752</x:v>
      </x:c>
      <x:c r="BC72" s="39" t="n">
        <x:v>0.0652105919</x:v>
      </x:c>
      <x:c r="BD72" s="39" t="n">
        <x:v>-0.0410693711</x:v>
      </x:c>
      <x:c r="BE72" s="39" t="n">
        <x:v>0.0286673611</x:v>
      </x:c>
      <x:c r="BF72" s="39" t="n">
        <x:v>-0.0691552033</x:v>
      </x:c>
      <x:c r="BG72" s="39" t="n">
        <x:v>-0.1018650669</x:v>
      </x:c>
      <x:c r="BH72" s="39" t="n">
        <x:v>-0.0260588199</x:v>
      </x:c>
      <x:c r="BI72" s="39" t="n">
        <x:v>0.0883128428</x:v>
      </x:c>
      <x:c r="BJ72" s="39" t="n">
        <x:v>-0.0593517893</x:v>
      </x:c>
    </x:row>
    <x:row r="73" ht="19" customHeight="1">
      <x:c r="A73" s="40" t="d">
        <x:v>2026-06-15T00:00:00.000Z</x:v>
      </x:c>
      <x:c r="B73" s="39" t="n">
        <x:v>0.0651471047</x:v>
      </x:c>
      <x:c r="C73" s="39" t="n">
        <x:v>-0.0349096708</x:v>
      </x:c>
      <x:c r="D73" s="39" t="n">
        <x:v>0.0196791755</x:v>
      </x:c>
      <x:c r="E73" s="39" t="n">
        <x:v>-0.0064612812</x:v>
      </x:c>
      <x:c r="F73" s="39" t="n">
        <x:v>0.0637669683</x:v>
      </x:c>
      <x:c r="G73" s="39" t="n">
        <x:v>-0.0297065416</x:v>
      </x:c>
      <x:c r="H73" s="39" t="n">
        <x:v>-0.0752547078</x:v>
      </x:c>
      <x:c r="I73" s="39" t="n">
        <x:v>0.0742802929</x:v>
      </x:c>
      <x:c r="J73" s="39" t="n">
        <x:v>0.3243964785</x:v>
      </x:c>
      <x:c r="K73" s="39" t="n">
        <x:v>0.1160502686</x:v>
      </x:c>
      <x:c r="L73" s="39" t="n">
        <x:v>-0.1514281854</x:v>
      </x:c>
      <x:c r="M73" s="39" t="n">
        <x:v>-0.0793110518</x:v>
      </x:c>
      <x:c r="N73" s="39" t="n">
        <x:v>0.1051886723</x:v>
      </x:c>
      <x:c r="O73" s="39" t="n">
        <x:v>0.3594498048</x:v>
      </x:c>
      <x:c r="P73" s="39" t="n">
        <x:v>-0.0997367804</x:v>
      </x:c>
      <x:c r="Q73" s="39" t="n">
        <x:v>0.0628266787</x:v>
      </x:c>
      <x:c r="R73" s="39" t="n">
        <x:v>-0.1905755997</x:v>
      </x:c>
      <x:c r="S73" s="39" t="n">
        <x:v>0.1095357133</x:v>
      </x:c>
      <x:c r="T73" s="39" t="n">
        <x:v>0.5871482615</x:v>
      </x:c>
      <x:c r="U73" s="39" t="n">
        <x:v>0.0478516341</x:v>
      </x:c>
      <x:c r="V73" s="39" t="n">
        <x:v>-0.1701388896</x:v>
      </x:c>
      <x:c r="W73" s="39" t="n">
        <x:v>0.0134760085</x:v>
      </x:c>
      <x:c r="X73" s="39" t="n">
        <x:v>0.4241338236</x:v>
      </x:c>
      <x:c r="Y73" s="39" t="n">
        <x:v>0.0080638467</x:v>
      </x:c>
      <x:c r="Z73" s="39" t="n">
        <x:v>0.0272080106</x:v>
      </x:c>
      <x:c r="AA73" s="39" t="n">
        <x:v>0.0849700592</x:v>
      </x:c>
      <x:c r="AB73" s="39" t="n">
        <x:v>0.1330473402</x:v>
      </x:c>
      <x:c r="AC73" s="39" t="n">
        <x:v>0.0888750282</x:v>
      </x:c>
      <x:c r="AD73" s="39" t="n">
        <x:v>-0.0307886731</x:v>
      </x:c>
      <x:c r="AE73" s="39" t="n">
        <x:v>0.151753297</x:v>
      </x:c>
      <x:c r="AF73" s="39" t="n">
        <x:v>0.0033433828</x:v>
      </x:c>
      <x:c r="AG73" s="39" t="n">
        <x:v>-0.2031431411</x:v>
      </x:c>
      <x:c r="AH73" s="39" t="n">
        <x:v>0.0074646804</x:v>
      </x:c>
      <x:c r="AI73" s="39" t="n">
        <x:v>-0.0242332351</x:v>
      </x:c>
      <x:c r="AJ73" s="39" t="n">
        <x:v>0.0347072324</x:v>
      </x:c>
      <x:c r="AK73" s="39" t="n">
        <x:v>-0.2868097002</x:v>
      </x:c>
      <x:c r="AL73" s="39" t="n">
        <x:v>-0.150688899</x:v>
      </x:c>
      <x:c r="AM73" s="39" t="n">
        <x:v>0.0448533375</x:v>
      </x:c>
      <x:c r="AN73" s="39" t="n">
        <x:v>-0.0635790157</x:v>
      </x:c>
      <x:c r="AO73" s="39" t="n">
        <x:v>0.1157638779</x:v>
      </x:c>
      <x:c r="AP73" s="39" t="n">
        <x:v>-0.0116708287</x:v>
      </x:c>
      <x:c r="AQ73" s="39" t="n">
        <x:v>-0.0073188085</x:v>
      </x:c>
      <x:c r="AR73" s="39" t="n">
        <x:v>0.0007117391</x:v>
      </x:c>
      <x:c r="AS73" s="39" t="n">
        <x:v>-0.0015334979</x:v>
      </x:c>
      <x:c r="AT73" s="39" t="n">
        <x:v>-0.0149004578</x:v>
      </x:c>
      <x:c r="AU73" s="39" t="n">
        <x:v>-0.019139231</x:v>
      </x:c>
      <x:c r="AV73" s="39" t="n">
        <x:v>-0.0180289853</x:v>
      </x:c>
      <x:c r="AW73" s="39" t="n">
        <x:v>-0.0286741991</x:v>
      </x:c>
      <x:c r="AX73" s="39" t="n">
        <x:v>-0.0292438736</x:v>
      </x:c>
      <x:c r="AY73" s="39" t="n">
        <x:v>0.0065158546</x:v>
      </x:c>
      <x:c r="AZ73" s="39" t="n">
        <x:v>-0.0902225455</x:v>
      </x:c>
      <x:c r="BA73" s="39" t="n">
        <x:v>-0.027823259</x:v>
      </x:c>
      <x:c r="BB73" s="39" t="n">
        <x:v>-0.0324844111</x:v>
      </x:c>
      <x:c r="BC73" s="39" t="n">
        <x:v>-0.1809582499</x:v>
      </x:c>
      <x:c r="BD73" s="39" t="n">
        <x:v>0.0427088421</x:v>
      </x:c>
      <x:c r="BE73" s="39" t="n">
        <x:v>-0.009895702</x:v>
      </x:c>
      <x:c r="BF73" s="39" t="n">
        <x:v>0.0751766319</x:v>
      </x:c>
      <x:c r="BG73" s="39" t="n">
        <x:v>0.0442844056</x:v>
      </x:c>
      <x:c r="BH73" s="39" t="n">
        <x:v>-0.0259747681</x:v>
      </x:c>
      <x:c r="BI73" s="39" t="n">
        <x:v>0.0869129591</x:v>
      </x:c>
      <x:c r="BJ73" s="39" t="n">
        <x:v>-0.0263729722</x:v>
      </x:c>
    </x:row>
    <x:row r="74" ht="19" customHeight="1">
      <x:c r="A74" s="40" t="d">
        <x:v>2026-07-13T00:00:00.000Z</x:v>
      </x:c>
      <x:c r="B74" s="39" t="n">
        <x:v>0.0248765747</x:v>
      </x:c>
      <x:c r="C74" s="39" t="n">
        <x:v>-0.1302689843</x:v>
      </x:c>
      <x:c r="D74" s="39" t="n">
        <x:v>0.0117355947</x:v>
      </x:c>
      <x:c r="E74" s="39" t="n">
        <x:v>-0.0009321588</x:v>
      </x:c>
      <x:c r="F74" s="39" t="n">
        <x:v>-0.0493412879</x:v>
      </x:c>
      <x:c r="G74" s="39" t="n">
        <x:v>0.1537454434</x:v>
      </x:c>
      <x:c r="H74" s="39" t="n">
        <x:v>0.0260045537</x:v>
      </x:c>
      <x:c r="I74" s="39" t="n">
        <x:v>-0.1158043349</x:v>
      </x:c>
      <x:c r="J74" s="39" t="n">
        <x:v>-0.2293093629</x:v>
      </x:c>
      <x:c r="K74" s="39" t="n">
        <x:v>0.2855558699</x:v>
      </x:c>
      <x:c r="L74" s="39" t="n">
        <x:v>0.1764726249</x:v>
      </x:c>
      <x:c r="M74" s="39" t="n">
        <x:v>0.1344834401</x:v>
      </x:c>
      <x:c r="N74" s="39" t="n">
        <x:v>-0.0327847747</x:v>
      </x:c>
      <x:c r="O74" s="39" t="n">
        <x:v>-0.3884174939</x:v>
      </x:c>
      <x:c r="P74" s="39" t="n">
        <x:v>0.1581678572</x:v>
      </x:c>
      <x:c r="Q74" s="39" t="n">
        <x:v>-0.3820409374</x:v>
      </x:c>
      <x:c r="R74" s="39" t="n">
        <x:v>-0.0387565425</x:v>
      </x:c>
      <x:c r="S74" s="39" t="n">
        <x:v>0.3789230095</x:v>
      </x:c>
      <x:c r="T74" s="39" t="n">
        <x:v>-0.1028402639</x:v>
      </x:c>
      <x:c r="U74" s="39" t="n">
        <x:v>0.314498981</x:v>
      </x:c>
      <x:c r="V74" s="39" t="n">
        <x:v>-0.1238921032</x:v>
      </x:c>
      <x:c r="W74" s="39" t="n">
        <x:v>0.0568745812</x:v>
      </x:c>
      <x:c r="X74" s="39" t="n">
        <x:v>-0.1502151698</x:v>
      </x:c>
      <x:c r="Y74" s="39" t="n">
        <x:v>-0.2124177202</x:v>
      </x:c>
      <x:c r="Z74" s="39" t="n">
        <x:v>-0.0595400464</x:v>
      </x:c>
      <x:c r="AA74" s="39" t="n">
        <x:v>0.5342571526</x:v>
      </x:c>
      <x:c r="AB74" s="39" t="n">
        <x:v>-0.0307286753</x:v>
      </x:c>
      <x:c r="AC74" s="39" t="n">
        <x:v>-0.0228598605</x:v>
      </x:c>
      <x:c r="AD74" s="39" t="n">
        <x:v>0.045372025</x:v>
      </x:c>
      <x:c r="AE74" s="39" t="n">
        <x:v>0.0563912395</x:v>
      </x:c>
      <x:c r="AF74" s="39" t="n">
        <x:v>-0.0034256307</x:v>
      </x:c>
      <x:c r="AG74" s="39" t="n">
        <x:v>-0.093772898</x:v>
      </x:c>
      <x:c r="AH74" s="39" t="n">
        <x:v>0.2594015417</x:v>
      </x:c>
      <x:c r="AI74" s="39" t="n">
        <x:v>0.0140968204</x:v>
      </x:c>
      <x:c r="AJ74" s="39" t="n">
        <x:v>0.1031550027</x:v>
      </x:c>
      <x:c r="AK74" s="39" t="n">
        <x:v>-0.3117303527</x:v>
      </x:c>
      <x:c r="AL74" s="39" t="n">
        <x:v>0.1237080644</x:v>
      </x:c>
      <x:c r="AM74" s="39" t="n">
        <x:v>-0.0851605223</x:v>
      </x:c>
      <x:c r="AN74" s="39" t="n">
        <x:v>-0.0107609929</x:v>
      </x:c>
      <x:c r="AO74" s="39" t="n">
        <x:v>0.0475428383</x:v>
      </x:c>
      <x:c r="AP74" s="39" t="n">
        <x:v>-0.0010046219</x:v>
      </x:c>
      <x:c r="AQ74" s="39" t="n">
        <x:v>0.0109302067</x:v>
      </x:c>
      <x:c r="AR74" s="39" t="n">
        <x:v>-0.0875187436</x:v>
      </x:c>
      <x:c r="AS74" s="39" t="n">
        <x:v>-0.0187179865</x:v>
      </x:c>
      <x:c r="AT74" s="39" t="n">
        <x:v>0.000885019</x:v>
      </x:c>
      <x:c r="AU74" s="39" t="n">
        <x:v>-0.0048794744</x:v>
      </x:c>
      <x:c r="AV74" s="39" t="n">
        <x:v>-0.0054269803</x:v>
      </x:c>
      <x:c r="AW74" s="39" t="n">
        <x:v>-0.0081707824</x:v>
      </x:c>
      <x:c r="AX74" s="39" t="n">
        <x:v>-0.0193054903</x:v>
      </x:c>
      <x:c r="AY74" s="39" t="n">
        <x:v>-0.0075616593</x:v>
      </x:c>
      <x:c r="AZ74" s="39" t="n">
        <x:v>0.0309291065</x:v>
      </x:c>
      <x:c r="BA74" s="39" t="n">
        <x:v>-0.0046255156</x:v>
      </x:c>
      <x:c r="BB74" s="39" t="n">
        <x:v>0.0498777804</x:v>
      </x:c>
      <x:c r="BC74" s="39" t="n">
        <x:v>0.1054770827</x:v>
      </x:c>
      <x:c r="BD74" s="39" t="n">
        <x:v>0.0899431738</x:v>
      </x:c>
      <x:c r="BE74" s="39" t="n">
        <x:v>0.1319725593</x:v>
      </x:c>
      <x:c r="BF74" s="39" t="n">
        <x:v>-0.0056126864</x:v>
      </x:c>
      <x:c r="BG74" s="39" t="n">
        <x:v>-0.0276893035</x:v>
      </x:c>
      <x:c r="BH74" s="39" t="n">
        <x:v>0.0825107859</x:v>
      </x:c>
      <x:c r="BI74" s="39" t="n">
        <x:v>-0.1274451096</x:v>
      </x:c>
      <x:c r="BJ74" s="39" t="n">
        <x:v>0.0256902226</x:v>
      </x:c>
    </x:row>
    <x:row r="75" ht="19" customHeight="1">
      <x:c r="A75" s="40" t="d">
        <x:v>2026-08-10T00:00:00.000Z</x:v>
      </x:c>
      <x:c r="B75" s="39" t="n">
        <x:v>-0.0927763278</x:v>
      </x:c>
      <x:c r="C75" s="39" t="n">
        <x:v>-0.0025210593</x:v>
      </x:c>
      <x:c r="D75" s="39" t="n">
        <x:v>-0.0287950975</x:v>
      </x:c>
      <x:c r="E75" s="39" t="n">
        <x:v>-0.0471141125</x:v>
      </x:c>
      <x:c r="F75" s="39" t="n">
        <x:v>0.0991165138</x:v>
      </x:c>
      <x:c r="G75" s="39" t="n">
        <x:v>-0.0499252562</x:v>
      </x:c>
      <x:c r="H75" s="39" t="n">
        <x:v>0.0430112167</x:v>
      </x:c>
      <x:c r="I75" s="39" t="n">
        <x:v>-0.1212441934</x:v>
      </x:c>
      <x:c r="J75" s="39" t="n">
        <x:v>0.0060466734</x:v>
      </x:c>
      <x:c r="K75" s="39" t="n">
        <x:v>0.0123398957</x:v>
      </x:c>
      <x:c r="L75" s="39" t="n">
        <x:v>-0.0852264671</x:v>
      </x:c>
      <x:c r="M75" s="39" t="n">
        <x:v>-0.0697081991</x:v>
      </x:c>
      <x:c r="N75" s="39" t="n">
        <x:v>-0.0385551595</x:v>
      </x:c>
      <x:c r="O75" s="39" t="n">
        <x:v>-0.1398539859</x:v>
      </x:c>
      <x:c r="P75" s="39" t="n">
        <x:v>-0.1339499332</x:v>
      </x:c>
      <x:c r="Q75" s="39" t="n">
        <x:v>-0.1210540077</x:v>
      </x:c>
      <x:c r="R75" s="39" t="n">
        <x:v>0.1237956178</x:v>
      </x:c>
      <x:c r="S75" s="39" t="n">
        <x:v>0.0924400009</x:v>
      </x:c>
      <x:c r="T75" s="39" t="n">
        <x:v>-0.0284942127</x:v>
      </x:c>
      <x:c r="U75" s="39" t="n">
        <x:v>0.2600666251</x:v>
      </x:c>
      <x:c r="V75" s="39" t="n">
        <x:v>0.1883422864</x:v>
      </x:c>
      <x:c r="W75" s="39" t="n">
        <x:v>0.1343189259</x:v>
      </x:c>
      <x:c r="X75" s="39" t="n">
        <x:v>-0.0793340814</x:v>
      </x:c>
      <x:c r="Y75" s="39" t="n">
        <x:v>0.3657944333</x:v>
      </x:c>
      <x:c r="Z75" s="39" t="n">
        <x:v>-0.003240083</x:v>
      </x:c>
      <x:c r="AA75" s="39" t="n">
        <x:v>0.2197402566</x:v>
      </x:c>
      <x:c r="AB75" s="39" t="n">
        <x:v>-0.0370553298</x:v>
      </x:c>
      <x:c r="AC75" s="39" t="n">
        <x:v>-0.0549645349</x:v>
      </x:c>
      <x:c r="AD75" s="39" t="n">
        <x:v>-0.0525591347</x:v>
      </x:c>
      <x:c r="AE75" s="39" t="n">
        <x:v>0.1768022324</x:v>
      </x:c>
      <x:c r="AF75" s="39" t="n">
        <x:v>0.0822569904</x:v>
      </x:c>
      <x:c r="AG75" s="39" t="n">
        <x:v>0.3032526018</x:v>
      </x:c>
      <x:c r="AH75" s="39" t="n">
        <x:v>-0.2107953261</x:v>
      </x:c>
      <x:c r="AI75" s="39" t="n">
        <x:v>-0.1052805284</x:v>
      </x:c>
      <x:c r="AJ75" s="39" t="n">
        <x:v>-0.0427730528</x:v>
      </x:c>
      <x:c r="AK75" s="39" t="n">
        <x:v>-0.0642512768</x:v>
      </x:c>
      <x:c r="AL75" s="39" t="n">
        <x:v>0.2779090928</x:v>
      </x:c>
      <x:c r="AM75" s="39" t="n">
        <x:v>-0.117862897</x:v>
      </x:c>
      <x:c r="AN75" s="39" t="n">
        <x:v>0.0048364667</x:v>
      </x:c>
      <x:c r="AO75" s="39" t="n">
        <x:v>-0.0389239656</x:v>
      </x:c>
      <x:c r="AP75" s="39" t="n">
        <x:v>0.0757803884</x:v>
      </x:c>
      <x:c r="AQ75" s="39" t="n">
        <x:v>0.0032156991</x:v>
      </x:c>
      <x:c r="AR75" s="39" t="n">
        <x:v>0.0005893226</x:v>
      </x:c>
      <x:c r="AS75" s="39" t="n">
        <x:v>0.0500143813</x:v>
      </x:c>
      <x:c r="AT75" s="39" t="n">
        <x:v>0.0154644223</x:v>
      </x:c>
      <x:c r="AU75" s="39" t="n">
        <x:v>0.0192174074</x:v>
      </x:c>
      <x:c r="AV75" s="39" t="n">
        <x:v>0.018290998</x:v>
      </x:c>
      <x:c r="AW75" s="39" t="n">
        <x:v>0.0207577563</x:v>
      </x:c>
      <x:c r="AX75" s="39" t="n">
        <x:v>0.025362448</x:v>
      </x:c>
      <x:c r="AY75" s="39" t="n">
        <x:v>0.0720471223</x:v>
      </x:c>
      <x:c r="AZ75" s="39" t="n">
        <x:v>-0.0307698375</x:v>
      </x:c>
      <x:c r="BA75" s="39" t="n">
        <x:v>-0.0383272047</x:v>
      </x:c>
      <x:c r="BB75" s="39" t="n">
        <x:v>-0.0128886845</x:v>
      </x:c>
      <x:c r="BC75" s="39" t="n">
        <x:v>0.111499343</x:v>
      </x:c>
      <x:c r="BD75" s="39" t="n">
        <x:v>-0.004503181</x:v>
      </x:c>
      <x:c r="BE75" s="39" t="n">
        <x:v>0.0289462483</x:v>
      </x:c>
      <x:c r="BF75" s="39" t="n">
        <x:v>-0.0011071486</x:v>
      </x:c>
      <x:c r="BG75" s="39" t="n">
        <x:v>0.0110269204</x:v>
      </x:c>
      <x:c r="BH75" s="39" t="n">
        <x:v>-0.0603137857</x:v>
      </x:c>
      <x:c r="BI75" s="39" t="n">
        <x:v>0.0262910176</x:v>
      </x:c>
      <x:c r="BJ75" s="39" t="n">
        <x:v>-0.0636403026</x:v>
      </x:c>
    </x:row>
  </x:sheetData>
  <x:pageMargins left="0.7" right="0.7" top="0.75" bottom="0.75" header="0.3" footer="0.3"/>
</x:worksheet>
</file>

<file path=xl/worksheets/sheet14.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row>
    <x:row r="2" ht="19" customHeight="1">
      <x:c r="A2" s="35" t="str">
        <x:v>Weighted factor returns</x:v>
      </x:c>
      <x:c r="B2" s="24"/>
      <x:c r="C2" s="24"/>
      <x:c r="D2" s="24"/>
      <x:c r="E2" s="24"/>
      <x:c r="F2" s="24"/>
      <x:c r="G2" s="24"/>
      <x:c r="H2" s="24"/>
      <x:c r="I2" s="24"/>
      <x:c r="J2" s="24"/>
      <x:c r="K2" s="24"/>
      <x:c r="L2" s="24"/>
      <x:c r="M2" s="24"/>
      <x:c r="N2" s="24"/>
      <x:c r="O2" s="24"/>
      <x:c r="P2" s="24"/>
      <x:c r="Q2" s="24"/>
      <x:c r="R2" s="24"/>
      <x:c r="S2" s="24"/>
    </x:row>
    <x:row r="3" ht="19" customHeight="1">
      <x:c r="A3" s="28"/>
      <x:c r="B3" s="24"/>
      <x:c r="C3" s="24"/>
      <x:c r="D3" s="24"/>
      <x:c r="E3" s="24"/>
      <x:c r="F3" s="24"/>
      <x:c r="G3" s="24"/>
      <x:c r="H3" s="24"/>
      <x:c r="I3" s="24"/>
      <x:c r="J3" s="24"/>
      <x:c r="K3" s="24"/>
      <x:c r="L3" s="24"/>
      <x:c r="M3" s="24"/>
      <x:c r="N3" s="24"/>
      <x:c r="O3" s="24"/>
      <x:c r="P3" s="24"/>
      <x:c r="Q3" s="24"/>
      <x:c r="R3" s="24"/>
      <x:c r="S3" s="24"/>
    </x:row>
    <x:row r="4" ht="19" customHeight="1">
      <x:c r="A4" s="24"/>
      <x:c r="B4" s="24"/>
      <x:c r="C4" s="24"/>
      <x:c r="D4" s="24"/>
      <x:c r="E4" s="24"/>
      <x:c r="F4" s="24"/>
      <x:c r="G4" s="24"/>
      <x:c r="H4" s="24"/>
      <x:c r="I4" s="24"/>
      <x:c r="J4" s="24"/>
      <x:c r="K4" s="24"/>
      <x:c r="L4" s="24"/>
      <x:c r="M4" s="24"/>
      <x:c r="N4" s="24"/>
      <x:c r="O4" s="24"/>
      <x:c r="P4" s="24"/>
      <x:c r="Q4" s="24"/>
      <x:c r="R4" s="24"/>
      <x:c r="S4" s="24"/>
    </x:row>
    <x:row r="5" ht="42" customHeight="1">
      <x:c r="A5" s="36" t="str">
        <x:v>date</x:v>
      </x:c>
      <x:c r="B5" s="36" t="str">
        <x:v>MXN/USD</x:v>
      </x:c>
      <x:c r="C5" s="36" t="str">
        <x:v>SGD/USD</x:v>
      </x:c>
      <x:c r="D5" s="36" t="str">
        <x:v>DKK/USD</x:v>
      </x:c>
      <x:c r="E5" s="36" t="str">
        <x:v>EUR/USD</x:v>
      </x:c>
      <x:c r="F5" s="36" t="str">
        <x:v>AUD/USD</x:v>
      </x:c>
      <x:c r="G5" s="36" t="str">
        <x:v>CAD/USD</x:v>
      </x:c>
      <x:c r="H5" s="36" t="str">
        <x:v>SPY</x:v>
      </x:c>
      <x:c r="I5" s="36" t="str">
        <x:v>XLC</x:v>
      </x:c>
      <x:c r="J5" s="36" t="str">
        <x:v>XLY</x:v>
      </x:c>
      <x:c r="K5" s="36" t="str">
        <x:v>XLP</x:v>
      </x:c>
      <x:c r="L5" s="36" t="str">
        <x:v>XLE</x:v>
      </x:c>
      <x:c r="M5" s="36" t="str">
        <x:v>XLF</x:v>
      </x:c>
      <x:c r="N5" s="36" t="str">
        <x:v>XLV</x:v>
      </x:c>
      <x:c r="O5" s="36" t="str">
        <x:v>XLI</x:v>
      </x:c>
      <x:c r="P5" s="36" t="str">
        <x:v>XLB</x:v>
      </x:c>
      <x:c r="Q5" s="36" t="str">
        <x:v>XLRE</x:v>
      </x:c>
      <x:c r="R5" s="36" t="str">
        <x:v>XLK</x:v>
      </x:c>
      <x:c r="S5" s="36" t="str">
        <x:v>XLU</x:v>
      </x:c>
    </x:row>
    <x:row r="6" ht="19" customHeight="1">
      <x:c r="A6" s="40" t="d">
        <x:v>2020-07-20T00:00:00.000Z</x:v>
      </x:c>
      <x:c r="B6" s="39" t="n">
        <x:v>0.0186495316</x:v>
      </x:c>
      <x:c r="C6" s="39" t="n">
        <x:v>0.0041527757</x:v>
      </x:c>
      <x:c r="D6" s="39" t="n">
        <x:v>0.0215748786</x:v>
      </x:c>
      <x:c r="E6" s="39" t="n">
        <x:v>0.0207607427</x:v>
      </x:c>
      <x:c r="F6" s="39" t="n">
        <x:v>0.0164747334</x:v>
      </x:c>
      <x:c r="G6" s="39" t="n">
        <x:v>-0.0005148334</x:v>
      </x:c>
      <x:c r="H6" s="39" t="n">
        <x:v>0.0364918849</x:v>
      </x:c>
      <x:c r="I6" s="39" t="n">
        <x:v>0.01167599</x:v>
      </x:c>
      <x:c r="J6" s="39" t="n">
        <x:v>0.013884643</x:v>
      </x:c>
      <x:c r="K6" s="39" t="n">
        <x:v>0.0297248511</x:v>
      </x:c>
      <x:c r="L6" s="39" t="n">
        <x:v>0.0022103663</x:v>
      </x:c>
      <x:c r="M6" s="39" t="n">
        <x:v>0.0082008105</x:v>
      </x:c>
      <x:c r="N6" s="39" t="n">
        <x:v>0.0225153349</x:v>
      </x:c>
      <x:c r="O6" s="39" t="n">
        <x:v>0.0105389804</x:v>
      </x:c>
      <x:c r="P6" s="39" t="n">
        <x:v>0.0390429053</x:v>
      </x:c>
      <x:c r="Q6" s="39" t="n">
        <x:v>-0.008365113</x:v>
      </x:c>
      <x:c r="R6" s="39" t="n">
        <x:v>-0.0332900542</x:v>
      </x:c>
      <x:c r="S6" s="39" t="n">
        <x:v>0.0306442561</x:v>
      </x:c>
    </x:row>
    <x:row r="7" ht="19" customHeight="1">
      <x:c r="A7" s="40" t="d">
        <x:v>2020-08-17T00:00:00.000Z</x:v>
      </x:c>
      <x:c r="B7" s="39" t="n">
        <x:v>0.0077089901</x:v>
      </x:c>
      <x:c r="C7" s="39" t="n">
        <x:v>0.0046140966</x:v>
      </x:c>
      <x:c r="D7" s="39" t="n">
        <x:v>0.0062898063</x:v>
      </x:c>
      <x:c r="E7" s="39" t="n">
        <x:v>0.0067418989</x:v>
      </x:c>
      <x:c r="F7" s="39" t="n">
        <x:v>0.0081724443</x:v>
      </x:c>
      <x:c r="G7" s="39" t="n">
        <x:v>0.0131261715</x:v>
      </x:c>
      <x:c r="H7" s="39" t="n">
        <x:v>0.0310715295</x:v>
      </x:c>
      <x:c r="I7" s="39" t="n">
        <x:v>0.0096920139</x:v>
      </x:c>
      <x:c r="J7" s="39" t="n">
        <x:v>0.0124600773</x:v>
      </x:c>
      <x:c r="K7" s="39" t="n">
        <x:v>0.0052344599</x:v>
      </x:c>
      <x:c r="L7" s="39" t="n">
        <x:v>-0.0357121413</x:v>
      </x:c>
      <x:c r="M7" s="39" t="n">
        <x:v>-0.025793548</x:v>
      </x:c>
      <x:c r="N7" s="39" t="n">
        <x:v>-0.006826031</x:v>
      </x:c>
      <x:c r="O7" s="39" t="n">
        <x:v>0.00461055</x:v>
      </x:c>
      <x:c r="P7" s="39" t="n">
        <x:v>-0.0186071688</x:v>
      </x:c>
      <x:c r="Q7" s="39" t="n">
        <x:v>-0.0036889024</x:v>
      </x:c>
      <x:c r="R7" s="39" t="n">
        <x:v>0.0183998402</x:v>
      </x:c>
      <x:c r="S7" s="39" t="n">
        <x:v>-0.0231489713</x:v>
      </x:c>
    </x:row>
    <x:row r="8" ht="19" customHeight="1">
      <x:c r="A8" s="40" t="d">
        <x:v>2020-09-14T00:00:00.000Z</x:v>
      </x:c>
      <x:c r="B8" s="39" t="n">
        <x:v>0.0216558189</x:v>
      </x:c>
      <x:c r="C8" s="39" t="n">
        <x:v>0.0048260714</x:v>
      </x:c>
      <x:c r="D8" s="39" t="n">
        <x:v>0.00251341</x:v>
      </x:c>
      <x:c r="E8" s="39" t="n">
        <x:v>0.0019210246</x:v>
      </x:c>
      <x:c r="F8" s="39" t="n">
        <x:v>0.0082413712</x:v>
      </x:c>
      <x:c r="G8" s="39" t="n">
        <x:v>0.001623583</x:v>
      </x:c>
      <x:c r="H8" s="39" t="n">
        <x:v>-0.012504665</x:v>
      </x:c>
      <x:c r="I8" s="39" t="n">
        <x:v>-0.0053581519</x:v>
      </x:c>
      <x:c r="J8" s="39" t="n">
        <x:v>0.0132634384</x:v>
      </x:c>
      <x:c r="K8" s="39" t="n">
        <x:v>-0.0013768686</x:v>
      </x:c>
      <x:c r="L8" s="39" t="n">
        <x:v>-0.0607040137</x:v>
      </x:c>
      <x:c r="M8" s="39" t="n">
        <x:v>0.0166349195</x:v>
      </x:c>
      <x:c r="N8" s="39" t="n">
        <x:v>-0.0027261716</x:v>
      </x:c>
      <x:c r="O8" s="39" t="n">
        <x:v>0.0250663963</x:v>
      </x:c>
      <x:c r="P8" s="39" t="n">
        <x:v>0.0444103086</x:v>
      </x:c>
      <x:c r="Q8" s="39" t="n">
        <x:v>0.0106015856</x:v>
      </x:c>
      <x:c r="R8" s="39" t="n">
        <x:v>-0.0111595684</x:v>
      </x:c>
      <x:c r="S8" s="39" t="n">
        <x:v>-0.006128016</x:v>
      </x:c>
    </x:row>
    <x:row r="9" ht="19" customHeight="1">
      <x:c r="A9" s="40" t="d">
        <x:v>2020-10-12T00:00:00.000Z</x:v>
      </x:c>
      <x:c r="B9" s="39" t="n">
        <x:v>0.0000053572</x:v>
      </x:c>
      <x:c r="C9" s="39" t="n">
        <x:v>0.0004591838</x:v>
      </x:c>
      <x:c r="D9" s="39" t="n">
        <x:v>-0.0061415492</x:v>
      </x:c>
      <x:c r="E9" s="39" t="n">
        <x:v>-0.005806247</x:v>
      </x:c>
      <x:c r="F9" s="39" t="n">
        <x:v>-0.0177005379</x:v>
      </x:c>
      <x:c r="G9" s="39" t="n">
        <x:v>0.0026842261</x:v>
      </x:c>
      <x:c r="H9" s="39" t="n">
        <x:v>0.0278489073</x:v>
      </x:c>
      <x:c r="I9" s="39" t="n">
        <x:v>-0.0033486763</x:v>
      </x:c>
      <x:c r="J9" s="39" t="n">
        <x:v>0.010052625</x:v>
      </x:c>
      <x:c r="K9" s="39" t="n">
        <x:v>0.0126430413</x:v>
      </x:c>
      <x:c r="L9" s="39" t="n">
        <x:v>-0.0657399156</x:v>
      </x:c>
      <x:c r="M9" s="39" t="n">
        <x:v>-0.0139306851</x:v>
      </x:c>
      <x:c r="N9" s="39" t="n">
        <x:v>0.0005859411</x:v>
      </x:c>
      <x:c r="O9" s="39" t="n">
        <x:v>-0.0047294967</x:v>
      </x:c>
      <x:c r="P9" s="39" t="n">
        <x:v>-0.012515913</x:v>
      </x:c>
      <x:c r="Q9" s="39" t="n">
        <x:v>-0.0067042842</x:v>
      </x:c>
      <x:c r="R9" s="39" t="n">
        <x:v>0.0069399726</x:v>
      </x:c>
      <x:c r="S9" s="39" t="n">
        <x:v>0.041707511</x:v>
      </x:c>
    </x:row>
    <x:row r="10" ht="19" customHeight="1">
      <x:c r="A10" s="40" t="d">
        <x:v>2020-11-09T00:00:00.000Z</x:v>
      </x:c>
      <x:c r="B10" s="39" t="n">
        <x:v>0.0204297932</x:v>
      </x:c>
      <x:c r="C10" s="39" t="n">
        <x:v>0.0042812319</x:v>
      </x:c>
      <x:c r="D10" s="39" t="n">
        <x:v>0.0051219917</x:v>
      </x:c>
      <x:c r="E10" s="39" t="n">
        <x:v>0.0057817682</x:v>
      </x:c>
      <x:c r="F10" s="39" t="n">
        <x:v>0.0121880069</x:v>
      </x:c>
      <x:c r="G10" s="39" t="n">
        <x:v>0.0047333105</x:v>
      </x:c>
      <x:c r="H10" s="39" t="n">
        <x:v>0.0176325244</x:v>
      </x:c>
      <x:c r="I10" s="39" t="n">
        <x:v>0.01623322</x:v>
      </x:c>
      <x:c r="J10" s="39" t="n">
        <x:v>-0.0111356047</x:v>
      </x:c>
      <x:c r="K10" s="39" t="n">
        <x:v>0.0034505217</x:v>
      </x:c>
      <x:c r="L10" s="39" t="n">
        <x:v>0.0502578319</x:v>
      </x:c>
      <x:c r="M10" s="39" t="n">
        <x:v>0.0291984375</x:v>
      </x:c>
      <x:c r="N10" s="39" t="n">
        <x:v>0.0122894818</x:v>
      </x:c>
      <x:c r="O10" s="39" t="n">
        <x:v>0.0106253477</x:v>
      </x:c>
      <x:c r="P10" s="39" t="n">
        <x:v>0.0111802574</x:v>
      </x:c>
      <x:c r="Q10" s="39" t="n">
        <x:v>0.0121785223</x:v>
      </x:c>
      <x:c r="R10" s="39" t="n">
        <x:v>-0.0246482288</x:v>
      </x:c>
      <x:c r="S10" s="39" t="n">
        <x:v>0.0086977122</x:v>
      </x:c>
    </x:row>
    <x:row r="11" ht="19" customHeight="1">
      <x:c r="A11" s="40" t="d">
        <x:v>2020-12-07T00:00:00.000Z</x:v>
      </x:c>
      <x:c r="B11" s="39" t="n">
        <x:v>0.0076578198</x:v>
      </x:c>
      <x:c r="C11" s="39" t="n">
        <x:v>0.004924254</x:v>
      </x:c>
      <x:c r="D11" s="39" t="n">
        <x:v>0.0142982276</x:v>
      </x:c>
      <x:c r="E11" s="39" t="n">
        <x:v>0.0133544247</x:v>
      </x:c>
      <x:c r="F11" s="39" t="n">
        <x:v>0.0224636627</x:v>
      </x:c>
      <x:c r="G11" s="39" t="n">
        <x:v>0.009409468</x:v>
      </x:c>
      <x:c r="H11" s="39" t="n">
        <x:v>0.0132087009</x:v>
      </x:c>
      <x:c r="I11" s="39" t="n">
        <x:v>0.0148477871</x:v>
      </x:c>
      <x:c r="J11" s="39" t="n">
        <x:v>0.0025555184</x:v>
      </x:c>
      <x:c r="K11" s="39" t="n">
        <x:v>-0.0082780508</x:v>
      </x:c>
      <x:c r="L11" s="39" t="n">
        <x:v>0.096069945</x:v>
      </x:c>
      <x:c r="M11" s="39" t="n">
        <x:v>0.0176761692</x:v>
      </x:c>
      <x:c r="N11" s="39" t="n">
        <x:v>-0.0099577014</x:v>
      </x:c>
      <x:c r="O11" s="39" t="n">
        <x:v>0.006001243</x:v>
      </x:c>
      <x:c r="P11" s="39" t="n">
        <x:v>0.0070076334</x:v>
      </x:c>
      <x:c r="Q11" s="39" t="n">
        <x:v>-0.0256451388</x:v>
      </x:c>
      <x:c r="R11" s="39" t="n">
        <x:v>-0.0038392003</x:v>
      </x:c>
      <x:c r="S11" s="39" t="n">
        <x:v>-0.0430132326</x:v>
      </x:c>
    </x:row>
    <x:row r="12" ht="19" customHeight="1">
      <x:c r="A12" s="40" t="d">
        <x:v>2021-01-04T00:00:00.000Z</x:v>
      </x:c>
      <x:c r="B12" s="39" t="n">
        <x:v>0.0034232717</x:v>
      </x:c>
      <x:c r="C12" s="39" t="n">
        <x:v>0.0050053368</x:v>
      </x:c>
      <x:c r="D12" s="39" t="n">
        <x:v>0.0056719508</x:v>
      </x:c>
      <x:c r="E12" s="39" t="n">
        <x:v>0.005712319</x:v>
      </x:c>
      <x:c r="F12" s="39" t="n">
        <x:v>0.0187765881</x:v>
      </x:c>
      <x:c r="G12" s="39" t="n">
        <x:v>0.0009837006</x:v>
      </x:c>
      <x:c r="H12" s="39" t="n">
        <x:v>0.0262017227</x:v>
      </x:c>
      <x:c r="I12" s="39" t="n">
        <x:v>-0.0165998229</x:v>
      </x:c>
      <x:c r="J12" s="39" t="n">
        <x:v>0.023105817</x:v>
      </x:c>
      <x:c r="K12" s="39" t="n">
        <x:v>-0.0104935051</x:v>
      </x:c>
      <x:c r="L12" s="39" t="n">
        <x:v>-0.0022801908</x:v>
      </x:c>
      <x:c r="M12" s="39" t="n">
        <x:v>0.0294161925</x:v>
      </x:c>
      <x:c r="N12" s="39" t="n">
        <x:v>0.0183737508</x:v>
      </x:c>
      <x:c r="O12" s="39" t="n">
        <x:v>-0.0174276233</x:v>
      </x:c>
      <x:c r="P12" s="39" t="n">
        <x:v>0.0293547751</x:v>
      </x:c>
      <x:c r="Q12" s="39" t="n">
        <x:v>-0.0192303959</x:v>
      </x:c>
      <x:c r="R12" s="39" t="n">
        <x:v>-0.0061747617</x:v>
      </x:c>
      <x:c r="S12" s="39" t="n">
        <x:v>-0.0074205947</x:v>
      </x:c>
    </x:row>
    <x:row r="13" ht="19" customHeight="1">
      <x:c r="A13" s="40" t="d">
        <x:v>2021-02-01T00:00:00.000Z</x:v>
      </x:c>
      <x:c r="B13" s="39" t="n">
        <x:v>-0.0027602822</x:v>
      </x:c>
      <x:c r="C13" s="39" t="n">
        <x:v>-0.0029627376</x:v>
      </x:c>
      <x:c r="D13" s="39" t="n">
        <x:v>-0.0085245135</x:v>
      </x:c>
      <x:c r="E13" s="39" t="n">
        <x:v>-0.0089231023</x:v>
      </x:c>
      <x:c r="F13" s="39" t="n">
        <x:v>-0.012806749</x:v>
      </x:c>
      <x:c r="G13" s="39" t="n">
        <x:v>-0.0036919703</x:v>
      </x:c>
      <x:c r="H13" s="39" t="n">
        <x:v>0.0100674548</x:v>
      </x:c>
      <x:c r="I13" s="39" t="n">
        <x:v>0.0264360887</x:v>
      </x:c>
      <x:c r="J13" s="39" t="n">
        <x:v>0.0076248562</x:v>
      </x:c>
      <x:c r="K13" s="39" t="n">
        <x:v>-0.0155025764</x:v>
      </x:c>
      <x:c r="L13" s="39" t="n">
        <x:v>-0.0012245722</x:v>
      </x:c>
      <x:c r="M13" s="39" t="n">
        <x:v>-0.0104675686</x:v>
      </x:c>
      <x:c r="N13" s="39" t="n">
        <x:v>-0.015094633</x:v>
      </x:c>
      <x:c r="O13" s="39" t="n">
        <x:v>-0.0155537654</x:v>
      </x:c>
      <x:c r="P13" s="39" t="n">
        <x:v>-0.0302037876</x:v>
      </x:c>
      <x:c r="Q13" s="39" t="n">
        <x:v>0.0337645015</x:v>
      </x:c>
      <x:c r="R13" s="39" t="n">
        <x:v>0.0065796694</x:v>
      </x:c>
      <x:c r="S13" s="39" t="n">
        <x:v>0.0052836634</x:v>
      </x:c>
    </x:row>
    <x:row r="14" ht="19" customHeight="1">
      <x:c r="A14" s="40" t="d">
        <x:v>2021-03-01T00:00:00.000Z</x:v>
      </x:c>
      <x:c r="B14" s="39" t="n">
        <x:v>-0.0355413094</x:v>
      </x:c>
      <x:c r="C14" s="39" t="n">
        <x:v>-0.0044613862</x:v>
      </x:c>
      <x:c r="D14" s="39" t="n">
        <x:v>-0.0068221066</x:v>
      </x:c>
      <x:c r="E14" s="39" t="n">
        <x:v>-0.0066988685</x:v>
      </x:c>
      <x:c r="F14" s="39" t="n">
        <x:v>0.0089475711</x:v>
      </x:c>
      <x:c r="G14" s="39" t="n">
        <x:v>0.0100882469</x:v>
      </x:c>
      <x:c r="H14" s="39" t="n">
        <x:v>-0.0064388068</x:v>
      </x:c>
      <x:c r="I14" s="39" t="n">
        <x:v>0.0243210272</x:v>
      </x:c>
      <x:c r="J14" s="39" t="n">
        <x:v>-0.0420948864</x:v>
      </x:c>
      <x:c r="K14" s="39" t="n">
        <x:v>-0.0083932874</x:v>
      </x:c>
      <x:c r="L14" s="39" t="n">
        <x:v>0.1122782019</x:v>
      </x:c>
      <x:c r="M14" s="39" t="n">
        <x:v>0.0565007952</x:v>
      </x:c>
      <x:c r="N14" s="39" t="n">
        <x:v>-0.0128450313</x:v>
      </x:c>
      <x:c r="O14" s="39" t="n">
        <x:v>0.032689914</x:v>
      </x:c>
      <x:c r="P14" s="39" t="n">
        <x:v>0.020767601</x:v>
      </x:c>
      <x:c r="Q14" s="39" t="n">
        <x:v>-0.0076431586</x:v>
      </x:c>
      <x:c r="R14" s="39" t="n">
        <x:v>-0.0192553427</x:v>
      </x:c>
      <x:c r="S14" s="39" t="n">
        <x:v>-0.0386693896</x:v>
      </x:c>
    </x:row>
    <x:row r="15" ht="19" customHeight="1">
      <x:c r="A15" s="40" t="d">
        <x:v>2021-03-29T00:00:00.000Z</x:v>
      </x:c>
      <x:c r="B15" s="39" t="n">
        <x:v>0.0299728026</x:v>
      </x:c>
      <x:c r="C15" s="39" t="n">
        <x:v>-0.0011811456</x:v>
      </x:c>
      <x:c r="D15" s="39" t="n">
        <x:v>-0.0082531688</x:v>
      </x:c>
      <x:c r="E15" s="39" t="n">
        <x:v>-0.0082011916</x:v>
      </x:c>
      <x:c r="F15" s="39" t="n">
        <x:v>-0.007777075</x:v>
      </x:c>
      <x:c r="G15" s="39" t="n">
        <x:v>0.0027258992</x:v>
      </x:c>
      <x:c r="H15" s="39" t="n">
        <x:v>0.0287517761</x:v>
      </x:c>
      <x:c r="I15" s="39" t="n">
        <x:v>-0.0135608694</x:v>
      </x:c>
      <x:c r="J15" s="39" t="n">
        <x:v>0.0222021336</x:v>
      </x:c>
      <x:c r="K15" s="39" t="n">
        <x:v>0.0210973061</x:v>
      </x:c>
      <x:c r="L15" s="39" t="n">
        <x:v>-0.0390110024</x:v>
      </x:c>
      <x:c r="M15" s="39" t="n">
        <x:v>-0.008353083</x:v>
      </x:c>
      <x:c r="N15" s="39" t="n">
        <x:v>0.0055511989</x:v>
      </x:c>
      <x:c r="O15" s="39" t="n">
        <x:v>0.0085369335</x:v>
      </x:c>
      <x:c r="P15" s="39" t="n">
        <x:v>0.0153494928</x:v>
      </x:c>
      <x:c r="Q15" s="39" t="n">
        <x:v>0.0398540793</x:v>
      </x:c>
      <x:c r="R15" s="39" t="n">
        <x:v>-0.0094565289</x:v>
      </x:c>
      <x:c r="S15" s="39" t="n">
        <x:v>0.0332500322</x:v>
      </x:c>
    </x:row>
    <x:row r="16" ht="19" customHeight="1">
      <x:c r="A16" s="40" t="d">
        <x:v>2021-04-26T00:00:00.000Z</x:v>
      </x:c>
      <x:c r="B16" s="39" t="n">
        <x:v>0.0023697595</x:v>
      </x:c>
      <x:c r="C16" s="39" t="n">
        <x:v>0.0069630341</x:v>
      </x:c>
      <x:c r="D16" s="39" t="n">
        <x:v>0.0138879181</x:v>
      </x:c>
      <x:c r="E16" s="39" t="n">
        <x:v>0.0137049965</x:v>
      </x:c>
      <x:c r="F16" s="39" t="n">
        <x:v>0.0081628589</x:v>
      </x:c>
      <x:c r="G16" s="39" t="n">
        <x:v>0.0096975008</x:v>
      </x:c>
      <x:c r="H16" s="39" t="n">
        <x:v>0.0255525214</x:v>
      </x:c>
      <x:c r="I16" s="39" t="n">
        <x:v>0.0066852496</x:v>
      </x:c>
      <x:c r="J16" s="39" t="n">
        <x:v>0.0114406537</x:v>
      </x:c>
      <x:c r="K16" s="39" t="n">
        <x:v>0.0031028026</x:v>
      </x:c>
      <x:c r="L16" s="39" t="n">
        <x:v>-0.0261201672</x:v>
      </x:c>
      <x:c r="M16" s="39" t="n">
        <x:v>0.0094099778</x:v>
      </x:c>
      <x:c r="N16" s="39" t="n">
        <x:v>0.0127518319</x:v>
      </x:c>
      <x:c r="O16" s="39" t="n">
        <x:v>-0.0052256665</x:v>
      </x:c>
      <x:c r="P16" s="39" t="n">
        <x:v>0.0091937719</x:v>
      </x:c>
      <x:c r="Q16" s="39" t="n">
        <x:v>0.023770444</x:v>
      </x:c>
      <x:c r="R16" s="39" t="n">
        <x:v>-0.0173804799</x:v>
      </x:c>
      <x:c r="S16" s="39" t="n">
        <x:v>0.0132597324</x:v>
      </x:c>
    </x:row>
    <x:row r="17" ht="19" customHeight="1">
      <x:c r="A17" s="40" t="d">
        <x:v>2021-05-24T00:00:00.000Z</x:v>
      </x:c>
      <x:c r="B17" s="39" t="n">
        <x:v>0.0099577389</x:v>
      </x:c>
      <x:c r="C17" s="39" t="n">
        <x:v>0.0037262612</x:v>
      </x:c>
      <x:c r="D17" s="39" t="n">
        <x:v>0.0090181656</x:v>
      </x:c>
      <x:c r="E17" s="39" t="n">
        <x:v>0.0090361951</x:v>
      </x:c>
      <x:c r="F17" s="39" t="n">
        <x:v>0.0019304809</x:v>
      </x:c>
      <x:c r="G17" s="39" t="n">
        <x:v>0.018231375</x:v>
      </x:c>
      <x:c r="H17" s="39" t="n">
        <x:v>0.0041552523</x:v>
      </x:c>
      <x:c r="I17" s="39" t="n">
        <x:v>0.0040219498</x:v>
      </x:c>
      <x:c r="J17" s="39" t="n">
        <x:v>-0.0194718143</x:v>
      </x:c>
      <x:c r="K17" s="39" t="n">
        <x:v>0.0083316361</x:v>
      </x:c>
      <x:c r="L17" s="39" t="n">
        <x:v>0.0166094589</x:v>
      </x:c>
      <x:c r="M17" s="39" t="n">
        <x:v>0.0244404712</x:v>
      </x:c>
      <x:c r="N17" s="39" t="n">
        <x:v>0.0082176579</x:v>
      </x:c>
      <x:c r="O17" s="39" t="n">
        <x:v>0.0133287019</x:v>
      </x:c>
      <x:c r="P17" s="39" t="n">
        <x:v>0.029612895</x:v>
      </x:c>
      <x:c r="Q17" s="39" t="n">
        <x:v>0.0087089084</x:v>
      </x:c>
      <x:c r="R17" s="39" t="n">
        <x:v>-0.0113013269</x:v>
      </x:c>
      <x:c r="S17" s="39" t="n">
        <x:v>-0.0193552187</x:v>
      </x:c>
    </x:row>
    <x:row r="18" ht="19" customHeight="1">
      <x:c r="A18" s="40" t="d">
        <x:v>2021-06-21T00:00:00.000Z</x:v>
      </x:c>
      <x:c r="B18" s="39" t="n">
        <x:v>0.0032750523</x:v>
      </x:c>
      <x:c r="C18" s="39" t="n">
        <x:v>-0.0099011329</x:v>
      </x:c>
      <x:c r="D18" s="39" t="n">
        <x:v>-0.0137216941</x:v>
      </x:c>
      <x:c r="E18" s="39" t="n">
        <x:v>-0.0136744459</x:v>
      </x:c>
      <x:c r="F18" s="39" t="n">
        <x:v>-0.0128949568</x:v>
      </x:c>
      <x:c r="G18" s="39" t="n">
        <x:v>-0.0166569349</x:v>
      </x:c>
      <x:c r="H18" s="39" t="n">
        <x:v>0.0120969621</x:v>
      </x:c>
      <x:c r="I18" s="39" t="n">
        <x:v>0.0068571222</x:v>
      </x:c>
      <x:c r="J18" s="39" t="n">
        <x:v>0.0127719269</x:v>
      </x:c>
      <x:c r="K18" s="39" t="n">
        <x:v>-0.0122002946</x:v>
      </x:c>
      <x:c r="L18" s="39" t="n">
        <x:v>0.0269070465</x:v>
      </x:c>
      <x:c r="M18" s="39" t="n">
        <x:v>-0.0271866134</x:v>
      </x:c>
      <x:c r="N18" s="39" t="n">
        <x:v>0.006197789</x:v>
      </x:c>
      <x:c r="O18" s="39" t="n">
        <x:v>-0.028318164</x:v>
      </x:c>
      <x:c r="P18" s="39" t="n">
        <x:v>-0.0441344952</x:v>
      </x:c>
      <x:c r="Q18" s="39" t="n">
        <x:v>0.0199837933</x:v>
      </x:c>
      <x:c r="R18" s="39" t="n">
        <x:v>0.0152458447</x:v>
      </x:c>
      <x:c r="S18" s="39" t="n">
        <x:v>-0.0143336559</x:v>
      </x:c>
    </x:row>
    <x:row r="19" ht="19" customHeight="1">
      <x:c r="A19" s="40" t="d">
        <x:v>2021-07-19T00:00:00.000Z</x:v>
      </x:c>
      <x:c r="B19" s="39" t="n">
        <x:v>-0.0076242443</x:v>
      </x:c>
      <x:c r="C19" s="39" t="n">
        <x:v>-0.008459875</x:v>
      </x:c>
      <x:c r="D19" s="39" t="n">
        <x:v>-0.0090105517</x:v>
      </x:c>
      <x:c r="E19" s="39" t="n">
        <x:v>-0.0090961232</x:v>
      </x:c>
      <x:c r="F19" s="39" t="n">
        <x:v>-0.0193891754</x:v>
      </x:c>
      <x:c r="G19" s="39" t="n">
        <x:v>-0.0200834483</x:v>
      </x:c>
      <x:c r="H19" s="39" t="n">
        <x:v>0.0200938871</x:v>
      </x:c>
      <x:c r="I19" s="39" t="n">
        <x:v>0.0059501056</x:v>
      </x:c>
      <x:c r="J19" s="39" t="n">
        <x:v>0.0030245434</x:v>
      </x:c>
      <x:c r="K19" s="39" t="n">
        <x:v>0.0066749124</x:v>
      </x:c>
      <x:c r="L19" s="39" t="n">
        <x:v>-0.101498578</x:v>
      </x:c>
      <x:c r="M19" s="39" t="n">
        <x:v>-0.0298698284</x:v>
      </x:c>
      <x:c r="N19" s="39" t="n">
        <x:v>0.0185689263</x:v>
      </x:c>
      <x:c r="O19" s="39" t="n">
        <x:v>-0.0121313061</x:v>
      </x:c>
      <x:c r="P19" s="39" t="n">
        <x:v>-0.0171882115</x:v>
      </x:c>
      <x:c r="Q19" s="39" t="n">
        <x:v>0.0110877191</x:v>
      </x:c>
      <x:c r="R19" s="39" t="n">
        <x:v>0.0118746796</x:v>
      </x:c>
      <x:c r="S19" s="39" t="n">
        <x:v>0.0066409303</x:v>
      </x:c>
    </x:row>
    <x:row r="20" ht="19" customHeight="1">
      <x:c r="A20" s="40" t="d">
        <x:v>2021-08-16T00:00:00.000Z</x:v>
      </x:c>
      <x:c r="B20" s="39" t="n">
        <x:v>-0.0101933852</x:v>
      </x:c>
      <x:c r="C20" s="39" t="n">
        <x:v>-0.0014013823</x:v>
      </x:c>
      <x:c r="D20" s="39" t="n">
        <x:v>-0.0041864252</x:v>
      </x:c>
      <x:c r="E20" s="39" t="n">
        <x:v>-0.0041543842</x:v>
      </x:c>
      <x:c r="F20" s="39" t="n">
        <x:v>-0.0210081319</x:v>
      </x:c>
      <x:c r="G20" s="39" t="n">
        <x:v>0.0090561068</x:v>
      </x:c>
      <x:c r="H20" s="39" t="n">
        <x:v>0.0051288387</x:v>
      </x:c>
      <x:c r="I20" s="39" t="n">
        <x:v>-0.0090072846</x:v>
      </x:c>
      <x:c r="J20" s="39" t="n">
        <x:v>-0.0194083122</x:v>
      </x:c>
      <x:c r="K20" s="39" t="n">
        <x:v>0.009309232</x:v>
      </x:c>
      <x:c r="L20" s="39" t="n">
        <x:v>-0.0553708812</x:v>
      </x:c>
      <x:c r="M20" s="39" t="n">
        <x:v>0.0196885566</x:v>
      </x:c>
      <x:c r="N20" s="39" t="n">
        <x:v>0.0189290576</x:v>
      </x:c>
      <x:c r="O20" s="39" t="n">
        <x:v>-0.0133796769</x:v>
      </x:c>
      <x:c r="P20" s="39" t="n">
        <x:v>0.0138068453</x:v>
      </x:c>
      <x:c r="Q20" s="39" t="n">
        <x:v>0.0108939566</x:v>
      </x:c>
      <x:c r="R20" s="39" t="n">
        <x:v>-0.0015767236</x:v>
      </x:c>
      <x:c r="S20" s="39" t="n">
        <x:v>0.0364985969</x:v>
      </x:c>
    </x:row>
    <x:row r="21" ht="19" customHeight="1">
      <x:c r="A21" s="40" t="d">
        <x:v>2021-09-13T00:00:00.000Z</x:v>
      </x:c>
      <x:c r="B21" s="39" t="n">
        <x:v>0.0113679055</x:v>
      </x:c>
      <x:c r="C21" s="39" t="n">
        <x:v>0.0079645254</x:v>
      </x:c>
      <x:c r="D21" s="39" t="n">
        <x:v>0.0016612158</x:v>
      </x:c>
      <x:c r="E21" s="39" t="n">
        <x:v>0.0016577794</x:v>
      </x:c>
      <x:c r="F21" s="39" t="n">
        <x:v>0.0143867212</x:v>
      </x:c>
      <x:c r="G21" s="39" t="n">
        <x:v>-0.0038966561</x:v>
      </x:c>
      <x:c r="H21" s="39" t="n">
        <x:v>-0.0008274545</x:v>
      </x:c>
      <x:c r="I21" s="39" t="n">
        <x:v>0.0059656564</x:v>
      </x:c>
      <x:c r="J21" s="39" t="n">
        <x:v>0.0324522716</x:v>
      </x:c>
      <x:c r="K21" s="39" t="n">
        <x:v>-0.0138271038</x:v>
      </x:c>
      <x:c r="L21" s="39" t="n">
        <x:v>0.0288265392</x:v>
      </x:c>
      <x:c r="M21" s="39" t="n">
        <x:v>-0.0031254351</x:v>
      </x:c>
      <x:c r="N21" s="39" t="n">
        <x:v>-0.0168152889</x:v>
      </x:c>
      <x:c r="O21" s="39" t="n">
        <x:v>-0.0171215851</x:v>
      </x:c>
      <x:c r="P21" s="39" t="n">
        <x:v>-0.0180013016</x:v>
      </x:c>
      <x:c r="Q21" s="39" t="n">
        <x:v>0.0034619591</x:v>
      </x:c>
      <x:c r="R21" s="39" t="n">
        <x:v>0.000781779</x:v>
      </x:c>
      <x:c r="S21" s="39" t="n">
        <x:v>-0.0371124367</x:v>
      </x:c>
    </x:row>
    <x:row r="22" ht="19" customHeight="1">
      <x:c r="A22" s="40" t="d">
        <x:v>2021-10-11T00:00:00.000Z</x:v>
      </x:c>
      <x:c r="B22" s="39" t="n">
        <x:v>-0.0106482622</x:v>
      </x:c>
      <x:c r="C22" s="39" t="n">
        <x:v>-0.000571528</x:v>
      </x:c>
      <x:c r="D22" s="39" t="n">
        <x:v>-0.0078677445</x:v>
      </x:c>
      <x:c r="E22" s="39" t="n">
        <x:v>-0.0074452233</x:v>
      </x:c>
      <x:c r="F22" s="39" t="n">
        <x:v>0.0113323803</x:v>
      </x:c>
      <x:c r="G22" s="39" t="n">
        <x:v>0.0089875043</x:v>
      </x:c>
      <x:c r="H22" s="39" t="n">
        <x:v>0.0068644654</x:v>
      </x:c>
      <x:c r="I22" s="39" t="n">
        <x:v>-0.0268231487</x:v>
      </x:c>
      <x:c r="J22" s="39" t="n">
        <x:v>0.0182022738</x:v>
      </x:c>
      <x:c r="K22" s="39" t="n">
        <x:v>-0.0049293575</x:v>
      </x:c>
      <x:c r="L22" s="39" t="n">
        <x:v>0.0926285148</x:v>
      </x:c>
      <x:c r="M22" s="39" t="n">
        <x:v>0.0297426303</x:v>
      </x:c>
      <x:c r="N22" s="39" t="n">
        <x:v>-0.0286513877</x:v>
      </x:c>
      <x:c r="O22" s="39" t="n">
        <x:v>0.0107650993</x:v>
      </x:c>
      <x:c r="P22" s="39" t="n">
        <x:v>0.0222709382</x:v>
      </x:c>
      <x:c r="Q22" s="39" t="n">
        <x:v>-0.0064833238</x:v>
      </x:c>
      <x:c r="R22" s="39" t="n">
        <x:v>-0.006239255</x:v>
      </x:c>
      <x:c r="S22" s="39" t="n">
        <x:v>-0.0077187121</x:v>
      </x:c>
    </x:row>
    <x:row r="23" ht="19" customHeight="1">
      <x:c r="A23" s="40" t="d">
        <x:v>2021-11-08T00:00:00.000Z</x:v>
      </x:c>
      <x:c r="B23" s="39" t="n">
        <x:v>-0.0061530254</x:v>
      </x:c>
      <x:c r="C23" s="39" t="n">
        <x:v>-0.0021295648</x:v>
      </x:c>
      <x:c r="D23" s="39" t="n">
        <x:v>-0.0089791492</x:v>
      </x:c>
      <x:c r="E23" s="39" t="n">
        <x:v>-0.0093062377</x:v>
      </x:c>
      <x:c r="F23" s="39" t="n">
        <x:v>-0.0114459554</x:v>
      </x:c>
      <x:c r="G23" s="39" t="n">
        <x:v>0.0019806907</x:v>
      </x:c>
      <x:c r="H23" s="39" t="n">
        <x:v>0.0323921895</x:v>
      </x:c>
      <x:c r="I23" s="39" t="n">
        <x:v>-0.0203338981</x:v>
      </x:c>
      <x:c r="J23" s="39" t="n">
        <x:v>0.0212555599</x:v>
      </x:c>
      <x:c r="K23" s="39" t="n">
        <x:v>0.0052989404</x:v>
      </x:c>
      <x:c r="L23" s="39" t="n">
        <x:v>-0.0106161769</x:v>
      </x:c>
      <x:c r="M23" s="39" t="n">
        <x:v>-0.0166564906</x:v>
      </x:c>
      <x:c r="N23" s="39" t="n">
        <x:v>0.0144570134</x:v>
      </x:c>
      <x:c r="O23" s="39" t="n">
        <x:v>-0.004418288</x:v>
      </x:c>
      <x:c r="P23" s="39" t="n">
        <x:v>0.0238380313</x:v>
      </x:c>
      <x:c r="Q23" s="39" t="n">
        <x:v>0.007194635</x:v>
      </x:c>
      <x:c r="R23" s="39" t="n">
        <x:v>0.0021993395</x:v>
      </x:c>
      <x:c r="S23" s="39" t="n">
        <x:v>-0.0056298621</x:v>
      </x:c>
    </x:row>
    <x:row r="24" ht="19" customHeight="1">
      <x:c r="A24" s="40" t="d">
        <x:v>2021-12-06T00:00:00.000Z</x:v>
      </x:c>
      <x:c r="B24" s="39" t="n">
        <x:v>-0.0123702181</x:v>
      </x:c>
      <x:c r="C24" s="39" t="n">
        <x:v>-0.0059774548</x:v>
      </x:c>
      <x:c r="D24" s="39" t="n">
        <x:v>-0.0077217079</x:v>
      </x:c>
      <x:c r="E24" s="39" t="n">
        <x:v>-0.0078315889</x:v>
      </x:c>
      <x:c r="F24" s="39" t="n">
        <x:v>-0.0114323968</x:v>
      </x:c>
      <x:c r="G24" s="39" t="n">
        <x:v>-0.0172166316</x:v>
      </x:c>
      <x:c r="H24" s="39" t="n">
        <x:v>0.0051846948</x:v>
      </x:c>
      <x:c r="I24" s="39" t="n">
        <x:v>-0.0431351329</x:v>
      </x:c>
      <x:c r="J24" s="39" t="n">
        <x:v>0.0053809662</x:v>
      </x:c>
      <x:c r="K24" s="39" t="n">
        <x:v>0.0096582534</x:v>
      </x:c>
      <x:c r="L24" s="39" t="n">
        <x:v>-0.0222335959</x:v>
      </x:c>
      <x:c r="M24" s="39" t="n">
        <x:v>-0.0254429542</x:v>
      </x:c>
      <x:c r="N24" s="39" t="n">
        <x:v>0.0000020555</x:v>
      </x:c>
      <x:c r="O24" s="39" t="n">
        <x:v>-0.017369071</x:v>
      </x:c>
      <x:c r="P24" s="39" t="n">
        <x:v>-0.0167854792</x:v>
      </x:c>
      <x:c r="Q24" s="39" t="n">
        <x:v>0.0150153993</x:v>
      </x:c>
      <x:c r="R24" s="39" t="n">
        <x:v>0.0241430222</x:v>
      </x:c>
      <x:c r="S24" s="39" t="n">
        <x:v>0.0210540453</x:v>
      </x:c>
    </x:row>
    <x:row r="25" ht="19" customHeight="1">
      <x:c r="A25" s="40" t="d">
        <x:v>2022-01-03T00:00:00.000Z</x:v>
      </x:c>
      <x:c r="B25" s="39" t="n">
        <x:v>0.0172576224</x:v>
      </x:c>
      <x:c r="C25" s="39" t="n">
        <x:v>0.0046704405</x:v>
      </x:c>
      <x:c r="D25" s="39" t="n">
        <x:v>0.0023512168</x:v>
      </x:c>
      <x:c r="E25" s="39" t="n">
        <x:v>0.0029176747</x:v>
      </x:c>
      <x:c r="F25" s="39" t="n">
        <x:v>0.000930662</x:v>
      </x:c>
      <x:c r="G25" s="39" t="n">
        <x:v>0.0006342883</x:v>
      </x:c>
      <x:c r="H25" s="39" t="n">
        <x:v>-0.0045629136</x:v>
      </x:c>
      <x:c r="I25" s="39" t="n">
        <x:v>0.0051513207</x:v>
      </x:c>
      <x:c r="J25" s="39" t="n">
        <x:v>-0.0055583265</x:v>
      </x:c>
      <x:c r="K25" s="39" t="n">
        <x:v>0.0358804767</x:v>
      </x:c>
      <x:c r="L25" s="39" t="n">
        <x:v>0.0380041114</x:v>
      </x:c>
      <x:c r="M25" s="39" t="n">
        <x:v>0.0427994655</x:v>
      </x:c>
      <x:c r="N25" s="39" t="n">
        <x:v>0.0019186705</x:v>
      </x:c>
      <x:c r="O25" s="39" t="n">
        <x:v>0.0116836099</x:v>
      </x:c>
      <x:c r="P25" s="39" t="n">
        <x:v>0.0163775108</x:v>
      </x:c>
      <x:c r="Q25" s="39" t="n">
        <x:v>0.0159231692</x:v>
      </x:c>
      <x:c r="R25" s="39" t="n">
        <x:v>-0.0286397103</x:v>
      </x:c>
      <x:c r="S25" s="39" t="n">
        <x:v>0.0175921273</x:v>
      </x:c>
    </x:row>
    <x:row r="26" ht="19" customHeight="1">
      <x:c r="A26" s="40" t="d">
        <x:v>2022-01-31T00:00:00.000Z</x:v>
      </x:c>
      <x:c r="B26" s="39" t="n">
        <x:v>-0.0104297469</x:v>
      </x:c>
      <x:c r="C26" s="39" t="n">
        <x:v>0.0048805813</x:v>
      </x:c>
      <x:c r="D26" s="39" t="n">
        <x:v>0.0052030717</x:v>
      </x:c>
      <x:c r="E26" s="39" t="n">
        <x:v>0.0055090039</x:v>
      </x:c>
      <x:c r="F26" s="39" t="n">
        <x:v>-0.0038637554</x:v>
      </x:c>
      <x:c r="G26" s="39" t="n">
        <x:v>0.0020180531</x:v>
      </x:c>
      <x:c r="H26" s="39" t="n">
        <x:v>-0.0274081986</x:v>
      </x:c>
      <x:c r="I26" s="39" t="n">
        <x:v>-0.024231248</x:v>
      </x:c>
      <x:c r="J26" s="39" t="n">
        <x:v>-0.017019641</x:v>
      </x:c>
      <x:c r="K26" s="39" t="n">
        <x:v>-0.004397012</x:v>
      </x:c>
      <x:c r="L26" s="39" t="n">
        <x:v>0.05911436</x:v>
      </x:c>
      <x:c r="M26" s="39" t="n">
        <x:v>0.0011380642</x:v>
      </x:c>
      <x:c r="N26" s="39" t="n">
        <x:v>-0.0002983968</x:v>
      </x:c>
      <x:c r="O26" s="39" t="n">
        <x:v>-0.0232727283</x:v>
      </x:c>
      <x:c r="P26" s="39" t="n">
        <x:v>-0.0295115024</x:v>
      </x:c>
      <x:c r="Q26" s="39" t="n">
        <x:v>-0.0111127391</x:v>
      </x:c>
      <x:c r="R26" s="39" t="n">
        <x:v>0.0126476052</x:v>
      </x:c>
      <x:c r="S26" s="39" t="n">
        <x:v>-0.0115960282</x:v>
      </x:c>
    </x:row>
    <x:row r="27" ht="19" customHeight="1">
      <x:c r="A27" s="40" t="d">
        <x:v>2022-02-28T00:00:00.000Z</x:v>
      </x:c>
      <x:c r="B27" s="39" t="n">
        <x:v>-0.0093661451</x:v>
      </x:c>
      <x:c r="C27" s="39" t="n">
        <x:v>-0.0055487534</x:v>
      </x:c>
      <x:c r="D27" s="39" t="n">
        <x:v>-0.0331280601</x:v>
      </x:c>
      <x:c r="E27" s="39" t="n">
        <x:v>-0.0326120095</x:v>
      </x:c>
      <x:c r="F27" s="39" t="n">
        <x:v>0.022963488</x:v>
      </x:c>
      <x:c r="G27" s="39" t="n">
        <x:v>0.0018556833</x:v>
      </x:c>
      <x:c r="H27" s="39" t="n">
        <x:v>-0.0274400464</x:v>
      </x:c>
      <x:c r="I27" s="39" t="n">
        <x:v>-0.0224361764</x:v>
      </x:c>
      <x:c r="J27" s="39" t="n">
        <x:v>-0.0129139502</x:v>
      </x:c>
      <x:c r="K27" s="39" t="n">
        <x:v>0.0098107801</x:v>
      </x:c>
      <x:c r="L27" s="39" t="n">
        <x:v>0.0395873856</x:v>
      </x:c>
      <x:c r="M27" s="39" t="n">
        <x:v>-0.0341434448</x:v>
      </x:c>
      <x:c r="N27" s="39" t="n">
        <x:v>0.0120139249</x:v>
      </x:c>
      <x:c r="O27" s="39" t="n">
        <x:v>0.023329477</x:v>
      </x:c>
      <x:c r="P27" s="39" t="n">
        <x:v>0.0216785582</x:v>
      </x:c>
      <x:c r="Q27" s="39" t="n">
        <x:v>0.0273694126</x:v>
      </x:c>
      <x:c r="R27" s="39" t="n">
        <x:v>-0.0058396634</x:v>
      </x:c>
      <x:c r="S27" s="39" t="n">
        <x:v>0.0337360614</x:v>
      </x:c>
    </x:row>
    <x:row r="28" ht="19" customHeight="1">
      <x:c r="A28" s="40" t="d">
        <x:v>2022-03-28T00:00:00.000Z</x:v>
      </x:c>
      <x:c r="B28" s="39" t="n">
        <x:v>0.0397613351</x:v>
      </x:c>
      <x:c r="C28" s="39" t="n">
        <x:v>-0.0003444792</x:v>
      </x:c>
      <x:c r="D28" s="39" t="n">
        <x:v>0.0078227158</x:v>
      </x:c>
      <x:c r="E28" s="39" t="n">
        <x:v>0.0066389084</x:v>
      </x:c>
      <x:c r="F28" s="39" t="n">
        <x:v>0.0128598901</x:v>
      </x:c>
      <x:c r="G28" s="39" t="n">
        <x:v>0.0092463469</x:v>
      </x:c>
      <x:c r="H28" s="39" t="n">
        <x:v>0.0370698697</x:v>
      </x:c>
      <x:c r="I28" s="39" t="n">
        <x:v>0.0000153839</x:v>
      </x:c>
      <x:c r="J28" s="39" t="n">
        <x:v>0.0215326868</x:v>
      </x:c>
      <x:c r="K28" s="39" t="n">
        <x:v>-0.0051867934</x:v>
      </x:c>
      <x:c r="L28" s="39" t="n">
        <x:v>0.0125071484</x:v>
      </x:c>
      <x:c r="M28" s="39" t="n">
        <x:v>-0.0091510615</x:v>
      </x:c>
      <x:c r="N28" s="39" t="n">
        <x:v>0.0142262368</x:v>
      </x:c>
      <x:c r="O28" s="39" t="n">
        <x:v>-0.0193448392</x:v>
      </x:c>
      <x:c r="P28" s="39" t="n">
        <x:v>0.0277347</x:v>
      </x:c>
      <x:c r="Q28" s="39" t="n">
        <x:v>0.0187564346</x:v>
      </x:c>
      <x:c r="R28" s="39" t="n">
        <x:v>-0.0101006739</x:v>
      </x:c>
      <x:c r="S28" s="39" t="n">
        <x:v>0.0339972296</x:v>
      </x:c>
    </x:row>
    <x:row r="29" ht="19" customHeight="1">
      <x:c r="A29" s="40" t="d">
        <x:v>2022-04-25T00:00:00.000Z</x:v>
      </x:c>
      <x:c r="B29" s="39" t="n">
        <x:v>-0.019763488</x:v>
      </x:c>
      <x:c r="C29" s="39" t="n">
        <x:v>-0.0143937086</x:v>
      </x:c>
      <x:c r="D29" s="39" t="n">
        <x:v>-0.0349971198</x:v>
      </x:c>
      <x:c r="E29" s="39" t="n">
        <x:v>-0.0350639724</x:v>
      </x:c>
      <x:c r="F29" s="39" t="n">
        <x:v>-0.0404783969</x:v>
      </x:c>
      <x:c r="G29" s="39" t="n">
        <x:v>-0.0130084194</x:v>
      </x:c>
      <x:c r="H29" s="39" t="n">
        <x:v>-0.0712042877</x:v>
      </x:c>
      <x:c r="I29" s="39" t="n">
        <x:v>-0.0523048457</x:v>
      </x:c>
      <x:c r="J29" s="39" t="n">
        <x:v>-0.0054839316</x:v>
      </x:c>
      <x:c r="K29" s="39" t="n">
        <x:v>0.0373797913</x:v>
      </x:c>
      <x:c r="L29" s="39" t="n">
        <x:v>-0.0518820033</x:v>
      </x:c>
      <x:c r="M29" s="39" t="n">
        <x:v>-0.0215971358</x:v>
      </x:c>
      <x:c r="N29" s="39" t="n">
        <x:v>-0.0129342483</x:v>
      </x:c>
      <x:c r="O29" s="39" t="n">
        <x:v>0.0057342681</x:v>
      </x:c>
      <x:c r="P29" s="39" t="n">
        <x:v>0.0205530352</x:v>
      </x:c>
      <x:c r="Q29" s="39" t="n">
        <x:v>0.0219348228</x:v>
      </x:c>
      <x:c r="R29" s="39" t="n">
        <x:v>0.0190315606</x:v>
      </x:c>
      <x:c r="S29" s="39" t="n">
        <x:v>-0.0173011826</x:v>
      </x:c>
    </x:row>
    <x:row r="30" ht="19" customHeight="1">
      <x:c r="A30" s="40" t="d">
        <x:v>2022-05-23T00:00:00.000Z</x:v>
      </x:c>
      <x:c r="B30" s="39" t="n">
        <x:v>0.0305750099</x:v>
      </x:c>
      <x:c r="C30" s="39" t="n">
        <x:v>0.0067992212</x:v>
      </x:c>
      <x:c r="D30" s="39" t="n">
        <x:v>0.0135067433</x:v>
      </x:c>
      <x:c r="E30" s="39" t="n">
        <x:v>0.0137970535</x:v>
      </x:c>
      <x:c r="F30" s="39" t="n">
        <x:v>-0.0010780797</x:v>
      </x:c>
      <x:c r="G30" s="39" t="n">
        <x:v>-0.0019452381</x:v>
      </x:c>
      <x:c r="H30" s="39" t="n">
        <x:v>0.006010838</x:v>
      </x:c>
      <x:c r="I30" s="39" t="n">
        <x:v>0.0111457456</x:v>
      </x:c>
      <x:c r="J30" s="39" t="n">
        <x:v>-0.0436494385</x:v>
      </x:c>
      <x:c r="K30" s="39" t="n">
        <x:v>-0.0299285609</x:v>
      </x:c>
      <x:c r="L30" s="39" t="n">
        <x:v>0.1066699617</x:v>
      </x:c>
      <x:c r="M30" s="39" t="n">
        <x:v>0.0164349895</x:v>
      </x:c>
      <x:c r="N30" s="39" t="n">
        <x:v>0.0171319703</x:v>
      </x:c>
      <x:c r="O30" s="39" t="n">
        <x:v>-0.005212756</x:v>
      </x:c>
      <x:c r="P30" s="39" t="n">
        <x:v>0.017343387</x:v>
      </x:c>
      <x:c r="Q30" s="39" t="n">
        <x:v>-0.0297642621</x:v>
      </x:c>
      <x:c r="R30" s="39" t="n">
        <x:v>-0.007856937</x:v>
      </x:c>
      <x:c r="S30" s="39" t="n">
        <x:v>0.0376790998</x:v>
      </x:c>
    </x:row>
    <x:row r="31" ht="19" customHeight="1">
      <x:c r="A31" s="40" t="d">
        <x:v>2022-06-20T00:00:00.000Z</x:v>
      </x:c>
      <x:c r="B31" s="39" t="n">
        <x:v>-0.0111637241</x:v>
      </x:c>
      <x:c r="C31" s="39" t="n">
        <x:v>-0.0088459163</x:v>
      </x:c>
      <x:c r="D31" s="39" t="n">
        <x:v>-0.0133365065</x:v>
      </x:c>
      <x:c r="E31" s="39" t="n">
        <x:v>-0.0130951605</x:v>
      </x:c>
      <x:c r="F31" s="39" t="n">
        <x:v>-0.0215763642</x:v>
      </x:c>
      <x:c r="G31" s="39" t="n">
        <x:v>-0.0127468701</x:v>
      </x:c>
      <x:c r="H31" s="39" t="n">
        <x:v>-0.0450482721</x:v>
      </x:c>
      <x:c r="I31" s="39" t="n">
        <x:v>0.0021465661</x:v>
      </x:c>
      <x:c r="J31" s="39" t="n">
        <x:v>0.0273689811</x:v>
      </x:c>
      <x:c r="K31" s="39" t="n">
        <x:v>0.0004253994</x:v>
      </x:c>
      <x:c r="L31" s="39" t="n">
        <x:v>-0.1836697031</x:v>
      </x:c>
      <x:c r="M31" s="39" t="n">
        <x:v>-0.0352763201</x:v>
      </x:c>
      <x:c r="N31" s="39" t="n">
        <x:v>-0.0062741775</x:v>
      </x:c>
      <x:c r="O31" s="39" t="n">
        <x:v>-0.0158282912</x:v>
      </x:c>
      <x:c r="P31" s="39" t="n">
        <x:v>-0.0621247877</x:v>
      </x:c>
      <x:c r="Q31" s="39" t="n">
        <x:v>-0.0052825868</x:v>
      </x:c>
      <x:c r="R31" s="39" t="n">
        <x:v>0.0233420991</x:v>
      </x:c>
      <x:c r="S31" s="39" t="n">
        <x:v>-0.0464455081</x:v>
      </x:c>
    </x:row>
    <x:row r="32" ht="19" customHeight="1">
      <x:c r="A32" s="40" t="d">
        <x:v>2022-07-18T00:00:00.000Z</x:v>
      </x:c>
      <x:c r="B32" s="39" t="n">
        <x:v>-0.0263756101</x:v>
      </x:c>
      <x:c r="C32" s="39" t="n">
        <x:v>-0.0007354959</x:v>
      </x:c>
      <x:c r="D32" s="39" t="n">
        <x:v>-0.0260808804</x:v>
      </x:c>
      <x:c r="E32" s="39" t="n">
        <x:v>-0.0259059622</x:v>
      </x:c>
      <x:c r="F32" s="39" t="n">
        <x:v>0.0096442558</x:v>
      </x:c>
      <x:c r="G32" s="39" t="n">
        <x:v>-0.0002036979</x:v>
      </x:c>
      <x:c r="H32" s="39" t="n">
        <x:v>0.0100108147</x:v>
      </x:c>
      <x:c r="I32" s="39" t="n">
        <x:v>-0.0205901201</x:v>
      </x:c>
      <x:c r="J32" s="39" t="n">
        <x:v>0.0359411363</x:v>
      </x:c>
      <x:c r="K32" s="39" t="n">
        <x:v>-0.001406008</x:v>
      </x:c>
      <x:c r="L32" s="39" t="n">
        <x:v>-0.0223649161</x:v>
      </x:c>
      <x:c r="M32" s="39" t="n">
        <x:v>0.0000428454</x:v>
      </x:c>
      <x:c r="N32" s="39" t="n">
        <x:v>-0.0023953934</x:v>
      </x:c>
      <x:c r="O32" s="39" t="n">
        <x:v>0.0029270846</x:v>
      </x:c>
      <x:c r="P32" s="39" t="n">
        <x:v>-0.0208162728</x:v>
      </x:c>
      <x:c r="Q32" s="39" t="n">
        <x:v>0.0050171207</x:v>
      </x:c>
      <x:c r="R32" s="39" t="n">
        <x:v>0.0079451822</x:v>
      </x:c>
      <x:c r="S32" s="39" t="n">
        <x:v>-0.0019436178</x:v>
      </x:c>
    </x:row>
    <x:row r="33" ht="19" customHeight="1">
      <x:c r="A33" s="40" t="d">
        <x:v>2022-08-15T00:00:00.000Z</x:v>
      </x:c>
      <x:c r="B33" s="39" t="n">
        <x:v>0.0138916534</x:v>
      </x:c>
      <x:c r="C33" s="39" t="n">
        <x:v>-0.0021763882</x:v>
      </x:c>
      <x:c r="D33" s="39" t="n">
        <x:v>-0.0128170695</x:v>
      </x:c>
      <x:c r="E33" s="39" t="n">
        <x:v>-0.0136178704</x:v>
      </x:c>
      <x:c r="F33" s="39" t="n">
        <x:v>-0.0133049535</x:v>
      </x:c>
      <x:c r="G33" s="39" t="n">
        <x:v>0.0049434185</x:v>
      </x:c>
      <x:c r="H33" s="39" t="n">
        <x:v>0.052686073</x:v>
      </x:c>
      <x:c r="I33" s="39" t="n">
        <x:v>-0.0231151369</x:v>
      </x:c>
      <x:c r="J33" s="39" t="n">
        <x:v>0.0084698063</x:v>
      </x:c>
      <x:c r="K33" s="39" t="n">
        <x:v>0.0168830787</x:v>
      </x:c>
      <x:c r="L33" s="39" t="n">
        <x:v>0.0784878558</x:v>
      </x:c>
      <x:c r="M33" s="39" t="n">
        <x:v>0.0079453664</x:v>
      </x:c>
      <x:c r="N33" s="39" t="n">
        <x:v>-0.0068815448</x:v>
      </x:c>
      <x:c r="O33" s="39" t="n">
        <x:v>0.0220568029</x:v>
      </x:c>
      <x:c r="P33" s="39" t="n">
        <x:v>0.003586369</x:v>
      </x:c>
      <x:c r="Q33" s="39" t="n">
        <x:v>0.0055250073</x:v>
      </x:c>
      <x:c r="R33" s="39" t="n">
        <x:v>-0.0154108933</x:v>
      </x:c>
      <x:c r="S33" s="39" t="n">
        <x:v>0.0655597468</x:v>
      </x:c>
    </x:row>
    <x:row r="34" ht="19" customHeight="1">
      <x:c r="A34" s="40" t="d">
        <x:v>2022-09-12T00:00:00.000Z</x:v>
      </x:c>
      <x:c r="B34" s="39" t="n">
        <x:v>0.0061091448</x:v>
      </x:c>
      <x:c r="C34" s="39" t="n">
        <x:v>-0.0085970163</x:v>
      </x:c>
      <x:c r="D34" s="39" t="n">
        <x:v>-0.0020403404</x:v>
      </x:c>
      <x:c r="E34" s="39" t="n">
        <x:v>-0.0021363926</x:v>
      </x:c>
      <x:c r="F34" s="39" t="n">
        <x:v>-0.0123139224</x:v>
      </x:c>
      <x:c r="G34" s="39" t="n">
        <x:v>-0.0050136091</x:v>
      </x:c>
      <x:c r="H34" s="39" t="n">
        <x:v>-0.069827755</x:v>
      </x:c>
      <x:c r="I34" s="39" t="n">
        <x:v>-0.0150742067</x:v>
      </x:c>
      <x:c r="J34" s="39" t="n">
        <x:v>0.042021843</x:v>
      </x:c>
      <x:c r="K34" s="39" t="n">
        <x:v>-0.0336010098</x:v>
      </x:c>
      <x:c r="L34" s="39" t="n">
        <x:v>-0.0431710175</x:v>
      </x:c>
      <x:c r="M34" s="39" t="n">
        <x:v>0.0089939475</x:v>
      </x:c>
      <x:c r="N34" s="39" t="n">
        <x:v>-0.0038551107</x:v>
      </x:c>
      <x:c r="O34" s="39" t="n">
        <x:v>-0.024497478</x:v>
      </x:c>
      <x:c r="P34" s="39" t="n">
        <x:v>-0.0120808681</x:v>
      </x:c>
      <x:c r="Q34" s="39" t="n">
        <x:v>-0.0194078102</x:v>
      </x:c>
      <x:c r="R34" s="39" t="n">
        <x:v>-0.0107082848</x:v>
      </x:c>
      <x:c r="S34" s="39" t="n">
        <x:v>-0.008656152</x:v>
      </x:c>
    </x:row>
    <x:row r="35" ht="19" customHeight="1">
      <x:c r="A35" s="40" t="d">
        <x:v>2022-10-10T00:00:00.000Z</x:v>
      </x:c>
      <x:c r="B35" s="39" t="n">
        <x:v>-0.0014494322</x:v>
      </x:c>
      <x:c r="C35" s="39" t="n">
        <x:v>-0.0098416045</x:v>
      </x:c>
      <x:c r="D35" s="39" t="n">
        <x:v>-0.0243677525</x:v>
      </x:c>
      <x:c r="E35" s="39" t="n">
        <x:v>-0.0241147097</x:v>
      </x:c>
      <x:c r="F35" s="39" t="n">
        <x:v>-0.0586173875</x:v>
      </x:c>
      <x:c r="G35" s="39" t="n">
        <x:v>-0.0485955433</x:v>
      </x:c>
      <x:c r="H35" s="39" t="n">
        <x:v>-0.061536653</x:v>
      </x:c>
      <x:c r="I35" s="39" t="n">
        <x:v>-0.0074498685</x:v>
      </x:c>
      <x:c r="J35" s="39" t="n">
        <x:v>-0.0452595235</x:v>
      </x:c>
      <x:c r="K35" s="39" t="n">
        <x:v>-0.0156794504</x:v>
      </x:c>
      <x:c r="L35" s="39" t="n">
        <x:v>-0.0033181175</x:v>
      </x:c>
      <x:c r="M35" s="39" t="n">
        <x:v>-0.0006473301</x:v>
      </x:c>
      <x:c r="N35" s="39" t="n">
        <x:v>0.0064247266</x:v>
      </x:c>
      <x:c r="O35" s="39" t="n">
        <x:v>0.0128324428</x:v>
      </x:c>
      <x:c r="P35" s="39" t="n">
        <x:v>-0.001983665</x:v>
      </x:c>
      <x:c r="Q35" s="39" t="n">
        <x:v>-0.0822989007</x:v>
      </x:c>
      <x:c r="R35" s="39" t="n">
        <x:v>0.0130343864</x:v>
      </x:c>
      <x:c r="S35" s="39" t="n">
        <x:v>-0.1202199147</x:v>
      </x:c>
    </x:row>
    <x:row r="36" ht="19" customHeight="1">
      <x:c r="A36" s="40" t="d">
        <x:v>2022-11-07T00:00:00.000Z</x:v>
      </x:c>
      <x:c r="B36" s="39" t="n">
        <x:v>0.0238939464</x:v>
      </x:c>
      <x:c r="C36" s="39" t="n">
        <x:v>0.0301783777</x:v>
      </x:c>
      <x:c r="D36" s="39" t="n">
        <x:v>0.0521479596</x:v>
      </x:c>
      <x:c r="E36" s="39" t="n">
        <x:v>0.0536768252</x:v>
      </x:c>
      <x:c r="F36" s="39" t="n">
        <x:v>0.0515911396</x:v>
      </x:c>
      <x:c r="G36" s="39" t="n">
        <x:v>0.017316032</x:v>
      </x:c>
      <x:c r="H36" s="39" t="n">
        <x:v>0.0898286568</x:v>
      </x:c>
      <x:c r="I36" s="39" t="n">
        <x:v>-0.0467494945</x:v>
      </x:c>
      <x:c r="J36" s="39" t="n">
        <x:v>-0.040227387</x:v>
      </x:c>
      <x:c r="K36" s="39" t="n">
        <x:v>0.0330387236</x:v>
      </x:c>
      <x:c r="L36" s="39" t="n">
        <x:v>0.1209128737</x:v>
      </x:c>
      <x:c r="M36" s="39" t="n">
        <x:v>0.0470886925</x:v>
      </x:c>
      <x:c r="N36" s="39" t="n">
        <x:v>0.0171677598</x:v>
      </x:c>
      <x:c r="O36" s="39" t="n">
        <x:v>0.0526429717</x:v>
      </x:c>
      <x:c r="P36" s="39" t="n">
        <x:v>0.0784392268</x:v>
      </x:c>
      <x:c r="Q36" s="39" t="n">
        <x:v>0.0443677292</x:v>
      </x:c>
      <x:c r="R36" s="39" t="n">
        <x:v>-0.0216858</x:v>
      </x:c>
      <x:c r="S36" s="39" t="n">
        <x:v>0.0366346697</x:v>
      </x:c>
    </x:row>
    <x:row r="37" ht="19" customHeight="1">
      <x:c r="A37" s="40" t="d">
        <x:v>2022-12-05T00:00:00.000Z</x:v>
      </x:c>
      <x:c r="B37" s="39" t="n">
        <x:v>-0.0116183583</x:v>
      </x:c>
      <x:c r="C37" s="39" t="n">
        <x:v>0.0102456444</x:v>
      </x:c>
      <x:c r="D37" s="39" t="n">
        <x:v>0.0143479924</x:v>
      </x:c>
      <x:c r="E37" s="39" t="n">
        <x:v>0.0140005987</x:v>
      </x:c>
      <x:c r="F37" s="39" t="n">
        <x:v>0.0118288682</x:v>
      </x:c>
      <x:c r="G37" s="39" t="n">
        <x:v>-0.0058133488</x:v>
      </x:c>
      <x:c r="H37" s="39" t="n">
        <x:v>-0.0111200711</x:v>
      </x:c>
      <x:c r="I37" s="39" t="n">
        <x:v>0.0023591171</x:v>
      </x:c>
      <x:c r="J37" s="39" t="n">
        <x:v>-0.0130305669</x:v>
      </x:c>
      <x:c r="K37" s="39" t="n">
        <x:v>0.0300992626</x:v>
      </x:c>
      <x:c r="L37" s="39" t="n">
        <x:v>-0.1217385551</x:v>
      </x:c>
      <x:c r="M37" s="39" t="n">
        <x:v>-0.0249685389</x:v>
      </x:c>
      <x:c r="N37" s="39" t="n">
        <x:v>0.0335061331</x:v>
      </x:c>
      <x:c r="O37" s="39" t="n">
        <x:v>0.0031711194</x:v>
      </x:c>
      <x:c r="P37" s="39" t="n">
        <x:v>0.0069738109</x:v>
      </x:c>
      <x:c r="Q37" s="39" t="n">
        <x:v>0.0045311863</x:v>
      </x:c>
      <x:c r="R37" s="39" t="n">
        <x:v>0.0027027925</x:v>
      </x:c>
      <x:c r="S37" s="39" t="n">
        <x:v>0.0351793435</x:v>
      </x:c>
    </x:row>
    <x:row r="38" ht="19" customHeight="1">
      <x:c r="A38" s="40" t="d">
        <x:v>2023-01-02T00:00:00.000Z</x:v>
      </x:c>
      <x:c r="B38" s="39" t="n">
        <x:v>0.0282365127</x:v>
      </x:c>
      <x:c r="C38" s="39" t="n">
        <x:v>0.0124341339</x:v>
      </x:c>
      <x:c r="D38" s="39" t="n">
        <x:v>0.0090054624</x:v>
      </x:c>
      <x:c r="E38" s="39" t="n">
        <x:v>0.0094171329</x:v>
      </x:c>
      <x:c r="F38" s="39" t="n">
        <x:v>0.0103567073</x:v>
      </x:c>
      <x:c r="G38" s="39" t="n">
        <x:v>0.0010434147</x:v>
      </x:c>
      <x:c r="H38" s="39" t="n">
        <x:v>-0.0074518312</x:v>
      </x:c>
      <x:c r="I38" s="39" t="n">
        <x:v>0.0272960819</x:v>
      </x:c>
      <x:c r="J38" s="39" t="n">
        <x:v>-0.0278144287</x:v>
      </x:c>
      <x:c r="K38" s="39" t="n">
        <x:v>0.0067690716</x:v>
      </x:c>
      <x:c r="L38" s="39" t="n">
        <x:v>0.0368463241</x:v>
      </x:c>
      <x:c r="M38" s="39" t="n">
        <x:v>0.0302381862</x:v>
      </x:c>
      <x:c r="N38" s="39" t="n">
        <x:v>-0.0091830362</x:v>
      </x:c>
      <x:c r="O38" s="39" t="n">
        <x:v>0.02364957</x:v>
      </x:c>
      <x:c r="P38" s="39" t="n">
        <x:v>0.0060393406</x:v>
      </x:c>
      <x:c r="Q38" s="39" t="n">
        <x:v>0.0113285966</x:v>
      </x:c>
      <x:c r="R38" s="39" t="n">
        <x:v>-0.0272666738</x:v>
      </x:c>
      <x:c r="S38" s="39" t="n">
        <x:v>0.0093656446</x:v>
      </x:c>
    </x:row>
    <x:row r="39" ht="19" customHeight="1">
      <x:c r="A39" s="40" t="d">
        <x:v>2023-01-30T00:00:00.000Z</x:v>
      </x:c>
      <x:c r="B39" s="39" t="n">
        <x:v>0.0075703034</x:v>
      </x:c>
      <x:c r="C39" s="39" t="n">
        <x:v>0.0084665796</x:v>
      </x:c>
      <x:c r="D39" s="39" t="n">
        <x:v>0.0115759178</x:v>
      </x:c>
      <x:c r="E39" s="39" t="n">
        <x:v>0.0132130312</x:v>
      </x:c>
      <x:c r="F39" s="39" t="n">
        <x:v>0.0053920415</x:v>
      </x:c>
      <x:c r="G39" s="39" t="n">
        <x:v>0.0119037388</x:v>
      </x:c>
      <x:c r="H39" s="39" t="n">
        <x:v>0.0525208258</x:v>
      </x:c>
      <x:c r="I39" s="39" t="n">
        <x:v>0.077826062</x:v>
      </x:c>
      <x:c r="J39" s="39" t="n">
        <x:v>0.0635114395</x:v>
      </x:c>
      <x:c r="K39" s="39" t="n">
        <x:v>-0.050012359</x:v>
      </x:c>
      <x:c r="L39" s="39" t="n">
        <x:v>-0.025393296</x:v>
      </x:c>
      <x:c r="M39" s="39" t="n">
        <x:v>-0.0147592753</x:v>
      </x:c>
      <x:c r="N39" s="39" t="n">
        <x:v>-0.0447491241</x:v>
      </x:c>
      <x:c r="O39" s="39" t="n">
        <x:v>-0.0318840846</x:v>
      </x:c>
      <x:c r="P39" s="39" t="n">
        <x:v>-0.0065549459</x:v>
      </x:c>
      <x:c r="Q39" s="39" t="n">
        <x:v>0.0290429595</x:v>
      </x:c>
      <x:c r="R39" s="39" t="n">
        <x:v>0.0349427269</x:v>
      </x:c>
      <x:c r="S39" s="39" t="n">
        <x:v>-0.0624301956</x:v>
      </x:c>
    </x:row>
    <x:row r="40" ht="19" customHeight="1">
      <x:c r="A40" s="40" t="d">
        <x:v>2023-02-27T00:00:00.000Z</x:v>
      </x:c>
      <x:c r="B40" s="39" t="n">
        <x:v>0.0481412698</x:v>
      </x:c>
      <x:c r="C40" s="39" t="n">
        <x:v>-0.0143521615</x:v>
      </x:c>
      <x:c r="D40" s="39" t="n">
        <x:v>-0.0128705138</x:v>
      </x:c>
      <x:c r="E40" s="39" t="n">
        <x:v>-0.0145237556</x:v>
      </x:c>
      <x:c r="F40" s="39" t="n">
        <x:v>-0.0200043098</x:v>
      </x:c>
      <x:c r="G40" s="39" t="n">
        <x:v>-0.0123111453</x:v>
      </x:c>
      <x:c r="H40" s="39" t="n">
        <x:v>-0.0175509567</x:v>
      </x:c>
      <x:c r="I40" s="39" t="n">
        <x:v>-0.0353671313</x:v>
      </x:c>
      <x:c r="J40" s="39" t="n">
        <x:v>-0.0017037999</x:v>
      </x:c>
      <x:c r="K40" s="39" t="n">
        <x:v>-0.0043511326</x:v>
      </x:c>
      <x:c r="L40" s="39" t="n">
        <x:v>-0.0096018959</x:v>
      </x:c>
      <x:c r="M40" s="39" t="n">
        <x:v>-0.002291051</x:v>
      </x:c>
      <x:c r="N40" s="39" t="n">
        <x:v>-0.017301219</x:v>
      </x:c>
      <x:c r="O40" s="39" t="n">
        <x:v>0.0196456429</x:v>
      </x:c>
      <x:c r="P40" s="39" t="n">
        <x:v>0.0271132935</x:v>
      </x:c>
      <x:c r="Q40" s="39" t="n">
        <x:v>-0.029223963</x:v>
      </x:c>
      <x:c r="R40" s="39" t="n">
        <x:v>0.0161480024</x:v>
      </x:c>
      <x:c r="S40" s="39" t="n">
        <x:v>-0.0172817192</x:v>
      </x:c>
    </x:row>
    <x:row r="41" ht="19" customHeight="1">
      <x:c r="A41" s="40" t="d">
        <x:v>2023-03-27T00:00:00.000Z</x:v>
      </x:c>
      <x:c r="B41" s="39" t="n">
        <x:v>-0.0029930495</x:v>
      </x:c>
      <x:c r="C41" s="39" t="n">
        <x:v>0.0095882832</x:v>
      </x:c>
      <x:c r="D41" s="39" t="n">
        <x:v>0.016158667</x:v>
      </x:c>
      <x:c r="E41" s="39" t="n">
        <x:v>0.0182087978</x:v>
      </x:c>
      <x:c r="F41" s="39" t="n">
        <x:v>-0.0070233243</x:v>
      </x:c>
      <x:c r="G41" s="39" t="n">
        <x:v>-0.005578965</x:v>
      </x:c>
      <x:c r="H41" s="39" t="n">
        <x:v>0.0147768852</x:v>
      </x:c>
      <x:c r="I41" s="39" t="n">
        <x:v>0.0413579808</x:v>
      </x:c>
      <x:c r="J41" s="39" t="n">
        <x:v>0.0121331831</x:v>
      </x:c>
      <x:c r="K41" s="39" t="n">
        <x:v>0.0234253522</x:v>
      </x:c>
      <x:c r="L41" s="39" t="n">
        <x:v>-0.0537744696</x:v>
      </x:c>
      <x:c r="M41" s="39" t="n">
        <x:v>-0.1097281967</x:v>
      </x:c>
      <x:c r="N41" s="39" t="n">
        <x:v>-0.0029118333</x:v>
      </x:c>
      <x:c r="O41" s="39" t="n">
        <x:v>-0.0334947985</x:v>
      </x:c>
      <x:c r="P41" s="39" t="n">
        <x:v>-0.0485575542</x:v>
      </x:c>
      <x:c r="Q41" s="39" t="n">
        <x:v>-0.0330746479</x:v>
      </x:c>
      <x:c r="R41" s="39" t="n">
        <x:v>0.0476314863</x:v>
      </x:c>
      <x:c r="S41" s="39" t="n">
        <x:v>0.0170581376</x:v>
      </x:c>
    </x:row>
    <x:row r="42" ht="19" customHeight="1">
      <x:c r="A42" s="40" t="d">
        <x:v>2023-04-24T00:00:00.000Z</x:v>
      </x:c>
      <x:c r="B42" s="39" t="n">
        <x:v>0.0008232827</x:v>
      </x:c>
      <x:c r="C42" s="39" t="n">
        <x:v>-0.0031178827</x:v>
      </x:c>
      <x:c r="D42" s="39" t="n">
        <x:v>0.0139767667</x:v>
      </x:c>
      <x:c r="E42" s="39" t="n">
        <x:v>0.0210613759</x:v>
      </x:c>
      <x:c r="F42" s="39" t="n">
        <x:v>-0.0135479897</x:v>
      </x:c>
      <x:c r="G42" s="39" t="n">
        <x:v>0.0078626369</x:v>
      </x:c>
      <x:c r="H42" s="39" t="n">
        <x:v>0.0143147111</x:v>
      </x:c>
      <x:c r="I42" s="39" t="n">
        <x:v>0.0182032937</x:v>
      </x:c>
      <x:c r="J42" s="39" t="n">
        <x:v>-0.0196873655</x:v>
      </x:c>
      <x:c r="K42" s="39" t="n">
        <x:v>0.0255069417</x:v>
      </x:c>
      <x:c r="L42" s="39" t="n">
        <x:v>0.0080302247</x:v>
      </x:c>
      <x:c r="M42" s="39" t="n">
        <x:v>0.0149248413</x:v>
      </x:c>
      <x:c r="N42" s="39" t="n">
        <x:v>0.0197922047</x:v>
      </x:c>
      <x:c r="O42" s="39" t="n">
        <x:v>-0.0256829556</x:v>
      </x:c>
      <x:c r="P42" s="39" t="n">
        <x:v>-0.0108308606</x:v>
      </x:c>
      <x:c r="Q42" s="39" t="n">
        <x:v>0.0019460978</x:v>
      </x:c>
      <x:c r="R42" s="39" t="n">
        <x:v>-0.0212644432</x:v>
      </x:c>
      <x:c r="S42" s="39" t="n">
        <x:v>0.0086062463</x:v>
      </x:c>
    </x:row>
    <x:row r="43" ht="19" customHeight="1">
      <x:c r="A43" s="40" t="d">
        <x:v>2023-05-22T00:00:00.000Z</x:v>
      </x:c>
      <x:c r="B43" s="39" t="n">
        <x:v>0.0190984884</x:v>
      </x:c>
      <x:c r="C43" s="39" t="n">
        <x:v>-0.0101001616</x:v>
      </x:c>
      <x:c r="D43" s="39" t="n">
        <x:v>-0.023803999</x:v>
      </x:c>
      <x:c r="E43" s="39" t="n">
        <x:v>-0.0331357279</x:v>
      </x:c>
      <x:c r="F43" s="39" t="n">
        <x:v>-0.016530579</x:v>
      </x:c>
      <x:c r="G43" s="39" t="n">
        <x:v>0.0026015062</x:v>
      </x:c>
      <x:c r="H43" s="39" t="n">
        <x:v>0.0089637475</x:v>
      </x:c>
      <x:c r="I43" s="39" t="n">
        <x:v>0.0275033569</x:v>
      </x:c>
      <x:c r="J43" s="39" t="n">
        <x:v>0.0219325204</x:v>
      </x:c>
      <x:c r="K43" s="39" t="n">
        <x:v>-0.0534481174</x:v>
      </x:c>
      <x:c r="L43" s="39" t="n">
        <x:v>-0.0888563304</x:v>
      </x:c>
      <x:c r="M43" s="39" t="n">
        <x:v>-0.0387527634</x:v>
      </x:c>
      <x:c r="N43" s="39" t="n">
        <x:v>-0.0478499538</x:v>
      </x:c>
      <x:c r="O43" s="39" t="n">
        <x:v>-0.0257600144</x:v>
      </x:c>
      <x:c r="P43" s="39" t="n">
        <x:v>-0.0558971314</x:v>
      </x:c>
      <x:c r="Q43" s="39" t="n">
        <x:v>-0.0536588148</x:v>
      </x:c>
      <x:c r="R43" s="39" t="n">
        <x:v>0.0686500643</x:v>
      </x:c>
      <x:c r="S43" s="39" t="n">
        <x:v>-0.0665158159</x:v>
      </x:c>
    </x:row>
    <x:row r="44" ht="19" customHeight="1">
      <x:c r="A44" s="40" t="d">
        <x:v>2023-06-19T00:00:00.000Z</x:v>
      </x:c>
      <x:c r="B44" s="39" t="n">
        <x:v>0.0249418435</x:v>
      </x:c>
      <x:c r="C44" s="39" t="n">
        <x:v>-0.0006880892</x:v>
      </x:c>
      <x:c r="D44" s="39" t="n">
        <x:v>0.0145783204</x:v>
      </x:c>
      <x:c r="E44" s="39" t="n">
        <x:v>0.0172096367</x:v>
      </x:c>
      <x:c r="F44" s="39" t="n">
        <x:v>0.0255940676</x:v>
      </x:c>
      <x:c r="G44" s="39" t="n">
        <x:v>0.0203512248</x:v>
      </x:c>
      <x:c r="H44" s="39" t="n">
        <x:v>0.0321709376</x:v>
      </x:c>
      <x:c r="I44" s="39" t="n">
        <x:v>0.0015663212</x:v>
      </x:c>
      <x:c r="J44" s="39" t="n">
        <x:v>0.0503160022</x:v>
      </x:c>
      <x:c r="K44" s="39" t="n">
        <x:v>-0.0031562929</x:v>
      </x:c>
      <x:c r="L44" s="39" t="n">
        <x:v>-0.0219381784</x:v>
      </x:c>
      <x:c r="M44" s="39" t="n">
        <x:v>-0.0053711621</x:v>
      </x:c>
      <x:c r="N44" s="39" t="n">
        <x:v>0.0195457284</x:v>
      </x:c>
      <x:c r="O44" s="39" t="n">
        <x:v>0.018599965</x:v>
      </x:c>
      <x:c r="P44" s="39" t="n">
        <x:v>0.0222305024</x:v>
      </x:c>
      <x:c r="Q44" s="39" t="n">
        <x:v>-0.0087148843</x:v>
      </x:c>
      <x:c r="R44" s="39" t="n">
        <x:v>-0.0227274852</x:v>
      </x:c>
      <x:c r="S44" s="39" t="n">
        <x:v>-0.0019200324</x:v>
      </x:c>
    </x:row>
    <x:row r="45" ht="19" customHeight="1">
      <x:c r="A45" s="40" t="d">
        <x:v>2023-07-17T00:00:00.000Z</x:v>
      </x:c>
      <x:c r="B45" s="39" t="n">
        <x:v>0.0088200841</x:v>
      </x:c>
      <x:c r="C45" s="39" t="n">
        <x:v>0.0144810333</x:v>
      </x:c>
      <x:c r="D45" s="39" t="n">
        <x:v>0.019330926</x:v>
      </x:c>
      <x:c r="E45" s="39" t="n">
        <x:v>0.0171537968</x:v>
      </x:c>
      <x:c r="F45" s="39" t="n">
        <x:v>0.0070265705</x:v>
      </x:c>
      <x:c r="G45" s="39" t="n">
        <x:v>0.0008710018</x:v>
      </x:c>
      <x:c r="H45" s="39" t="n">
        <x:v>0.0403821663</x:v>
      </x:c>
      <x:c r="I45" s="39" t="n">
        <x:v>-0.0137088431</x:v>
      </x:c>
      <x:c r="J45" s="39" t="n">
        <x:v>-0.0091953583</x:v>
      </x:c>
      <x:c r="K45" s="39" t="n">
        <x:v>0.0058678003</x:v>
      </x:c>
      <x:c r="L45" s="39" t="n">
        <x:v>0.0692096561</x:v>
      </x:c>
      <x:c r="M45" s="39" t="n">
        <x:v>0.0357120563</x:v>
      </x:c>
      <x:c r="N45" s="39" t="n">
        <x:v>0.0097838583</x:v>
      </x:c>
      <x:c r="O45" s="39" t="n">
        <x:v>0.0177363118</x:v>
      </x:c>
      <x:c r="P45" s="39" t="n">
        <x:v>0.017604683</x:v>
      </x:c>
      <x:c r="Q45" s="39" t="n">
        <x:v>0.0408051369</x:v>
      </x:c>
      <x:c r="R45" s="39" t="n">
        <x:v>-0.0173281219</x:v>
      </x:c>
      <x:c r="S45" s="39" t="n">
        <x:v>0.0294389744</x:v>
      </x:c>
    </x:row>
    <x:row r="46" ht="19" customHeight="1">
      <x:c r="A46" s="40" t="d">
        <x:v>2023-08-14T00:00:00.000Z</x:v>
      </x:c>
      <x:c r="B46" s="39" t="n">
        <x:v>-0.0030916124</x:v>
      </x:c>
      <x:c r="C46" s="39" t="n">
        <x:v>-0.0201188763</x:v>
      </x:c>
      <x:c r="D46" s="39" t="n">
        <x:v>-0.0220767951</x:v>
      </x:c>
      <x:c r="E46" s="39" t="n">
        <x:v>-0.0212554666</x:v>
      </x:c>
      <x:c r="F46" s="39" t="n">
        <x:v>-0.0470177105</x:v>
      </x:c>
      <x:c r="G46" s="39" t="n">
        <x:v>-0.0187244283</x:v>
      </x:c>
      <x:c r="H46" s="39" t="n">
        <x:v>-0.0337253294</x:v>
      </x:c>
      <x:c r="I46" s="39" t="n">
        <x:v>0.0257937923</x:v>
      </x:c>
      <x:c r="J46" s="39" t="n">
        <x:v>-0.000591877</x:v>
      </x:c>
      <x:c r="K46" s="39" t="n">
        <x:v>-0.0210116526</x:v>
      </x:c>
      <x:c r="L46" s="39" t="n">
        <x:v>0.0239389957</x:v>
      </x:c>
      <x:c r="M46" s="39" t="n">
        <x:v>-0.0101588074</x:v>
      </x:c>
      <x:c r="N46" s="39" t="n">
        <x:v>-0.0055458894</x:v>
      </x:c>
      <x:c r="O46" s="39" t="n">
        <x:v>-0.0025553004</x:v>
      </x:c>
      <x:c r="P46" s="39" t="n">
        <x:v>-0.0069187527</x:v>
      </x:c>
      <x:c r="Q46" s="39" t="n">
        <x:v>-0.0287121805</x:v>
      </x:c>
      <x:c r="R46" s="39" t="n">
        <x:v>-0.0127111754</x:v>
      </x:c>
      <x:c r="S46" s="39" t="n">
        <x:v>-0.0610277362</x:v>
      </x:c>
    </x:row>
    <x:row r="47" ht="19" customHeight="1">
      <x:c r="A47" s="40" t="d">
        <x:v>2023-09-11T00:00:00.000Z</x:v>
      </x:c>
      <x:c r="B47" s="39" t="n">
        <x:v>-0.0012002924</x:v>
      </x:c>
      <x:c r="C47" s="39" t="n">
        <x:v>-0.0032764764</x:v>
      </x:c>
      <x:c r="D47" s="39" t="n">
        <x:v>-0.0201686581</x:v>
      </x:c>
      <x:c r="E47" s="39" t="n">
        <x:v>-0.0193310018</x:v>
      </x:c>
      <x:c r="F47" s="39" t="n">
        <x:v>0.0038512317</x:v>
      </x:c>
      <x:c r="G47" s="39" t="n">
        <x:v>-0.007990888</x:v>
      </x:c>
      <x:c r="H47" s="39" t="n">
        <x:v>0.0185475354</x:v>
      </x:c>
      <x:c r="I47" s="39" t="n">
        <x:v>0.0205292239</x:v>
      </x:c>
      <x:c r="J47" s="39" t="n">
        <x:v>0.038461155</x:v>
      </x:c>
      <x:c r="K47" s="39" t="n">
        <x:v>-0.0215842786</x:v>
      </x:c>
      <x:c r="L47" s="39" t="n">
        <x:v>0.018405961</x:v>
      </x:c>
      <x:c r="M47" s="39" t="n">
        <x:v>0.0072714201</x:v>
      </x:c>
      <x:c r="N47" s="39" t="n">
        <x:v>-0.0198636508</x:v>
      </x:c>
      <x:c r="O47" s="39" t="n">
        <x:v>-0.0301536688</x:v>
      </x:c>
      <x:c r="P47" s="39" t="n">
        <x:v>-0.0023277284</x:v>
      </x:c>
      <x:c r="Q47" s="39" t="n">
        <x:v>0.0054756732</x:v>
      </x:c>
      <x:c r="R47" s="39" t="n">
        <x:v>-0.0034864475</x:v>
      </x:c>
      <x:c r="S47" s="39" t="n">
        <x:v>0.0117279486</x:v>
      </x:c>
    </x:row>
    <x:row r="48" ht="19" customHeight="1">
      <x:c r="A48" s="40" t="d">
        <x:v>2023-10-09T00:00:00.000Z</x:v>
      </x:c>
      <x:c r="B48" s="39" t="n">
        <x:v>-0.0566305347</x:v>
      </x:c>
      <x:c r="C48" s="39" t="n">
        <x:v>-0.0050352341</x:v>
      </x:c>
      <x:c r="D48" s="39" t="n">
        <x:v>-0.0137687614</x:v>
      </x:c>
      <x:c r="E48" s="39" t="n">
        <x:v>-0.0146843872</x:v>
      </x:c>
      <x:c r="F48" s="39" t="n">
        <x:v>-0.0178254497</x:v>
      </x:c>
      <x:c r="G48" s="39" t="n">
        <x:v>-0.0012014004</x:v>
      </x:c>
      <x:c r="H48" s="39" t="n">
        <x:v>-0.0266743108</x:v>
      </x:c>
      <x:c r="I48" s="39" t="n">
        <x:v>0.0226020638</x:v>
      </x:c>
      <x:c r="J48" s="39" t="n">
        <x:v>-0.0357109349</x:v>
      </x:c>
      <x:c r="K48" s="39" t="n">
        <x:v>-0.0580345405</x:v>
      </x:c>
      <x:c r="L48" s="39" t="n">
        <x:v>-0.0434935362</x:v>
      </x:c>
      <x:c r="M48" s="39" t="n">
        <x:v>-0.0228997477</x:v>
      </x:c>
      <x:c r="N48" s="39" t="n">
        <x:v>-0.0005102184</x:v>
      </x:c>
      <x:c r="O48" s="39" t="n">
        <x:v>-0.0062882736</x:v>
      </x:c>
      <x:c r="P48" s="39" t="n">
        <x:v>-0.0238719838</x:v>
      </x:c>
      <x:c r="Q48" s="39" t="n">
        <x:v>-0.0328869732</x:v>
      </x:c>
      <x:c r="R48" s="39" t="n">
        <x:v>0.040137855</x:v>
      </x:c>
      <x:c r="S48" s="39" t="n">
        <x:v>-0.0732309423</x:v>
      </x:c>
    </x:row>
    <x:row r="49" ht="19" customHeight="1">
      <x:c r="A49" s="40" t="d">
        <x:v>2023-11-06T00:00:00.000Z</x:v>
      </x:c>
      <x:c r="B49" s="39" t="n">
        <x:v>0.024837379</x:v>
      </x:c>
      <x:c r="C49" s="39" t="n">
        <x:v>0.0070101872</x:v>
      </x:c>
      <x:c r="D49" s="39" t="n">
        <x:v>0.016617822</x:v>
      </x:c>
      <x:c r="E49" s="39" t="n">
        <x:v>0.0187311379</x:v>
      </x:c>
      <x:c r="F49" s="39" t="n">
        <x:v>0.0070607868</x:v>
      </x:c>
      <x:c r="G49" s="39" t="n">
        <x:v>-0.0082979315</x:v>
      </x:c>
      <x:c r="H49" s="39" t="n">
        <x:v>0.0208279786</x:v>
      </x:c>
      <x:c r="I49" s="39" t="n">
        <x:v>0.0031854566</x:v>
      </x:c>
      <x:c r="J49" s="39" t="n">
        <x:v>-0.0020281061</x:v>
      </x:c>
      <x:c r="K49" s="39" t="n">
        <x:v>0.0221778506</x:v>
      </x:c>
      <x:c r="L49" s="39" t="n">
        <x:v>-0.0867209869</x:v>
      </x:c>
      <x:c r="M49" s="39" t="n">
        <x:v>0.0022939942</x:v>
      </x:c>
      <x:c r="N49" s="39" t="n">
        <x:v>-0.0416021337</x:v>
      </x:c>
      <x:c r="O49" s="39" t="n">
        <x:v>-0.0129543657</x:v>
      </x:c>
      <x:c r="P49" s="39" t="n">
        <x:v>-0.0181612844</x:v>
      </x:c>
      <x:c r="Q49" s="39" t="n">
        <x:v>-0.0109020546</x:v>
      </x:c>
      <x:c r="R49" s="39" t="n">
        <x:v>0.0326962036</x:v>
      </x:c>
      <x:c r="S49" s="39" t="n">
        <x:v>0.0059209849</x:v>
      </x:c>
    </x:row>
    <x:row r="50" ht="19" customHeight="1">
      <x:c r="A50" s="40" t="d">
        <x:v>2023-12-04T00:00:00.000Z</x:v>
      </x:c>
      <x:c r="B50" s="39" t="n">
        <x:v>0.0172403637</x:v>
      </x:c>
      <x:c r="C50" s="39" t="n">
        <x:v>0.0148989999</x:v>
      </x:c>
      <x:c r="D50" s="39" t="n">
        <x:v>0.0075915798</x:v>
      </x:c>
      <x:c r="E50" s="39" t="n">
        <x:v>0.0055406637</x:v>
      </x:c>
      <x:c r="F50" s="39" t="n">
        <x:v>0.0363346623</x:v>
      </x:c>
      <x:c r="G50" s="39" t="n">
        <x:v>0.0121185085</x:v>
      </x:c>
      <x:c r="H50" s="39" t="n">
        <x:v>0.0439819057</x:v>
      </x:c>
      <x:c r="I50" s="39" t="n">
        <x:v>-0.0095976166</x:v>
      </x:c>
      <x:c r="J50" s="39" t="n">
        <x:v>0.0268707044</x:v>
      </x:c>
      <x:c r="K50" s="39" t="n">
        <x:v>-0.0022037125</x:v>
      </x:c>
      <x:c r="L50" s="39" t="n">
        <x:v>-0.0254590362</x:v>
      </x:c>
      <x:c r="M50" s="39" t="n">
        <x:v>0.0270764833</x:v>
      </x:c>
      <x:c r="N50" s="39" t="n">
        <x:v>0.0237647514</x:v>
      </x:c>
      <x:c r="O50" s="39" t="n">
        <x:v>0.0203682309</x:v>
      </x:c>
      <x:c r="P50" s="39" t="n">
        <x:v>0.0258344885</x:v>
      </x:c>
      <x:c r="Q50" s="39" t="n">
        <x:v>0.0667026062</x:v>
      </x:c>
      <x:c r="R50" s="39" t="n">
        <x:v>-0.0240368774</x:v>
      </x:c>
      <x:c r="S50" s="39" t="n">
        <x:v>0.0300608375</x:v>
      </x:c>
    </x:row>
    <x:row r="51" ht="19" customHeight="1">
      <x:c r="A51" s="40" t="d">
        <x:v>2024-01-01T00:00:00.000Z</x:v>
      </x:c>
      <x:c r="B51" s="39" t="n">
        <x:v>0.0280848655</x:v>
      </x:c>
      <x:c r="C51" s="39" t="n">
        <x:v>0.0079094672</x:v>
      </x:c>
      <x:c r="D51" s="39" t="n">
        <x:v>0.0165215582</x:v>
      </x:c>
      <x:c r="E51" s="39" t="n">
        <x:v>0.0171575387</x:v>
      </x:c>
      <x:c r="F51" s="39" t="n">
        <x:v>0.0172866988</x:v>
      </x:c>
      <x:c r="G51" s="39" t="n">
        <x:v>0.0230624665</x:v>
      </x:c>
      <x:c r="H51" s="39" t="n">
        <x:v>0.021207956</x:v>
      </x:c>
      <x:c r="I51" s="39" t="n">
        <x:v>0.0072029883</x:v>
      </x:c>
      <x:c r="J51" s="39" t="n">
        <x:v>-0.0191468077</x:v>
      </x:c>
      <x:c r="K51" s="39" t="n">
        <x:v>0.0254625413</x:v>
      </x:c>
      <x:c r="L51" s="39" t="n">
        <x:v>0.0245130835</x:v>
      </x:c>
      <x:c r="M51" s="39" t="n">
        <x:v>0.0312359611</x:v>
      </x:c>
      <x:c r="N51" s="39" t="n">
        <x:v>0.0466104382</x:v>
      </x:c>
      <x:c r="O51" s="39" t="n">
        <x:v>0.0074878052</x:v>
      </x:c>
      <x:c r="P51" s="39" t="n">
        <x:v>0.0220189969</x:v>
      </x:c>
      <x:c r="Q51" s="39" t="n">
        <x:v>0.0351161041</x:v>
      </x:c>
      <x:c r="R51" s="39" t="n">
        <x:v>-0.042033632</x:v>
      </x:c>
      <x:c r="S51" s="39" t="n">
        <x:v>0.0163341123</x:v>
      </x:c>
    </x:row>
    <x:row r="52" ht="19" customHeight="1">
      <x:c r="A52" s="40" t="d">
        <x:v>2024-01-29T00:00:00.000Z</x:v>
      </x:c>
      <x:c r="B52" s="39" t="n">
        <x:v>-0.0153879192</x:v>
      </x:c>
      <x:c r="C52" s="39" t="n">
        <x:v>-0.0104239618</x:v>
      </x:c>
      <x:c r="D52" s="39" t="n">
        <x:v>-0.0141853867</x:v>
      </x:c>
      <x:c r="E52" s="39" t="n">
        <x:v>-0.0141464705</x:v>
      </x:c>
      <x:c r="F52" s="39" t="n">
        <x:v>-0.0206246909</x:v>
      </x:c>
      <x:c r="G52" s="39" t="n">
        <x:v>-0.0138591136</x:v>
      </x:c>
      <x:c r="H52" s="39" t="n">
        <x:v>0.0571428617</x:v>
      </x:c>
      <x:c r="I52" s="39" t="n">
        <x:v>0.054570196</x:v>
      </x:c>
      <x:c r="J52" s="39" t="n">
        <x:v>-0.0319703395</x:v>
      </x:c>
      <x:c r="K52" s="39" t="n">
        <x:v>0.0064800107</x:v>
      </x:c>
      <x:c r="L52" s="39" t="n">
        <x:v>-0.022889479</x:v>
      </x:c>
      <x:c r="M52" s="39" t="n">
        <x:v>-0.0142307994</x:v>
      </x:c>
      <x:c r="N52" s="39" t="n">
        <x:v>-0.0063830183</x:v>
      </x:c>
      <x:c r="O52" s="39" t="n">
        <x:v>-0.014369745</x:v>
      </x:c>
      <x:c r="P52" s="39" t="n">
        <x:v>-0.0577490819</x:v>
      </x:c>
      <x:c r="Q52" s="39" t="n">
        <x:v>-0.0687423095</x:v>
      </x:c>
      <x:c r="R52" s="39" t="n">
        <x:v>0.014948248</x:v>
      </x:c>
      <x:c r="S52" s="39" t="n">
        <x:v>-0.075959519</x:v>
      </x:c>
    </x:row>
    <x:row r="53" ht="19" customHeight="1">
      <x:c r="A53" s="40" t="d">
        <x:v>2024-02-26T00:00:00.000Z</x:v>
      </x:c>
      <x:c r="B53" s="39" t="n">
        <x:v>0.0071475905</x:v>
      </x:c>
      <x:c r="C53" s="39" t="n">
        <x:v>-0.0005493575</x:v>
      </x:c>
      <x:c r="D53" s="39" t="n">
        <x:v>0.004957841</x:v>
      </x:c>
      <x:c r="E53" s="39" t="n">
        <x:v>0.0042265038</x:v>
      </x:c>
      <x:c r="F53" s="39" t="n">
        <x:v>-0.0123435534</x:v>
      </x:c>
      <x:c r="G53" s="39" t="n">
        <x:v>-0.0069563753</x:v>
      </x:c>
      <x:c r="H53" s="39" t="n">
        <x:v>0.038750554</x:v>
      </x:c>
      <x:c r="I53" s="39" t="n">
        <x:v>-0.0303093071</x:v>
      </x:c>
      <x:c r="J53" s="39" t="n">
        <x:v>0.0065813535</x:v>
      </x:c>
      <x:c r="K53" s="39" t="n">
        <x:v>-0.0126907804</x:v>
      </x:c>
      <x:c r="L53" s="39" t="n">
        <x:v>0.0327017701</x:v>
      </x:c>
      <x:c r="M53" s="39" t="n">
        <x:v>0.0020141144</x:v>
      </x:c>
      <x:c r="N53" s="39" t="n">
        <x:v>0.0125625297</x:v>
      </x:c>
      <x:c r="O53" s="39" t="n">
        <x:v>0.0164840579</x:v>
      </x:c>
      <x:c r="P53" s="39" t="n">
        <x:v>0.0318645286</x:v>
      </x:c>
      <x:c r="Q53" s="39" t="n">
        <x:v>0.0061132964</x:v>
      </x:c>
      <x:c r="R53" s="39" t="n">
        <x:v>-0.0123144429</x:v>
      </x:c>
      <x:c r="S53" s="39" t="n">
        <x:v>-0.0143950162</x:v>
      </x:c>
    </x:row>
    <x:row r="54" ht="19" customHeight="1">
      <x:c r="A54" s="40" t="d">
        <x:v>2024-03-25T00:00:00.000Z</x:v>
      </x:c>
      <x:c r="B54" s="39" t="n">
        <x:v>0.0290061683</x:v>
      </x:c>
      <x:c r="C54" s="39" t="n">
        <x:v>-0.0034162939</x:v>
      </x:c>
      <x:c r="D54" s="39" t="n">
        <x:v>-0.0053069</x:v>
      </x:c>
      <x:c r="E54" s="39" t="n">
        <x:v>-0.0049799988</x:v>
      </x:c>
      <x:c r="F54" s="39" t="n">
        <x:v>0.0032213102</x:v>
      </x:c>
      <x:c r="G54" s="39" t="n">
        <x:v>-0.0065204629</x:v>
      </x:c>
      <x:c r="H54" s="39" t="n">
        <x:v>0.0244260573</x:v>
      </x:c>
      <x:c r="I54" s="39" t="n">
        <x:v>0.0038518058</x:v>
      </x:c>
      <x:c r="J54" s="39" t="n">
        <x:v>-0.0256132043</x:v>
      </x:c>
      <x:c r="K54" s="39" t="n">
        <x:v>0.0237960815</x:v>
      </x:c>
      <x:c r="L54" s="39" t="n">
        <x:v>0.0795463464</x:v>
      </x:c>
      <x:c r="M54" s="39" t="n">
        <x:v>0.0301549393</x:v>
      </x:c>
      <x:c r="N54" s="39" t="n">
        <x:v>0.0012097567</x:v>
      </x:c>
      <x:c r="O54" s="39" t="n">
        <x:v>0.0177919999</x:v>
      </x:c>
      <x:c r="P54" s="39" t="n">
        <x:v>0.0448712856</x:v>
      </x:c>
      <x:c r="Q54" s="39" t="n">
        <x:v>-0.0083494913</x:v>
      </x:c>
      <x:c r="R54" s="39" t="n">
        <x:v>-0.0458872785</x:v>
      </x:c>
      <x:c r="S54" s="39" t="n">
        <x:v>0.0622983489</x:v>
      </x:c>
    </x:row>
    <x:row r="55" ht="19" customHeight="1">
      <x:c r="A55" s="40" t="d">
        <x:v>2024-04-22T00:00:00.000Z</x:v>
      </x:c>
      <x:c r="B55" s="39" t="n">
        <x:v>-0.0385812263</x:v>
      </x:c>
      <x:c r="C55" s="39" t="n">
        <x:v>-0.0108062512</x:v>
      </x:c>
      <x:c r="D55" s="39" t="n">
        <x:v>-0.009300743</x:v>
      </x:c>
      <x:c r="E55" s="39" t="n">
        <x:v>-0.0097992302</x:v>
      </x:c>
      <x:c r="F55" s="39" t="n">
        <x:v>0.0023275551</x:v>
      </x:c>
      <x:c r="G55" s="39" t="n">
        <x:v>-0.0090291964</x:v>
      </x:c>
      <x:c r="H55" s="39" t="n">
        <x:v>-0.0311607723</x:v>
      </x:c>
      <x:c r="I55" s="39" t="n">
        <x:v>0.0099443649</x:v>
      </x:c>
      <x:c r="J55" s="39" t="n">
        <x:v>-0.0040730485</x:v>
      </x:c>
      <x:c r="K55" s="39" t="n">
        <x:v>0.0005149419</x:v>
      </x:c>
      <x:c r="L55" s="39" t="n">
        <x:v>-0.0101995578</x:v>
      </x:c>
      <x:c r="M55" s="39" t="n">
        <x:v>-0.010888056</x:v>
      </x:c>
      <x:c r="N55" s="39" t="n">
        <x:v>-0.046127154</x:v>
      </x:c>
      <x:c r="O55" s="39" t="n">
        <x:v>-0.0042728702</x:v>
      </x:c>
      <x:c r="P55" s="39" t="n">
        <x:v>-0.0150506124</x:v>
      </x:c>
      <x:c r="Q55" s="39" t="n">
        <x:v>-0.0569392732</x:v>
      </x:c>
      <x:c r="R55" s="39" t="n">
        <x:v>0.0012781078</x:v>
      </x:c>
      <x:c r="S55" s="39" t="n">
        <x:v>0.0188438112</x:v>
      </x:c>
    </x:row>
    <x:row r="56" ht="19" customHeight="1">
      <x:c r="A56" s="40" t="d">
        <x:v>2024-05-20T00:00:00.000Z</x:v>
      </x:c>
      <x:c r="B56" s="39" t="n">
        <x:v>0.0299374355</x:v>
      </x:c>
      <x:c r="C56" s="39" t="n">
        <x:v>0.0101441792</x:v>
      </x:c>
      <x:c r="D56" s="39" t="n">
        <x:v>0.0139958933</x:v>
      </x:c>
      <x:c r="E56" s="39" t="n">
        <x:v>0.0155384866</x:v>
      </x:c>
      <x:c r="F56" s="39" t="n">
        <x:v>0.0170494498</x:v>
      </x:c>
      <x:c r="G56" s="39" t="n">
        <x:v>0.0061633633</x:v>
      </x:c>
      <x:c r="H56" s="39" t="n">
        <x:v>0.0449221487</x:v>
      </x:c>
      <x:c r="I56" s="39" t="n">
        <x:v>-0.0013900525</x:v>
      </x:c>
      <x:c r="J56" s="39" t="n">
        <x:v>-0.0478362635</x:v>
      </x:c>
      <x:c r="K56" s="39" t="n">
        <x:v>0.0024569771</x:v>
      </x:c>
      <x:c r="L56" s="39" t="n">
        <x:v>-0.0622794903</x:v>
      </x:c>
      <x:c r="M56" s="39" t="n">
        <x:v>-0.0167001997</x:v>
      </x:c>
      <x:c r="N56" s="39" t="n">
        <x:v>0.0124471042</x:v>
      </x:c>
      <x:c r="O56" s="39" t="n">
        <x:v>-0.025722245</x:v>
      </x:c>
      <x:c r="P56" s="39" t="n">
        <x:v>-0.0105253589</x:v>
      </x:c>
      <x:c r="Q56" s="39" t="n">
        <x:v>-0.0058008342</x:v>
      </x:c>
      <x:c r="R56" s="39" t="n">
        <x:v>0.016640772</x:v>
      </x:c>
      <x:c r="S56" s="39" t="n">
        <x:v>0.0640786181</x:v>
      </x:c>
    </x:row>
    <x:row r="57" ht="19" customHeight="1">
      <x:c r="A57" s="40" t="d">
        <x:v>2024-06-17T00:00:00.000Z</x:v>
      </x:c>
      <x:c r="B57" s="39" t="n">
        <x:v>-0.0906357863</x:v>
      </x:c>
      <x:c r="C57" s="39" t="n">
        <x:v>-0.004209079</x:v>
      </x:c>
      <x:c r="D57" s="39" t="n">
        <x:v>-0.0147708234</x:v>
      </x:c>
      <x:c r="E57" s="39" t="n">
        <x:v>-0.0156395671</x:v>
      </x:c>
      <x:c r="F57" s="39" t="n">
        <x:v>0.0060393289</x:v>
      </x:c>
      <x:c r="G57" s="39" t="n">
        <x:v>-0.0080870436</x:v>
      </x:c>
      <x:c r="H57" s="39" t="n">
        <x:v>0.034914383</x:v>
      </x:c>
      <x:c r="I57" s="39" t="n">
        <x:v>-0.0039983673</x:v>
      </x:c>
      <x:c r="J57" s="39" t="n">
        <x:v>0.0103270206</x:v>
      </x:c>
      <x:c r="K57" s="39" t="n">
        <x:v>-0.0070325803</x:v>
      </x:c>
      <x:c r="L57" s="39" t="n">
        <x:v>-0.0327449349</x:v>
      </x:c>
      <x:c r="M57" s="39" t="n">
        <x:v>-0.0373132562</x:v>
      </x:c>
      <x:c r="N57" s="39" t="n">
        <x:v>0.00079379</x:v>
      </x:c>
      <x:c r="O57" s="39" t="n">
        <x:v>-0.0464734034</x:v>
      </x:c>
      <x:c r="P57" s="39" t="n">
        <x:v>-0.0464986465</x:v>
      </x:c>
      <x:c r="Q57" s="39" t="n">
        <x:v>0.0092248594</x:v>
      </x:c>
      <x:c r="R57" s="39" t="n">
        <x:v>0.0162914835</x:v>
      </x:c>
      <x:c r="S57" s="39" t="n">
        <x:v>-0.0502079652</x:v>
      </x:c>
    </x:row>
    <x:row r="58" ht="19" customHeight="1">
      <x:c r="A58" s="40" t="d">
        <x:v>2024-07-15T00:00:00.000Z</x:v>
      </x:c>
      <x:c r="B58" s="39" t="n">
        <x:v>0.0029870423</x:v>
      </x:c>
      <x:c r="C58" s="39" t="n">
        <x:v>0.0085538433</x:v>
      </x:c>
      <x:c r="D58" s="39" t="n">
        <x:v>0.0193962733</x:v>
      </x:c>
      <x:c r="E58" s="39" t="n">
        <x:v>0.0198003162</x:v>
      </x:c>
      <x:c r="F58" s="39" t="n">
        <x:v>0.0028805859</x:v>
      </x:c>
      <x:c r="G58" s="39" t="n">
        <x:v>0.0032569107</x:v>
      </x:c>
      <x:c r="H58" s="39" t="n">
        <x:v>0.009273645</x:v>
      </x:c>
      <x:c r="I58" s="39" t="n">
        <x:v>-0.0014580968</x:v>
      </x:c>
      <x:c r="J58" s="39" t="n">
        <x:v>0.0306627596</x:v>
      </x:c>
      <x:c r="K58" s="39" t="n">
        <x:v>0.0097487461</x:v>
      </x:c>
      <x:c r="L58" s="39" t="n">
        <x:v>0.023949136</x:v>
      </x:c>
      <x:c r="M58" s="39" t="n">
        <x:v>0.0360995374</x:v>
      </x:c>
      <x:c r="N58" s="39" t="n">
        <x:v>0.0066918418</x:v>
      </x:c>
      <x:c r="O58" s="39" t="n">
        <x:v>0.0105387227</x:v>
      </x:c>
      <x:c r="P58" s="39" t="n">
        <x:v>0.0055391703</x:v>
      </x:c>
      <x:c r="Q58" s="39" t="n">
        <x:v>0.0668557957</x:v>
      </x:c>
      <x:c r="R58" s="39" t="n">
        <x:v>-0.0488405076</x:v>
      </x:c>
      <x:c r="S58" s="39" t="n">
        <x:v>0.0146893986</x:v>
      </x:c>
    </x:row>
    <x:row r="59" ht="19" customHeight="1">
      <x:c r="A59" s="40" t="d">
        <x:v>2024-08-12T00:00:00.000Z</x:v>
      </x:c>
      <x:c r="B59" s="39" t="n">
        <x:v>-0.0362008253</x:v>
      </x:c>
      <x:c r="C59" s="39" t="n">
        <x:v>0.0232853781</x:v>
      </x:c>
      <x:c r="D59" s="39" t="n">
        <x:v>0.0152200644</x:v>
      </x:c>
      <x:c r="E59" s="39" t="n">
        <x:v>0.0148518865</x:v>
      </x:c>
      <x:c r="F59" s="39" t="n">
        <x:v>-0.0025776073</x:v>
      </x:c>
      <x:c r="G59" s="39" t="n">
        <x:v>-0.0050371799</x:v>
      </x:c>
      <x:c r="H59" s="39" t="n">
        <x:v>0.0110696428</x:v>
      </x:c>
      <x:c r="I59" s="39" t="n">
        <x:v>0.0070331208</x:v>
      </x:c>
      <x:c r="J59" s="39" t="n">
        <x:v>-0.0346275718</x:v>
      </x:c>
      <x:c r="K59" s="39" t="n">
        <x:v>0.0294370539</x:v>
      </x:c>
      <x:c r="L59" s="39" t="n">
        <x:v>-0.0411834516</x:v>
      </x:c>
      <x:c r="M59" s="39" t="n">
        <x:v>0.0136961621</x:v>
      </x:c>
      <x:c r="N59" s="39" t="n">
        <x:v>0.0314788032</x:v>
      </x:c>
      <x:c r="O59" s="39" t="n">
        <x:v>0.0068828795</x:v>
      </x:c>
      <x:c r="P59" s="39" t="n">
        <x:v>-0.0012818082</x:v>
      </x:c>
      <x:c r="Q59" s="39" t="n">
        <x:v>0.0333698377</x:v>
      </x:c>
      <x:c r="R59" s="39" t="n">
        <x:v>-0.0127019872</x:v>
      </x:c>
      <x:c r="S59" s="39" t="n">
        <x:v>0.0613290747</x:v>
      </x:c>
    </x:row>
    <x:row r="60" ht="19" customHeight="1">
      <x:c r="A60" s="40" t="d">
        <x:v>2024-09-09T00:00:00.000Z</x:v>
      </x:c>
      <x:c r="B60" s="39" t="n">
        <x:v>-0.0353922506</x:v>
      </x:c>
      <x:c r="C60" s="39" t="n">
        <x:v>0.0173589663</x:v>
      </x:c>
      <x:c r="D60" s="39" t="n">
        <x:v>0.0048281604</x:v>
      </x:c>
      <x:c r="E60" s="39" t="n">
        <x:v>0.0052795101</x:v>
      </x:c>
      <x:c r="F60" s="39" t="n">
        <x:v>0.0060905696</x:v>
      </x:c>
      <x:c r="G60" s="39" t="n">
        <x:v>0.0157329827</x:v>
      </x:c>
      <x:c r="H60" s="39" t="n">
        <x:v>0.0160601224</x:v>
      </x:c>
      <x:c r="I60" s="39" t="n">
        <x:v>-0.0047904694</x:v>
      </x:c>
      <x:c r="J60" s="39" t="n">
        <x:v>0.0464318783</x:v>
      </x:c>
      <x:c r="K60" s="39" t="n">
        <x:v>0.0408145364</x:v>
      </x:c>
      <x:c r="L60" s="39" t="n">
        <x:v>-0.0809273077</x:v>
      </x:c>
      <x:c r="M60" s="39" t="n">
        <x:v>0.0048341426</x:v>
      </x:c>
      <x:c r="N60" s="39" t="n">
        <x:v>0.0158294464</x:v>
      </x:c>
      <x:c r="O60" s="39" t="n">
        <x:v>0.0159397465</x:v>
      </x:c>
      <x:c r="P60" s="39" t="n">
        <x:v>0.0160080565</x:v>
      </x:c>
      <x:c r="Q60" s="39" t="n">
        <x:v>0.081226692</x:v>
      </x:c>
      <x:c r="R60" s="39" t="n">
        <x:v>-0.0277924677</x:v>
      </x:c>
      <x:c r="S60" s="39" t="n">
        <x:v>0.0532641429</x:v>
      </x:c>
    </x:row>
    <x:row r="61" ht="19" customHeight="1">
      <x:c r="A61" s="40" t="d">
        <x:v>2024-10-07T00:00:00.000Z</x:v>
      </x:c>
      <x:c r="B61" s="39" t="n">
        <x:v>-0.0037325178</x:v>
      </x:c>
      <x:c r="C61" s="39" t="n">
        <x:v>-0.0060787321</x:v>
      </x:c>
      <x:c r="D61" s="39" t="n">
        <x:v>-0.0146472016</x:v>
      </x:c>
      <x:c r="E61" s="39" t="n">
        <x:v>-0.0145700271</x:v>
      </x:c>
      <x:c r="F61" s="39" t="n">
        <x:v>0.0080706178</x:v>
      </x:c>
      <x:c r="G61" s="39" t="n">
        <x:v>-0.0052948662</x:v>
      </x:c>
      <x:c r="H61" s="39" t="n">
        <x:v>0.0399617594</x:v>
      </x:c>
      <x:c r="I61" s="39" t="n">
        <x:v>0.0158697385</x:v>
      </x:c>
      <x:c r="J61" s="39" t="n">
        <x:v>-0.0123603385</x:v>
      </x:c>
      <x:c r="K61" s="39" t="n">
        <x:v>-0.0437012276</x:v>
      </x:c>
      <x:c r="L61" s="39" t="n">
        <x:v>0.0935083393</x:v>
      </x:c>
      <x:c r="M61" s="39" t="n">
        <x:v>0.0223492854</x:v>
      </x:c>
      <x:c r="N61" s="39" t="n">
        <x:v>-0.0327083969</x:v>
      </x:c>
      <x:c r="O61" s="39" t="n">
        <x:v>0.0353281397</x:v>
      </x:c>
      <x:c r="P61" s="39" t="n">
        <x:v>0.0161976319</x:v>
      </x:c>
      <x:c r="Q61" s="39" t="n">
        <x:v>-0.0674009668</x:v>
      </x:c>
      <x:c r="R61" s="39" t="n">
        <x:v>-0.0012114734</x:v>
      </x:c>
      <x:c r="S61" s="39" t="n">
        <x:v>-0.00022386</x:v>
      </x:c>
    </x:row>
    <x:row r="62" ht="19" customHeight="1">
      <x:c r="A62" s="40" t="d">
        <x:v>2024-11-04T00:00:00.000Z</x:v>
      </x:c>
      <x:c r="B62" s="39" t="n">
        <x:v>-0.0545716868</x:v>
      </x:c>
      <x:c r="C62" s="39" t="n">
        <x:v>-0.0185778955</x:v>
      </x:c>
      <x:c r="D62" s="39" t="n">
        <x:v>-0.0235361985</x:v>
      </x:c>
      <x:c r="E62" s="39" t="n">
        <x:v>-0.0250434782</x:v>
      </x:c>
      <x:c r="F62" s="39" t="n">
        <x:v>-0.0305585215</x:v>
      </x:c>
      <x:c r="G62" s="39" t="n">
        <x:v>-0.0245509976</x:v>
      </x:c>
      <x:c r="H62" s="39" t="n">
        <x:v>0.0378448543</x:v>
      </x:c>
      <x:c r="I62" s="39" t="n">
        <x:v>0.0406486495</x:v>
      </x:c>
      <x:c r="J62" s="39" t="n">
        <x:v>0.070733996</x:v>
      </x:c>
      <x:c r="K62" s="39" t="n">
        <x:v>-0.0285274501</x:v>
      </x:c>
      <x:c r="L62" s="39" t="n">
        <x:v>-0.0001562346</x:v>
      </x:c>
      <x:c r="M62" s="39" t="n">
        <x:v>0.0349593101</x:v>
      </x:c>
      <x:c r="N62" s="39" t="n">
        <x:v>-0.0480753558</x:v>
      </x:c>
      <x:c r="O62" s="39" t="n">
        <x:v>-0.0042511726</x:v>
      </x:c>
      <x:c r="P62" s="39" t="n">
        <x:v>-0.0453862208</x:v>
      </x:c>
      <x:c r="Q62" s="39" t="n">
        <x:v>-0.0133054615</x:v>
      </x:c>
      <x:c r="R62" s="39" t="n">
        <x:v>-0.0220179595</x:v>
      </x:c>
      <x:c r="S62" s="39" t="n">
        <x:v>-0.0190242979</x:v>
      </x:c>
    </x:row>
    <x:row r="63" ht="19" customHeight="1">
      <x:c r="A63" s="40" t="d">
        <x:v>2024-12-02T00:00:00.000Z</x:v>
      </x:c>
      <x:c r="B63" s="39" t="n">
        <x:v>-0.0009995481</x:v>
      </x:c>
      <x:c r="C63" s="39" t="n">
        <x:v>-0.0153908194</x:v>
      </x:c>
      <x:c r="D63" s="39" t="n">
        <x:v>-0.0175051182</x:v>
      </x:c>
      <x:c r="E63" s="39" t="n">
        <x:v>-0.0166851119</x:v>
      </x:c>
      <x:c r="F63" s="39" t="n">
        <x:v>-0.0355388153</x:v>
      </x:c>
      <x:c r="G63" s="39" t="n">
        <x:v>-0.012729198</x:v>
      </x:c>
      <x:c r="H63" s="39" t="n">
        <x:v>0.0193746931</x:v>
      </x:c>
      <x:c r="I63" s="39" t="n">
        <x:v>0.0424793944</x:v>
      </x:c>
      <x:c r="J63" s="39" t="n">
        <x:v>0.0804806491</x:v>
      </x:c>
      <x:c r="K63" s="39" t="n">
        <x:v>0.0142594155</x:v>
      </x:c>
      <x:c r="L63" s="39" t="n">
        <x:v>-0.0516333509</x:v>
      </x:c>
      <x:c r="M63" s="39" t="n">
        <x:v>0.0121749623</x:v>
      </x:c>
      <x:c r="N63" s="39" t="n">
        <x:v>-0.0591374355</x:v>
      </x:c>
      <x:c r="O63" s="39" t="n">
        <x:v>-0.032643518</x:v>
      </x:c>
      <x:c r="P63" s="39" t="n">
        <x:v>-0.0468159561</x:v>
      </x:c>
      <x:c r="Q63" s="39" t="n">
        <x:v>-0.0150254491</x:v>
      </x:c>
      <x:c r="R63" s="39" t="n">
        <x:v>-0.0088698977</x:v>
      </x:c>
      <x:c r="S63" s="39" t="n">
        <x:v>-0.0026951223</x:v>
      </x:c>
    </x:row>
    <x:row r="64" ht="19" customHeight="1">
      <x:c r="A64" s="40" t="d">
        <x:v>2024-12-30T00:00:00.000Z</x:v>
      </x:c>
      <x:c r="B64" s="39" t="n">
        <x:v>-0.0265277688</x:v>
      </x:c>
      <x:c r="C64" s="39" t="n">
        <x:v>-0.0249842634</x:v>
      </x:c>
      <x:c r="D64" s="39" t="n">
        <x:v>-0.0304747521</x:v>
      </x:c>
      <x:c r="E64" s="39" t="n">
        <x:v>-0.0310044264</x:v>
      </x:c>
      <x:c r="F64" s="39" t="n">
        <x:v>-0.0339878689</x:v>
      </x:c>
      <x:c r="G64" s="39" t="n">
        <x:v>-0.0267634568</x:v>
      </x:c>
      <x:c r="H64" s="39" t="n">
        <x:v>-0.0284271373</x:v>
      </x:c>
      <x:c r="I64" s="39" t="n">
        <x:v>-0.0063929045</x:v>
      </x:c>
      <x:c r="J64" s="39" t="n">
        <x:v>0.0060055738</x:v>
      </x:c>
      <x:c r="K64" s="39" t="n">
        <x:v>-0.0423778354</x:v>
      </x:c>
      <x:c r="L64" s="39" t="n">
        <x:v>-0.0635659781</x:v>
      </x:c>
      <x:c r="M64" s="39" t="n">
        <x:v>-0.0188699316</x:v>
      </x:c>
      <x:c r="N64" s="39" t="n">
        <x:v>-0.0294620045</x:v>
      </x:c>
      <x:c r="O64" s="39" t="n">
        <x:v>-0.0423598733</x:v>
      </x:c>
      <x:c r="P64" s="39" t="n">
        <x:v>-0.0934122608</x:v>
      </x:c>
      <x:c r="Q64" s="39" t="n">
        <x:v>-0.0436627641</x:v>
      </x:c>
      <x:c r="R64" s="39" t="n">
        <x:v>0.0178770461</x:v>
      </x:c>
      <x:c r="S64" s="39" t="n">
        <x:v>-0.0220028414</x:v>
      </x:c>
    </x:row>
    <x:row r="65" ht="19" customHeight="1">
      <x:c r="A65" s="40" t="d">
        <x:v>2025-01-27T00:00:00.000Z</x:v>
      </x:c>
      <x:c r="B65" s="39" t="n">
        <x:v>-0.0030620993</x:v>
      </x:c>
      <x:c r="C65" s="39" t="n">
        <x:v>0.0117303194</x:v>
      </x:c>
      <x:c r="D65" s="39" t="n">
        <x:v>0.0056938386</x:v>
      </x:c>
      <x:c r="E65" s="39" t="n">
        <x:v>0.0059411521</x:v>
      </x:c>
      <x:c r="F65" s="39" t="n">
        <x:v>0.0040111351</x:v>
      </x:c>
      <x:c r="G65" s="39" t="n">
        <x:v>-0.0016151918</x:v>
      </x:c>
      <x:c r="H65" s="39" t="n">
        <x:v>0.0206565223</x:v>
      </x:c>
      <x:c r="I65" s="39" t="n">
        <x:v>0.0388986635</x:v>
      </x:c>
      <x:c r="J65" s="39" t="n">
        <x:v>0.0173601042</x:v>
      </x:c>
      <x:c r="K65" s="39" t="n">
        <x:v>0.0008455452</x:v>
      </x:c>
      <x:c r="L65" s="39" t="n">
        <x:v>-0.0130740857</x:v>
      </x:c>
      <x:c r="M65" s="39" t="n">
        <x:v>0.0535658707</x:v>
      </x:c>
      <x:c r="N65" s="39" t="n">
        <x:v>0.0581094011</x:v>
      </x:c>
      <x:c r="O65" s="39" t="n">
        <x:v>0.031284786</x:v>
      </x:c>
      <x:c r="P65" s="39" t="n">
        <x:v>0.0669510623</x:v>
      </x:c>
      <x:c r="Q65" s="39" t="n">
        <x:v>0.0054053303</x:v>
      </x:c>
      <x:c r="R65" s="39" t="n">
        <x:v>-0.0558935146</x:v>
      </x:c>
      <x:c r="S65" s="39" t="n">
        <x:v>0.001886941</x:v>
      </x:c>
    </x:row>
    <x:row r="66" ht="19" customHeight="1">
      <x:c r="A66" s="40" t="d">
        <x:v>2025-02-24T00:00:00.000Z</x:v>
      </x:c>
      <x:c r="B66" s="39" t="n">
        <x:v>0.0084258962</x:v>
      </x:c>
      <x:c r="C66" s="39" t="n">
        <x:v>0.0055214418</x:v>
      </x:c>
      <x:c r="D66" s="39" t="n">
        <x:v>0.0026238889</x:v>
      </x:c>
      <x:c r="E66" s="39" t="n">
        <x:v>0.0021025398</x:v>
      </x:c>
      <x:c r="F66" s="39" t="n">
        <x:v>-0.0062912478</x:v>
      </x:c>
      <x:c r="G66" s="39" t="n">
        <x:v>0.010158537</x:v>
      </x:c>
      <x:c r="H66" s="39" t="n">
        <x:v>-0.0161862616</x:v>
      </x:c>
      <x:c r="I66" s="39" t="n">
        <x:v>0.012156811</x:v>
      </x:c>
      <x:c r="J66" s="39" t="n">
        <x:v>-0.0652660586</x:v>
      </x:c>
      <x:c r="K66" s="39" t="n">
        <x:v>0.0695627504</x:v>
      </x:c>
      <x:c r="L66" s="39" t="n">
        <x:v>0.0251413756</x:v>
      </x:c>
      <x:c r="M66" s="39" t="n">
        <x:v>0.0284918631</x:v>
      </x:c>
      <x:c r="N66" s="39" t="n">
        <x:v>0.0233342226</x:v>
      </x:c>
      <x:c r="O66" s="39" t="n">
        <x:v>-0.0071502687</x:v>
      </x:c>
      <x:c r="P66" s="39" t="n">
        <x:v>0.0132062491</x:v>
      </x:c>
      <x:c r="Q66" s="39" t="n">
        <x:v>0.0701883098</x:v>
      </x:c>
      <x:c r="R66" s="39" t="n">
        <x:v>-0.005006637</x:v>
      </x:c>
      <x:c r="S66" s="39" t="n">
        <x:v>0.0255101856</x:v>
      </x:c>
    </x:row>
    <x:row r="67" ht="19" customHeight="1">
      <x:c r="A67" s="40" t="d">
        <x:v>2025-03-24T00:00:00.000Z</x:v>
      </x:c>
      <x:c r="B67" s="39" t="n">
        <x:v>0.0103175654</x:v>
      </x:c>
      <x:c r="C67" s="39" t="n">
        <x:v>0.010698013</x:v>
      </x:c>
      <x:c r="D67" s="39" t="n">
        <x:v>0.0541733105</x:v>
      </x:c>
      <x:c r="E67" s="39" t="n">
        <x:v>0.0611906118</x:v>
      </x:c>
      <x:c r="F67" s="39" t="n">
        <x:v>0.0199015376</x:v>
      </x:c>
      <x:c r="G67" s="39" t="n">
        <x:v>-0.0051410615</x:v>
      </x:c>
      <x:c r="H67" s="39" t="n">
        <x:v>-0.0822616423</x:v>
      </x:c>
      <x:c r="I67" s="39" t="n">
        <x:v>0.000473037</x:v>
      </x:c>
      <x:c r="J67" s="39" t="n">
        <x:v>-0.0100516676</x:v>
      </x:c>
      <x:c r="K67" s="39" t="n">
        <x:v>-0.0029750616</x:v>
      </x:c>
      <x:c r="L67" s="39" t="n">
        <x:v>-0.0051000643</x:v>
      </x:c>
      <x:c r="M67" s="39" t="n">
        <x:v>-0.0066019644</x:v>
      </x:c>
      <x:c r="N67" s="39" t="n">
        <x:v>0.0020396483</x:v>
      </x:c>
      <x:c r="O67" s="39" t="n">
        <x:v>0.0133795536</x:v>
      </x:c>
      <x:c r="P67" s="39" t="n">
        <x:v>0.0152138384</x:v>
      </x:c>
      <x:c r="Q67" s="39" t="n">
        <x:v>0.0284653812</x:v>
      </x:c>
      <x:c r="R67" s="39" t="n">
        <x:v>0.0089519779</x:v>
      </x:c>
      <x:c r="S67" s="39" t="n">
        <x:v>0.019450515</x:v>
      </x:c>
    </x:row>
    <x:row r="68" ht="19" customHeight="1">
      <x:c r="A68" s="40" t="d">
        <x:v>2025-04-21T00:00:00.000Z</x:v>
      </x:c>
      <x:c r="B68" s="39" t="n">
        <x:v>0.0574053138</x:v>
      </x:c>
      <x:c r="C68" s="39" t="n">
        <x:v>0.025541065</x:v>
      </x:c>
      <x:c r="D68" s="39" t="n">
        <x:v>0.0622128976</x:v>
      </x:c>
      <x:c r="E68" s="39" t="n">
        <x:v>0.0593593289</x:v>
      </x:c>
      <x:c r="F68" s="39" t="n">
        <x:v>0.0217422767</x:v>
      </x:c>
      <x:c r="G68" s="39" t="n">
        <x:v>0.0440292019</x:v>
      </x:c>
      <x:c r="H68" s="39" t="n">
        <x:v>-0.0118263696</x:v>
      </x:c>
      <x:c r="I68" s="39" t="n">
        <x:v>-0.0060899081</x:v>
      </x:c>
      <x:c r="J68" s="39" t="n">
        <x:v>0.0249937161</x:v>
      </x:c>
      <x:c r="K68" s="39" t="n">
        <x:v>0.0106290643</x:v>
      </x:c>
      <x:c r="L68" s="39" t="n">
        <x:v>-0.1715360575</x:v>
      </x:c>
      <x:c r="M68" s="39" t="n">
        <x:v>-0.0242557464</x:v>
      </x:c>
      <x:c r="N68" s="39" t="n">
        <x:v>-0.0559788715</x:v>
      </x:c>
      <x:c r="O68" s="39" t="n">
        <x:v>-0.0037787464</x:v>
      </x:c>
      <x:c r="P68" s="39" t="n">
        <x:v>-0.0274612617</x:v>
      </x:c>
      <x:c r="Q68" s="39" t="n">
        <x:v>-0.0132595295</x:v>
      </x:c>
      <x:c r="R68" s="39" t="n">
        <x:v>0.0310812651</x:v>
      </x:c>
      <x:c r="S68" s="39" t="n">
        <x:v>0.0059708946</x:v>
      </x:c>
    </x:row>
    <x:row r="69" ht="19" customHeight="1">
      <x:c r="A69" s="40" t="d">
        <x:v>2025-05-19T00:00:00.000Z</x:v>
      </x:c>
      <x:c r="B69" s="39" t="n">
        <x:v>0.0177575005</x:v>
      </x:c>
      <x:c r="C69" s="39" t="n">
        <x:v>0.0272429295</x:v>
      </x:c>
      <x:c r="D69" s="39" t="n">
        <x:v>0.0008250854</x:v>
      </x:c>
      <x:c r="E69" s="39" t="n">
        <x:v>-0.0027079816</x:v>
      </x:c>
      <x:c r="F69" s="39" t="n">
        <x:v>0.0177987109</x:v>
      </x:c>
      <x:c r="G69" s="39" t="n">
        <x:v>-0.0102852147</x:v>
      </x:c>
      <x:c r="H69" s="39" t="n">
        <x:v>0.0666254263</x:v>
      </x:c>
      <x:c r="I69" s="39" t="n">
        <x:v>0.019413993</x:v>
      </x:c>
      <x:c r="J69" s="39" t="n">
        <x:v>0.0134508203</x:v>
      </x:c>
      <x:c r="K69" s="39" t="n">
        <x:v>-0.015729635</x:v>
      </x:c>
      <x:c r="L69" s="39" t="n">
        <x:v>-0.0131694203</x:v>
      </x:c>
      <x:c r="M69" s="39" t="n">
        <x:v>-0.0004451617</x:v>
      </x:c>
      <x:c r="N69" s="39" t="n">
        <x:v>-0.1078803745</x:v>
      </x:c>
      <x:c r="O69" s="39" t="n">
        <x:v>0.0552013965</x:v>
      </x:c>
      <x:c r="P69" s="39" t="n">
        <x:v>-0.0010699641</x:v>
      </x:c>
      <x:c r="Q69" s="39" t="n">
        <x:v>-0.0467563698</x:v>
      </x:c>
      <x:c r="R69" s="39" t="n">
        <x:v>0.0149318929</x:v>
      </x:c>
      <x:c r="S69" s="39" t="n">
        <x:v>0.0176923312</x:v>
      </x:c>
    </x:row>
    <x:row r="70" ht="19" customHeight="1">
      <x:c r="A70" s="40" t="d">
        <x:v>2025-06-16T00:00:00.000Z</x:v>
      </x:c>
      <x:c r="B70" s="39" t="n">
        <x:v>0.0048326395</x:v>
      </x:c>
      <x:c r="C70" s="39" t="n">
        <x:v>0.0013547409</x:v>
      </x:c>
      <x:c r="D70" s="39" t="n">
        <x:v>0.0188145618</x:v>
      </x:c>
      <x:c r="E70" s="39" t="n">
        <x:v>0.0181076064</x:v>
      </x:c>
      <x:c r="F70" s="39" t="n">
        <x:v>-0.0016514097</x:v>
      </x:c>
      <x:c r="G70" s="39" t="n">
        <x:v>0.0368875548</x:v>
      </x:c>
      <x:c r="H70" s="39" t="n">
        <x:v>0.0386174878</x:v>
      </x:c>
      <x:c r="I70" s="39" t="n">
        <x:v>0.0011094302</x:v>
      </x:c>
      <x:c r="J70" s="39" t="n">
        <x:v>-0.0379056198</x:v>
      </x:c>
      <x:c r="K70" s="39" t="n">
        <x:v>-0.0263139142</x:v>
      </x:c>
      <x:c r="L70" s="39" t="n">
        <x:v>0.0975887408</x:v>
      </x:c>
      <x:c r="M70" s="39" t="n">
        <x:v>-0.0244668743</x:v>
      </x:c>
      <x:c r="N70" s="39" t="n">
        <x:v>0.0038380594</x:v>
      </x:c>
      <x:c r="O70" s="39" t="n">
        <x:v>-0.0216815222</x:v>
      </x:c>
      <x:c r="P70" s="39" t="n">
        <x:v>-0.0168954146</x:v>
      </x:c>
      <x:c r="Q70" s="39" t="n">
        <x:v>0.0115776686</x:v>
      </x:c>
      <x:c r="R70" s="39" t="n">
        <x:v>0.0231370845</x:v>
      </x:c>
      <x:c r="S70" s="39" t="n">
        <x:v>-0.0229169731</x:v>
      </x:c>
    </x:row>
    <x:row r="71" ht="19" customHeight="1">
      <x:c r="A71" s="40" t="d">
        <x:v>2025-07-14T00:00:00.000Z</x:v>
      </x:c>
      <x:c r="B71" s="39" t="n">
        <x:v>0.0302699612</x:v>
      </x:c>
      <x:c r="C71" s="39" t="n">
        <x:v>0.0016931533</x:v>
      </x:c>
      <x:c r="D71" s="39" t="n">
        <x:v>0.0109437699</x:v>
      </x:c>
      <x:c r="E71" s="39" t="n">
        <x:v>0.0121191026</x:v>
      </x:c>
      <x:c r="F71" s="39" t="n">
        <x:v>0.0110566395</x:v>
      </x:c>
      <x:c r="G71" s="39" t="n">
        <x:v>-0.0131634624</x:v>
      </x:c>
      <x:c r="H71" s="39" t="n">
        <x:v>0.0741175656</x:v>
      </x:c>
      <x:c r="I71" s="39" t="n">
        <x:v>-0.0198848644</x:v>
      </x:c>
      <x:c r="J71" s="39" t="n">
        <x:v>-0.0048164816</x:v>
      </x:c>
      <x:c r="K71" s="39" t="n">
        <x:v>-0.0240207617</x:v>
      </x:c>
      <x:c r="L71" s="39" t="n">
        <x:v>-0.041236345</x:v>
      </x:c>
      <x:c r="M71" s="39" t="n">
        <x:v>0.0010946314</x:v>
      </x:c>
      <x:c r="N71" s="39" t="n">
        <x:v>-0.0366692213</x:v>
      </x:c>
      <x:c r="O71" s="39" t="n">
        <x:v>0.021085173</x:v>
      </x:c>
      <x:c r="P71" s="39" t="n">
        <x:v>0.0102569426</x:v>
      </x:c>
      <x:c r="Q71" s="39" t="n">
        <x:v>-0.0439859228</x:v>
      </x:c>
      <x:c r="R71" s="39" t="n">
        <x:v>0.0052185772</x:v>
      </x:c>
      <x:c r="S71" s="39" t="n">
        <x:v>0.0258475257</x:v>
      </x:c>
    </x:row>
    <x:row r="72" ht="19" customHeight="1">
      <x:c r="A72" s="40" t="d">
        <x:v>2025-08-11T00:00:00.000Z</x:v>
      </x:c>
      <x:c r="B72" s="39" t="n">
        <x:v>0.0006697671</x:v>
      </x:c>
      <x:c r="C72" s="39" t="n">
        <x:v>0.0039790603</x:v>
      </x:c>
      <x:c r="D72" s="39" t="n">
        <x:v>0.0097611603</x:v>
      </x:c>
      <x:c r="E72" s="39" t="n">
        <x:v>0.0093310563</x:v>
      </x:c>
      <x:c r="F72" s="39" t="n">
        <x:v>-0.0076009486</x:v>
      </x:c>
      <x:c r="G72" s="39" t="n">
        <x:v>-0.0075786572</x:v>
      </x:c>
      <x:c r="H72" s="39" t="n">
        <x:v>0.0344100444</x:v>
      </x:c>
      <x:c r="I72" s="39" t="n">
        <x:v>0.0370410351</x:v>
      </x:c>
      <x:c r="J72" s="39" t="n">
        <x:v>0.0088452712</x:v>
      </x:c>
      <x:c r="K72" s="39" t="n">
        <x:v>0.0040787617</x:v>
      </x:c>
      <x:c r="L72" s="39" t="n">
        <x:v>-0.0193085582</x:v>
      </x:c>
      <x:c r="M72" s="39" t="n">
        <x:v>-0.0314756387</x:v>
      </x:c>
      <x:c r="N72" s="39" t="n">
        <x:v>0.0276657171</x:v>
      </x:c>
      <x:c r="O72" s="39" t="n">
        <x:v>-0.0419103875</x:v>
      </x:c>
      <x:c r="P72" s="39" t="n">
        <x:v>-0.0278115774</x:v>
      </x:c>
      <x:c r="Q72" s="39" t="n">
        <x:v>-0.0405274305</x:v>
      </x:c>
      <x:c r="R72" s="39" t="n">
        <x:v>-0.0243171704</x:v>
      </x:c>
      <x:c r="S72" s="39" t="n">
        <x:v>0.0138702127</x:v>
      </x:c>
    </x:row>
    <x:row r="73" ht="19" customHeight="1">
      <x:c r="A73" s="40" t="d">
        <x:v>2025-09-08T00:00:00.000Z</x:v>
      </x:c>
      <x:c r="B73" s="39" t="n">
        <x:v>0.0228380914</x:v>
      </x:c>
      <x:c r="C73" s="39" t="n">
        <x:v>-0.0040355581</x:v>
      </x:c>
      <x:c r="D73" s="39" t="n">
        <x:v>0.0036387288</x:v>
      </x:c>
      <x:c r="E73" s="39" t="n">
        <x:v>0.0034423078</x:v>
      </x:c>
      <x:c r="F73" s="39" t="n">
        <x:v>0.0198373301</x:v>
      </x:c>
      <x:c r="G73" s="39" t="n">
        <x:v>-0.0023141424</x:v>
      </x:c>
      <x:c r="H73" s="39" t="n">
        <x:v>0.0300347223</x:v>
      </x:c>
      <x:c r="I73" s="39" t="n">
        <x:v>0.0458205398</x:v>
      </x:c>
      <x:c r="J73" s="39" t="n">
        <x:v>0.0293645028</x:v>
      </x:c>
      <x:c r="K73" s="39" t="n">
        <x:v>-0.0425631142</x:v>
      </x:c>
      <x:c r="L73" s="39" t="n">
        <x:v>0.0351089651</x:v>
      </x:c>
      <x:c r="M73" s="39" t="n">
        <x:v>0.0093973662</x:v>
      </x:c>
      <x:c r="N73" s="39" t="n">
        <x:v>0.0040640005</x:v>
      </x:c>
      <x:c r="O73" s="39" t="n">
        <x:v>-0.018226078</x:v>
      </x:c>
      <x:c r="P73" s="39" t="n">
        <x:v>0.0038231147</x:v>
      </x:c>
      <x:c r="Q73" s="39" t="n">
        <x:v>0.0141017399</x:v>
      </x:c>
      <x:c r="R73" s="39" t="n">
        <x:v>-0.0161230338</x:v>
      </x:c>
      <x:c r="S73" s="39" t="n">
        <x:v>-0.0167669973</x:v>
      </x:c>
    </x:row>
    <x:row r="74" ht="19" customHeight="1">
      <x:c r="A74" s="40" t="d">
        <x:v>2025-10-06T00:00:00.000Z</x:v>
      </x:c>
      <x:c r="B74" s="39" t="n">
        <x:v>-0.0119108888</x:v>
      </x:c>
      <x:c r="C74" s="39" t="n">
        <x:v>-0.0148339457</x:v>
      </x:c>
      <x:c r="D74" s="39" t="n">
        <x:v>-0.0144153299</x:v>
      </x:c>
      <x:c r="E74" s="39" t="n">
        <x:v>-0.014243116</x:v>
      </x:c>
      <x:c r="F74" s="39" t="n">
        <x:v>-0.0155557543</x:v>
      </x:c>
      <x:c r="G74" s="39" t="n">
        <x:v>-0.0143618833</x:v>
      </x:c>
      <x:c r="H74" s="39" t="n">
        <x:v>-0.0055756367</x:v>
      </x:c>
      <x:c r="I74" s="39" t="n">
        <x:v>-0.0441020297</x:v>
      </x:c>
      <x:c r="J74" s="39" t="n">
        <x:v>-0.0435321471</x:v>
      </x:c>
      <x:c r="K74" s="39" t="n">
        <x:v>-0.0289036354</x:v>
      </x:c>
      <x:c r="L74" s="39" t="n">
        <x:v>-0.0636098522</x:v>
      </x:c>
      <x:c r="M74" s="39" t="n">
        <x:v>-0.036602666</x:v>
      </x:c>
      <x:c r="N74" s="39" t="n">
        <x:v>0.0478294754</x:v>
      </x:c>
      <x:c r="O74" s="39" t="n">
        <x:v>-0.0077183902</x:v>
      </x:c>
      <x:c r="P74" s="39" t="n">
        <x:v>-0.0644875455</x:v>
      </x:c>
      <x:c r="Q74" s="39" t="n">
        <x:v>-0.0367252087</x:v>
      </x:c>
      <x:c r="R74" s="39" t="n">
        <x:v>0.0494359073</x:v>
      </x:c>
      <x:c r="S74" s="39" t="n">
        <x:v>0.0850085985</x:v>
      </x:c>
    </x:row>
    <x:row r="75" ht="19" customHeight="1">
      <x:c r="A75" s="40" t="d">
        <x:v>2025-11-03T00:00:00.000Z</x:v>
      </x:c>
      <x:c r="B75" s="39" t="n">
        <x:v>0.011174721</x:v>
      </x:c>
      <x:c r="C75" s="39" t="n">
        <x:v>-0.0035432423</x:v>
      </x:c>
      <x:c r="D75" s="39" t="n">
        <x:v>-0.0072355429</x:v>
      </x:c>
      <x:c r="E75" s="39" t="n">
        <x:v>-0.0060041275</x:v>
      </x:c>
      <x:c r="F75" s="39" t="n">
        <x:v>-0.0097495645</x:v>
      </x:c>
      <x:c r="G75" s="39" t="n">
        <x:v>-0.0116789161</x:v>
      </x:c>
      <x:c r="H75" s="39" t="n">
        <x:v>0.0390020995</x:v>
      </x:c>
      <x:c r="I75" s="39" t="n">
        <x:v>-0.0430645936</x:v>
      </x:c>
      <x:c r="J75" s="39" t="n">
        <x:v>0.0054756313</x:v>
      </x:c>
      <x:c r="K75" s="39" t="n">
        <x:v>-0.0427374905</x:v>
      </x:c>
      <x:c r="L75" s="39" t="n">
        <x:v>0.0591207584</x:v>
      </x:c>
      <x:c r="M75" s="39" t="n">
        <x:v>-0.0160557563</x:v>
      </x:c>
      <x:c r="N75" s="39" t="n">
        <x:v>0.0208412337</x:v>
      </x:c>
      <x:c r="O75" s="39" t="n">
        <x:v>-0.0040537868</x:v>
      </x:c>
      <x:c r="P75" s="39" t="n">
        <x:v>-0.0455621475</x:v>
      </x:c>
      <x:c r="Q75" s="39" t="n">
        <x:v>-0.0067162681</x:v>
      </x:c>
      <x:c r="R75" s="39" t="n">
        <x:v>-0.0065936657</x:v>
      </x:c>
      <x:c r="S75" s="39" t="n">
        <x:v>-0.0265898661</x:v>
      </x:c>
    </x:row>
    <x:row r="76" ht="19" customHeight="1">
      <x:c r="A76" s="40" t="d">
        <x:v>2025-12-01T00:00:00.000Z</x:v>
      </x:c>
      <x:c r="B76" s="39" t="n">
        <x:v>0.0220910283</x:v>
      </x:c>
      <x:c r="C76" s="39" t="n">
        <x:v>0.006294544</x:v>
      </x:c>
      <x:c r="D76" s="39" t="n">
        <x:v>0.0095880209</x:v>
      </x:c>
      <x:c r="E76" s="39" t="n">
        <x:v>0.0094833138</x:v>
      </x:c>
      <x:c r="F76" s="39" t="n">
        <x:v>0.0362403064</x:v>
      </x:c>
      <x:c r="G76" s="39" t="n">
        <x:v>0.0059343934</x:v>
      </x:c>
      <x:c r="H76" s="39" t="n">
        <x:v>0.0316563596</x:v>
      </x:c>
      <x:c r="I76" s="39" t="n">
        <x:v>0.0364613358</x:v>
      </x:c>
      <x:c r="J76" s="39" t="n">
        <x:v>-0.0078036165</x:v>
      </x:c>
      <x:c r="K76" s="39" t="n">
        <x:v>0.0189715802</x:v>
      </x:c>
      <x:c r="L76" s="39" t="n">
        <x:v>0.0235941759</x:v>
      </x:c>
      <x:c r="M76" s="39" t="n">
        <x:v>-0.0025054996</x:v>
      </x:c>
      <x:c r="N76" s="39" t="n">
        <x:v>0.0533500731</x:v>
      </x:c>
      <x:c r="O76" s="39" t="n">
        <x:v>-0.0183510161</x:v>
      </x:c>
      <x:c r="P76" s="39" t="n">
        <x:v>0.0167652938</x:v>
      </x:c>
      <x:c r="Q76" s="39" t="n">
        <x:v>-0.0312646218</x:v>
      </x:c>
      <x:c r="R76" s="39" t="n">
        <x:v>-0.0201946106</x:v>
      </x:c>
      <x:c r="S76" s="39" t="n">
        <x:v>-0.0666045315</x:v>
      </x:c>
    </x:row>
    <x:row r="77" ht="19" customHeight="1">
      <x:c r="A77" s="40" t="d">
        <x:v>2025-12-29T00:00:00.000Z</x:v>
      </x:c>
      <x:c r="B77" s="39" t="n">
        <x:v>0.0221121614</x:v>
      </x:c>
      <x:c r="C77" s="39" t="n">
        <x:v>0.011238234</x:v>
      </x:c>
      <x:c r="D77" s="39" t="n">
        <x:v>0.0095564152</x:v>
      </x:c>
      <x:c r="E77" s="39" t="n">
        <x:v>0.0107219787</x:v>
      </x:c>
      <x:c r="F77" s="39" t="n">
        <x:v>0.0105975009</x:v>
      </x:c>
      <x:c r="G77" s="39" t="n">
        <x:v>0.0329757861</x:v>
      </x:c>
      <x:c r="H77" s="39" t="n">
        <x:v>-0.0010820497</x:v>
      </x:c>
      <x:c r="I77" s="39" t="n">
        <x:v>0.0047543079</x:v>
      </x:c>
      <x:c r="J77" s="39" t="n">
        <x:v>-0.0055770192</x:v>
      </x:c>
      <x:c r="K77" s="39" t="n">
        <x:v>-0.0034417126</x:v>
      </x:c>
      <x:c r="L77" s="39" t="n">
        <x:v>-0.0158096318</x:v>
      </x:c>
      <x:c r="M77" s="39" t="n">
        <x:v>0.0382590757</x:v>
      </x:c>
      <x:c r="N77" s="39" t="n">
        <x:v>0.0266758545</x:v>
      </x:c>
      <x:c r="O77" s="39" t="n">
        <x:v>0.0355717942</x:v>
      </x:c>
      <x:c r="P77" s="39" t="n">
        <x:v>0.076342215</x:v>
      </x:c>
      <x:c r="Q77" s="39" t="n">
        <x:v>-0.0002808698</x:v>
      </x:c>
      <x:c r="R77" s="39" t="n">
        <x:v>-0.0188771124</x:v>
      </x:c>
      <x:c r="S77" s="39" t="n">
        <x:v>0.0047221049</x:v>
      </x:c>
    </x:row>
    <x:row r="78" ht="19" customHeight="1">
      <x:c r="A78" s="40" t="d">
        <x:v>2026-01-26T00:00:00.000Z</x:v>
      </x:c>
      <x:c r="B78" s="39" t="n">
        <x:v>0.0372953986</x:v>
      </x:c>
      <x:c r="C78" s="39" t="n">
        <x:v>0.0183242146</x:v>
      </x:c>
      <x:c r="D78" s="39" t="n">
        <x:v>0.0170001845</x:v>
      </x:c>
      <x:c r="E78" s="39" t="n">
        <x:v>0.0157486159</x:v>
      </x:c>
      <x:c r="F78" s="39" t="n">
        <x:v>0.0589010183</x:v>
      </x:c>
      <x:c r="G78" s="39" t="n">
        <x:v>-0.0020556954</x:v>
      </x:c>
      <x:c r="H78" s="39" t="n">
        <x:v>0.0192042527</x:v>
      </x:c>
      <x:c r="I78" s="39" t="n">
        <x:v>0.0243655012</x:v>
      </x:c>
      <x:c r="J78" s="39" t="n">
        <x:v>0.0200932874</x:v>
      </x:c>
      <x:c r="K78" s="39" t="n">
        <x:v>0.0995030391</x:v>
      </x:c>
      <x:c r="L78" s="39" t="n">
        <x:v>0.151976965</x:v>
      </x:c>
      <x:c r="M78" s="39" t="n">
        <x:v>-0.0584629328</x:v>
      </x:c>
      <x:c r="N78" s="39" t="n">
        <x:v>-0.0178346832</x:v>
      </x:c>
      <x:c r="O78" s="39" t="n">
        <x:v>0.0498840656</x:v>
      </x:c>
      <x:c r="P78" s="39" t="n">
        <x:v>0.0858104407</x:v>
      </x:c>
      <x:c r="Q78" s="39" t="n">
        <x:v>0.0275116936</x:v>
      </x:c>
      <x:c r="R78" s="39" t="n">
        <x:v>-0.0316943724</x:v>
      </x:c>
      <x:c r="S78" s="39" t="n">
        <x:v>-0.0079930491</x:v>
      </x:c>
    </x:row>
    <x:row r="79" ht="19" customHeight="1">
      <x:c r="A79" s="40" t="d">
        <x:v>2026-02-23T00:00:00.000Z</x:v>
      </x:c>
      <x:c r="B79" s="39" t="n">
        <x:v>0.0202956573</x:v>
      </x:c>
      <x:c r="C79" s="39" t="n">
        <x:v>0.0066067325</x:v>
      </x:c>
      <x:c r="D79" s="39" t="n">
        <x:v>-0.005424106</x:v>
      </x:c>
      <x:c r="E79" s="39" t="n">
        <x:v>-0.0046832528</x:v>
      </x:c>
      <x:c r="F79" s="39" t="n">
        <x:v>0.0311901712</x:v>
      </x:c>
      <x:c r="G79" s="39" t="n">
        <x:v>0.001251273</x:v>
      </x:c>
      <x:c r="H79" s="39" t="n">
        <x:v>-0.0132083008</x:v>
      </x:c>
      <x:c r="I79" s="39" t="n">
        <x:v>-0.0118358331</x:v>
      </x:c>
      <x:c r="J79" s="39" t="n">
        <x:v>-0.0321926622</x:v>
      </x:c>
      <x:c r="K79" s="39" t="n">
        <x:v>0.1183014556</x:v>
      </x:c>
      <x:c r="L79" s="39" t="n">
        <x:v>0.1167027698</x:v>
      </x:c>
      <x:c r="M79" s="39" t="n">
        <x:v>-0.0495901629</x:v>
      </x:c>
      <x:c r="N79" s="39" t="n">
        <x:v>0.0571046265</x:v>
      </x:c>
      <x:c r="O79" s="39" t="n">
        <x:v>0.1128738155</x:v>
      </x:c>
      <x:c r="P79" s="39" t="n">
        <x:v>0.1341453886</x:v>
      </x:c>
      <x:c r="Q79" s="39" t="n">
        <x:v>0.1019205132</x:v>
      </x:c>
      <x:c r="R79" s="39" t="n">
        <x:v>-0.035172213</x:v>
      </x:c>
      <x:c r="S79" s="39" t="n">
        <x:v>0.1526808993</x:v>
      </x:c>
    </x:row>
    <x:row r="80" ht="19" customHeight="1">
      <x:c r="A80" s="40" t="d">
        <x:v>2026-03-23T00:00:00.000Z</x:v>
      </x:c>
      <x:c r="B80" s="39" t="n">
        <x:v>-0.0775449863</x:v>
      </x:c>
      <x:c r="C80" s="39" t="n">
        <x:v>-0.0339320071</x:v>
      </x:c>
      <x:c r="D80" s="39" t="n">
        <x:v>-0.0405612991</x:v>
      </x:c>
      <x:c r="E80" s="39" t="n">
        <x:v>-0.0358792645</x:v>
      </x:c>
      <x:c r="F80" s="39" t="n">
        <x:v>-0.0485309254</x:v>
      </x:c>
      <x:c r="G80" s="39" t="n">
        <x:v>-0.0025391235</x:v>
      </x:c>
      <x:c r="H80" s="39" t="n">
        <x:v>-0.1172105284</x:v>
      </x:c>
      <x:c r="I80" s="39" t="n">
        <x:v>-0.035765357</x:v>
      </x:c>
      <x:c r="J80" s="39" t="n">
        <x:v>-0.006732414</x:v>
      </x:c>
      <x:c r="K80" s="39" t="n">
        <x:v>-0.0929632836</x:v>
      </x:c>
      <x:c r="L80" s="39" t="n">
        <x:v>0.1414445631</x:v>
      </x:c>
      <x:c r="M80" s="39" t="n">
        <x:v>-0.0127129943</x:v>
      </x:c>
      <x:c r="N80" s="39" t="n">
        <x:v>-0.1145832374</x:v>
      </x:c>
      <x:c r="O80" s="39" t="n">
        <x:v>-0.0609757976</x:v>
      </x:c>
      <x:c r="P80" s="39" t="n">
        <x:v>-0.0384074099</x:v>
      </x:c>
      <x:c r="Q80" s="39" t="n">
        <x:v>-0.02860967</x:v>
      </x:c>
      <x:c r="R80" s="39" t="n">
        <x:v>0.0720231032</x:v>
      </x:c>
      <x:c r="S80" s="39" t="n">
        <x:v>-0.0152680964</x:v>
      </x:c>
    </x:row>
    <x:row r="81" ht="19" customHeight="1">
      <x:c r="A81" s="40" t="d">
        <x:v>2026-04-20T00:00:00.000Z</x:v>
      </x:c>
      <x:c r="B81" s="39" t="n">
        <x:v>0.0655298189</x:v>
      </x:c>
      <x:c r="C81" s="39" t="n">
        <x:v>0.0202383175</x:v>
      </x:c>
      <x:c r="D81" s="39" t="n">
        <x:v>0.0286133945</x:v>
      </x:c>
      <x:c r="E81" s="39" t="n">
        <x:v>0.0238588656</x:v>
      </x:c>
      <x:c r="F81" s="39" t="n">
        <x:v>0.0558128236</x:v>
      </x:c>
      <x:c r="G81" s="39" t="n">
        <x:v>0.0085674949</x:v>
      </x:c>
      <x:c r="H81" s="39" t="n">
        <x:v>0.185654552</x:v>
      </x:c>
      <x:c r="I81" s="39" t="n">
        <x:v>-0.0504376426</x:v>
      </x:c>
      <x:c r="J81" s="39" t="n">
        <x:v>-0.0294872337</x:v>
      </x:c>
      <x:c r="K81" s="39" t="n">
        <x:v>-0.0487983997</x:v>
      </x:c>
      <x:c r="L81" s="39" t="n">
        <x:v>-0.1333114422</x:v>
      </x:c>
      <x:c r="M81" s="39" t="n">
        <x:v>-0.0365273166</x:v>
      </x:c>
      <x:c r="N81" s="39" t="n">
        <x:v>-0.0759705646</x:v>
      </x:c>
      <x:c r="O81" s="39" t="n">
        <x:v>-0.039033174</x:v>
      </x:c>
      <x:c r="P81" s="39" t="n">
        <x:v>-0.0466265713</x:v>
      </x:c>
      <x:c r="Q81" s="39" t="n">
        <x:v>-0.0063295155</x:v>
      </x:c>
      <x:c r="R81" s="39" t="n">
        <x:v>0.0579653466</x:v>
      </x:c>
      <x:c r="S81" s="39" t="n">
        <x:v>-0.0576493356</x:v>
      </x:c>
    </x:row>
    <x:row r="82" ht="19" customHeight="1">
      <x:c r="A82" s="40" t="d">
        <x:v>2026-05-18T00:00:00.000Z</x:v>
      </x:c>
      <x:c r="B82" s="39" t="n">
        <x:v>0.00466015</x:v>
      </x:c>
      <x:c r="C82" s="39" t="n">
        <x:v>-0.0053423713</x:v>
      </x:c>
      <x:c r="D82" s="39" t="n">
        <x:v>-0.0159574597</x:v>
      </x:c>
      <x:c r="E82" s="39" t="n">
        <x:v>-0.015742682</x:v>
      </x:c>
      <x:c r="F82" s="39" t="n">
        <x:v>0.0002220564</x:v>
      </x:c>
      <x:c r="G82" s="39" t="n">
        <x:v>-0.0108688803</x:v>
      </x:c>
      <x:c r="H82" s="39" t="n">
        <x:v>0.0689674292</x:v>
      </x:c>
      <x:c r="I82" s="39" t="n">
        <x:v>-0.0630885147</x:v>
      </x:c>
      <x:c r="J82" s="39" t="n">
        <x:v>-0.0672896001</x:v>
      </x:c>
      <x:c r="K82" s="39" t="n">
        <x:v>0.0006211752</x:v>
      </x:c>
      <x:c r="L82" s="39" t="n">
        <x:v>0.0652105919</x:v>
      </x:c>
      <x:c r="M82" s="39" t="n">
        <x:v>-0.0410693711</x:v>
      </x:c>
      <x:c r="N82" s="39" t="n">
        <x:v>0.0286673611</x:v>
      </x:c>
      <x:c r="O82" s="39" t="n">
        <x:v>-0.0691552033</x:v>
      </x:c>
      <x:c r="P82" s="39" t="n">
        <x:v>-0.1018650669</x:v>
      </x:c>
      <x:c r="Q82" s="39" t="n">
        <x:v>-0.0260588199</x:v>
      </x:c>
      <x:c r="R82" s="39" t="n">
        <x:v>0.0883128428</x:v>
      </x:c>
      <x:c r="S82" s="39" t="n">
        <x:v>-0.0593517893</x:v>
      </x:c>
    </x:row>
    <x:row r="83" ht="19" customHeight="1">
      <x:c r="A83" s="40" t="d">
        <x:v>2026-06-15T00:00:00.000Z</x:v>
      </x:c>
      <x:c r="B83" s="39" t="n">
        <x:v>-0.0015334979</x:v>
      </x:c>
      <x:c r="C83" s="39" t="n">
        <x:v>-0.0149004578</x:v>
      </x:c>
      <x:c r="D83" s="39" t="n">
        <x:v>-0.019139231</x:v>
      </x:c>
      <x:c r="E83" s="39" t="n">
        <x:v>-0.0180289853</x:v>
      </x:c>
      <x:c r="F83" s="39" t="n">
        <x:v>-0.0286741991</x:v>
      </x:c>
      <x:c r="G83" s="39" t="n">
        <x:v>-0.0292438736</x:v>
      </x:c>
      <x:c r="H83" s="39" t="n">
        <x:v>0.0065158546</x:v>
      </x:c>
      <x:c r="I83" s="39" t="n">
        <x:v>-0.0902225455</x:v>
      </x:c>
      <x:c r="J83" s="39" t="n">
        <x:v>-0.027823259</x:v>
      </x:c>
      <x:c r="K83" s="39" t="n">
        <x:v>-0.0324844111</x:v>
      </x:c>
      <x:c r="L83" s="39" t="n">
        <x:v>-0.1809582499</x:v>
      </x:c>
      <x:c r="M83" s="39" t="n">
        <x:v>0.0427088421</x:v>
      </x:c>
      <x:c r="N83" s="39" t="n">
        <x:v>-0.009895702</x:v>
      </x:c>
      <x:c r="O83" s="39" t="n">
        <x:v>0.0751766319</x:v>
      </x:c>
      <x:c r="P83" s="39" t="n">
        <x:v>0.0442844056</x:v>
      </x:c>
      <x:c r="Q83" s="39" t="n">
        <x:v>-0.0259747681</x:v>
      </x:c>
      <x:c r="R83" s="39" t="n">
        <x:v>0.0869129591</x:v>
      </x:c>
      <x:c r="S83" s="39" t="n">
        <x:v>-0.0263729722</x:v>
      </x:c>
    </x:row>
    <x:row r="84" ht="19" customHeight="1">
      <x:c r="A84" s="40" t="d">
        <x:v>2026-07-13T00:00:00.000Z</x:v>
      </x:c>
      <x:c r="B84" s="39" t="n">
        <x:v>-0.0187179865</x:v>
      </x:c>
      <x:c r="C84" s="39" t="n">
        <x:v>0.000885019</x:v>
      </x:c>
      <x:c r="D84" s="39" t="n">
        <x:v>-0.0048794744</x:v>
      </x:c>
      <x:c r="E84" s="39" t="n">
        <x:v>-0.0054269803</x:v>
      </x:c>
      <x:c r="F84" s="39" t="n">
        <x:v>-0.0081707824</x:v>
      </x:c>
      <x:c r="G84" s="39" t="n">
        <x:v>-0.0193054903</x:v>
      </x:c>
      <x:c r="H84" s="39" t="n">
        <x:v>-0.0075616593</x:v>
      </x:c>
      <x:c r="I84" s="39" t="n">
        <x:v>0.0309291065</x:v>
      </x:c>
      <x:c r="J84" s="39" t="n">
        <x:v>-0.0046255156</x:v>
      </x:c>
      <x:c r="K84" s="39" t="n">
        <x:v>0.0498777804</x:v>
      </x:c>
      <x:c r="L84" s="39" t="n">
        <x:v>0.1054770827</x:v>
      </x:c>
      <x:c r="M84" s="39" t="n">
        <x:v>0.0899431738</x:v>
      </x:c>
      <x:c r="N84" s="39" t="n">
        <x:v>0.1319725593</x:v>
      </x:c>
      <x:c r="O84" s="39" t="n">
        <x:v>-0.0056126864</x:v>
      </x:c>
      <x:c r="P84" s="39" t="n">
        <x:v>-0.0276893035</x:v>
      </x:c>
      <x:c r="Q84" s="39" t="n">
        <x:v>0.0825107859</x:v>
      </x:c>
      <x:c r="R84" s="39" t="n">
        <x:v>-0.1274451096</x:v>
      </x:c>
      <x:c r="S84" s="39" t="n">
        <x:v>0.0256902226</x:v>
      </x:c>
    </x:row>
    <x:row r="85" ht="19" customHeight="1">
      <x:c r="A85" s="40" t="d">
        <x:v>2026-08-10T00:00:00.000Z</x:v>
      </x:c>
      <x:c r="B85" s="39" t="n">
        <x:v>0.0500143813</x:v>
      </x:c>
      <x:c r="C85" s="39" t="n">
        <x:v>0.0154644223</x:v>
      </x:c>
      <x:c r="D85" s="39" t="n">
        <x:v>0.0192174074</x:v>
      </x:c>
      <x:c r="E85" s="39" t="n">
        <x:v>0.018290998</x:v>
      </x:c>
      <x:c r="F85" s="39" t="n">
        <x:v>0.0207577563</x:v>
      </x:c>
      <x:c r="G85" s="39" t="n">
        <x:v>0.025362448</x:v>
      </x:c>
      <x:c r="H85" s="39" t="n">
        <x:v>0.0720471223</x:v>
      </x:c>
      <x:c r="I85" s="39" t="n">
        <x:v>-0.0307698375</x:v>
      </x:c>
      <x:c r="J85" s="39" t="n">
        <x:v>-0.0383272047</x:v>
      </x:c>
      <x:c r="K85" s="39" t="n">
        <x:v>-0.0128886845</x:v>
      </x:c>
      <x:c r="L85" s="39" t="n">
        <x:v>0.111499343</x:v>
      </x:c>
      <x:c r="M85" s="39" t="n">
        <x:v>-0.004503181</x:v>
      </x:c>
      <x:c r="N85" s="39" t="n">
        <x:v>0.0289462483</x:v>
      </x:c>
      <x:c r="O85" s="39" t="n">
        <x:v>-0.0011071486</x:v>
      </x:c>
      <x:c r="P85" s="39" t="n">
        <x:v>0.0110269204</x:v>
      </x:c>
      <x:c r="Q85" s="39" t="n">
        <x:v>-0.0603137857</x:v>
      </x:c>
      <x:c r="R85" s="39" t="n">
        <x:v>0.0262910176</x:v>
      </x:c>
      <x:c r="S85" s="39" t="n">
        <x:v>-0.0636403026</x:v>
      </x:c>
    </x:row>
  </x:sheetData>
  <x:pageMargins left="0.7" right="0.7" top="0.75" bottom="0.75" header="0.3" footer="0.3"/>
</x:worksheet>
</file>

<file path=xl/worksheets/sheet15.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15"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15" hidden="0" customWidth="1"/>
    <x:col min="20" max="20" width="15" hidden="0" customWidth="1"/>
    <x:col min="21" max="21" width="15" hidden="0" customWidth="1"/>
    <x:col min="22" max="22" width="15" hidden="0" customWidth="1"/>
    <x:col min="23" max="23" width="15" hidden="0" customWidth="1"/>
    <x:col min="24" max="24" width="15" hidden="0" customWidth="1"/>
    <x:col min="25" max="25" width="15" hidden="0" customWidth="1"/>
    <x:col min="26" max="26" width="15" hidden="0" customWidth="1"/>
    <x:col min="27" max="27" width="15" hidden="0" customWidth="1"/>
    <x:col min="28" max="28" width="15" hidden="0" customWidth="1"/>
    <x:col min="29" max="29" width="15" hidden="0" customWidth="1"/>
    <x:col min="30" max="30" width="15" hidden="0" customWidth="1"/>
    <x:col min="31" max="31" width="15" hidden="0" customWidth="1"/>
    <x:col min="32" max="32" width="15" hidden="0" customWidth="1"/>
    <x:col min="33" max="33" width="15" hidden="0" customWidth="1"/>
    <x:col min="34" max="34" width="15" hidden="0" customWidth="1"/>
    <x:col min="35" max="35" width="15" hidden="0" customWidth="1"/>
    <x:col min="36" max="36" width="15" hidden="0" customWidth="1"/>
    <x:col min="37" max="37" width="15" hidden="0" customWidth="1"/>
    <x:col min="38" max="38" width="15" hidden="0" customWidth="1"/>
    <x:col min="39" max="39" width="15" hidden="0" customWidth="1"/>
    <x:col min="40" max="40" width="15" hidden="0" customWidth="1"/>
    <x:col min="41" max="41" width="15" hidden="0" customWidth="1"/>
    <x:col min="42" max="42" width="15" hidden="0" customWidth="1"/>
    <x:col min="43" max="43" width="15" hidden="0" customWidth="1"/>
    <x:col min="44" max="44" width="15" hidden="0" customWidth="1"/>
  </x:cols>
  <x:sheetData>
    <x:row r="1" ht="19" customHeight="1">
      <x:c r="A1" s="24"/>
      <x:c r="B1" s="24"/>
      <x:c r="C1" s="24"/>
      <x:c r="D1" s="24"/>
      <x:c r="E1" s="24"/>
      <x:c r="F1" s="24"/>
      <x:c r="G1" s="24"/>
      <x:c r="H1" s="24"/>
      <x:c r="I1" s="24"/>
      <x:c r="J1" s="24"/>
      <x:c r="K1" s="24"/>
      <x:c r="L1" s="24"/>
      <x:c r="M1" s="24"/>
      <x:c r="N1" s="24"/>
      <x:c r="O1" s="24"/>
      <x:c r="P1" s="24"/>
      <x:c r="Q1" s="24"/>
      <x:c r="R1" s="24"/>
      <x:c r="S1" s="24"/>
      <x:c r="T1" s="24"/>
      <x:c r="U1" s="24"/>
      <x:c r="V1" s="24"/>
      <x:c r="W1" s="24"/>
      <x:c r="X1" s="24"/>
      <x:c r="Y1" s="24"/>
      <x:c r="Z1" s="24"/>
      <x:c r="AA1" s="24"/>
      <x:c r="AB1" s="24"/>
      <x:c r="AC1" s="24"/>
      <x:c r="AD1" s="24"/>
      <x:c r="AE1" s="24"/>
      <x:c r="AF1" s="24"/>
      <x:c r="AG1" s="24"/>
      <x:c r="AH1" s="24"/>
      <x:c r="AI1" s="24"/>
      <x:c r="AJ1" s="24"/>
      <x:c r="AK1" s="24"/>
      <x:c r="AL1" s="24"/>
      <x:c r="AM1" s="24"/>
      <x:c r="AN1" s="24"/>
      <x:c r="AO1" s="24"/>
      <x:c r="AP1" s="24"/>
      <x:c r="AQ1" s="24"/>
      <x:c r="AR1" s="24"/>
    </x:row>
    <x:row r="2" ht="19" customHeight="1">
      <x:c r="A2" s="35" t="str">
        <x:v>Weighted stock returns</x:v>
      </x:c>
      <x:c r="B2" s="24"/>
      <x:c r="C2" s="24"/>
      <x:c r="D2" s="24"/>
      <x:c r="E2" s="24"/>
      <x:c r="F2" s="24"/>
      <x:c r="G2" s="24"/>
      <x:c r="H2" s="24"/>
      <x:c r="I2" s="24"/>
      <x:c r="J2" s="24"/>
      <x:c r="K2" s="24"/>
      <x:c r="L2" s="24"/>
      <x:c r="M2" s="24"/>
      <x:c r="N2" s="24"/>
      <x:c r="O2" s="24"/>
      <x:c r="P2" s="24"/>
      <x:c r="Q2" s="24"/>
      <x:c r="R2" s="24"/>
      <x:c r="S2" s="24"/>
      <x:c r="T2" s="24"/>
      <x:c r="U2" s="24"/>
      <x:c r="V2" s="24"/>
      <x:c r="W2" s="24"/>
      <x:c r="X2" s="24"/>
      <x:c r="Y2" s="24"/>
      <x:c r="Z2" s="24"/>
      <x:c r="AA2" s="24"/>
      <x:c r="AB2" s="24"/>
      <x:c r="AC2" s="24"/>
      <x:c r="AD2" s="24"/>
      <x:c r="AE2" s="24"/>
      <x:c r="AF2" s="24"/>
      <x:c r="AG2" s="24"/>
      <x:c r="AH2" s="24"/>
      <x:c r="AI2" s="24"/>
      <x:c r="AJ2" s="24"/>
      <x:c r="AK2" s="24"/>
      <x:c r="AL2" s="24"/>
      <x:c r="AM2" s="24"/>
      <x:c r="AN2" s="24"/>
      <x:c r="AO2" s="24"/>
      <x:c r="AP2" s="24"/>
      <x:c r="AQ2" s="24"/>
      <x:c r="AR2" s="24"/>
    </x:row>
    <x:row r="3" ht="19" customHeight="1">
      <x:c r="A3" s="28"/>
      <x:c r="B3" s="24"/>
      <x:c r="C3" s="24"/>
      <x:c r="D3" s="24"/>
      <x:c r="E3" s="24"/>
      <x:c r="F3" s="24"/>
      <x:c r="G3" s="24"/>
      <x:c r="H3" s="24"/>
      <x:c r="I3" s="24"/>
      <x:c r="J3" s="24"/>
      <x:c r="K3" s="24"/>
      <x:c r="L3" s="24"/>
      <x:c r="M3" s="24"/>
      <x:c r="N3" s="24"/>
      <x:c r="O3" s="24"/>
      <x:c r="P3" s="24"/>
      <x:c r="Q3" s="24"/>
      <x:c r="R3" s="24"/>
      <x:c r="S3" s="24"/>
      <x:c r="T3" s="24"/>
      <x:c r="U3" s="24"/>
      <x:c r="V3" s="24"/>
      <x:c r="W3" s="24"/>
      <x:c r="X3" s="24"/>
      <x:c r="Y3" s="24"/>
      <x:c r="Z3" s="24"/>
      <x:c r="AA3" s="24"/>
      <x:c r="AB3" s="24"/>
      <x:c r="AC3" s="24"/>
      <x:c r="AD3" s="24"/>
      <x:c r="AE3" s="24"/>
      <x:c r="AF3" s="24"/>
      <x:c r="AG3" s="24"/>
      <x:c r="AH3" s="24"/>
      <x:c r="AI3" s="24"/>
      <x:c r="AJ3" s="24"/>
      <x:c r="AK3" s="24"/>
      <x:c r="AL3" s="24"/>
      <x:c r="AM3" s="24"/>
      <x:c r="AN3" s="24"/>
      <x:c r="AO3" s="24"/>
      <x:c r="AP3" s="24"/>
      <x:c r="AQ3" s="24"/>
      <x:c r="AR3" s="24"/>
    </x:row>
    <x:row r="4" ht="19" customHeight="1">
      <x:c r="A4" s="24"/>
      <x:c r="B4" s="24"/>
      <x:c r="C4" s="24"/>
      <x:c r="D4" s="24"/>
      <x:c r="E4" s="24"/>
      <x:c r="F4" s="24"/>
      <x:c r="G4" s="24"/>
      <x:c r="H4" s="24"/>
      <x:c r="I4" s="24"/>
      <x:c r="J4" s="24"/>
      <x:c r="K4" s="24"/>
      <x:c r="L4" s="24"/>
      <x:c r="M4" s="24"/>
      <x:c r="N4" s="24"/>
      <x:c r="O4" s="24"/>
      <x:c r="P4" s="24"/>
      <x:c r="Q4" s="24"/>
      <x:c r="R4" s="24"/>
      <x:c r="S4" s="24"/>
      <x:c r="T4" s="24"/>
      <x:c r="U4" s="24"/>
      <x:c r="V4" s="24"/>
      <x:c r="W4" s="24"/>
      <x:c r="X4" s="24"/>
      <x:c r="Y4" s="24"/>
      <x:c r="Z4" s="24"/>
      <x:c r="AA4" s="24"/>
      <x:c r="AB4" s="24"/>
      <x:c r="AC4" s="24"/>
      <x:c r="AD4" s="24"/>
      <x:c r="AE4" s="24"/>
      <x:c r="AF4" s="24"/>
      <x:c r="AG4" s="24"/>
      <x:c r="AH4" s="24"/>
      <x:c r="AI4" s="24"/>
      <x:c r="AJ4" s="24"/>
      <x:c r="AK4" s="24"/>
      <x:c r="AL4" s="24"/>
      <x:c r="AM4" s="24"/>
      <x:c r="AN4" s="24"/>
      <x:c r="AO4" s="24"/>
      <x:c r="AP4" s="24"/>
      <x:c r="AQ4" s="24"/>
      <x:c r="AR4" s="24"/>
    </x:row>
    <x:row r="5" ht="42" customHeight="1">
      <x:c r="A5" s="36" t="str">
        <x:v>date</x:v>
      </x:c>
      <x:c r="B5" s="36" t="str">
        <x:v>VST</x:v>
      </x:c>
      <x:c r="C5" s="36" t="str">
        <x:v>VIST</x:v>
      </x:c>
      <x:c r="D5" s="36" t="str">
        <x:v>AEP</x:v>
      </x:c>
      <x:c r="E5" s="36" t="str">
        <x:v>ETR</x:v>
      </x:c>
      <x:c r="F5" s="36" t="str">
        <x:v>DIS</x:v>
      </x:c>
      <x:c r="G5" s="36" t="str">
        <x:v>CMG</x:v>
      </x:c>
      <x:c r="H5" s="36" t="str">
        <x:v>AMZN</x:v>
      </x:c>
      <x:c r="I5" s="36" t="str">
        <x:v>FIX</x:v>
      </x:c>
      <x:c r="J5" s="36" t="str">
        <x:v>STX</x:v>
      </x:c>
      <x:c r="K5" s="36" t="str">
        <x:v>VLO</x:v>
      </x:c>
      <x:c r="L5" s="36" t="str">
        <x:v>CF</x:v>
      </x:c>
      <x:c r="M5" s="36" t="str">
        <x:v>NTR</x:v>
      </x:c>
      <x:c r="N5" s="36" t="str">
        <x:v>LNN</x:v>
      </x:c>
      <x:c r="O5" s="36" t="str">
        <x:v>WDC</x:v>
      </x:c>
      <x:c r="P5" s="36" t="str">
        <x:v>ASND</x:v>
      </x:c>
      <x:c r="Q5" s="36" t="str">
        <x:v>DOCN</x:v>
      </x:c>
      <x:c r="R5" s="36" t="str">
        <x:v>CME</x:v>
      </x:c>
      <x:c r="S5" s="36" t="str">
        <x:v>NET</x:v>
      </x:c>
      <x:c r="T5" s="36" t="str">
        <x:v>MRNA</x:v>
      </x:c>
      <x:c r="U5" s="36" t="str">
        <x:v>AXON</x:v>
      </x:c>
      <x:c r="V5" s="36" t="str">
        <x:v>NFLX</x:v>
      </x:c>
      <x:c r="W5" s="36" t="str">
        <x:v>CMCSA</x:v>
      </x:c>
      <x:c r="X5" s="36" t="str">
        <x:v>MU</x:v>
      </x:c>
      <x:c r="Y5" s="36" t="str">
        <x:v>NEM</x:v>
      </x:c>
      <x:c r="Z5" s="36" t="str">
        <x:v>PGR</x:v>
      </x:c>
      <x:c r="AA5" s="36" t="str">
        <x:v>ORKA</x:v>
      </x:c>
      <x:c r="AB5" s="36" t="str">
        <x:v>UPST</x:v>
      </x:c>
      <x:c r="AC5" s="36" t="str">
        <x:v>PG</x:v>
      </x:c>
      <x:c r="AD5" s="36" t="str">
        <x:v>F</x:v>
      </x:c>
      <x:c r="AE5" s="36" t="str">
        <x:v>HPE</x:v>
      </x:c>
      <x:c r="AF5" s="36" t="str">
        <x:v>BA</x:v>
      </x:c>
      <x:c r="AG5" s="36" t="str">
        <x:v>HII</x:v>
      </x:c>
      <x:c r="AH5" s="36" t="str">
        <x:v>AMD</x:v>
      </x:c>
      <x:c r="AI5" s="36" t="str">
        <x:v>LLY</x:v>
      </x:c>
      <x:c r="AJ5" s="36" t="str">
        <x:v>WELL</x:v>
      </x:c>
      <x:c r="AK5" s="36" t="str">
        <x:v>NOK</x:v>
      </x:c>
      <x:c r="AL5" s="36" t="str">
        <x:v>MSFT</x:v>
      </x:c>
      <x:c r="AM5" s="36" t="str">
        <x:v>GOOGL</x:v>
      </x:c>
      <x:c r="AN5" s="36" t="str">
        <x:v>COST</x:v>
      </x:c>
      <x:c r="AO5" s="36" t="str">
        <x:v>HD</x:v>
      </x:c>
      <x:c r="AP5" s="36" t="str">
        <x:v>KO</x:v>
      </x:c>
      <x:c r="AQ5" s="36" t="str">
        <x:v>JNJ</x:v>
      </x:c>
      <x:c r="AR5" s="36" t="str">
        <x:v>BRK-B</x:v>
      </x:c>
    </x:row>
    <x:row r="6" ht="19" customHeight="1">
      <x:c r="A6" s="40" t="d">
        <x:v>2020-07-20T00:00:00.000Z</x:v>
      </x:c>
      <x:c r="B6" s="39" t="n">
        <x:v>0.0220390063</x:v>
      </x:c>
      <x:c r="C6" s="39" t="n">
        <x:v>0.0913738586</x:v>
      </x:c>
      <x:c r="D6" s="39" t="n">
        <x:v>0.065894395</x:v>
      </x:c>
      <x:c r="E6" s="39" t="n">
        <x:v>0.0616212415</x:v>
      </x:c>
      <x:c r="F6" s="39" t="n">
        <x:v>0.0408369218</x:v>
      </x:c>
      <x:c r="G6" s="39" t="n">
        <x:v>0.0488435173</x:v>
      </x:c>
      <x:c r="H6" s="39" t="n">
        <x:v>0.060334672</x:v>
      </x:c>
      <x:c r="I6" s="39" t="n">
        <x:v>0.0400888818</x:v>
      </x:c>
      <x:c r="J6" s="39" t="n">
        <x:v>0.012246831</x:v>
      </x:c>
      <x:c r="K6" s="39" t="n">
        <x:v>0.0157935009</x:v>
      </x:c>
      <x:c r="L6" s="39" t="n">
        <x:v>0.0587088521</x:v>
      </x:c>
      <x:c r="M6" s="39" t="n">
        <x:v>0.0003337584</x:v>
      </x:c>
      <x:c r="N6" s="39" t="n">
        <x:v>0.0942125819</x:v>
      </x:c>
      <x:c r="O6" s="39" t="n">
        <x:v>0.0257220611</x:v>
      </x:c>
      <x:c r="P6" s="39" t="n">
        <x:v>-0.0383983713</x:v>
      </x:c>
      <x:c r="Q6" s="39"/>
      <x:c r="R6" s="39" t="n">
        <x:v>0.0206868203</x:v>
      </x:c>
      <x:c r="S6" s="39" t="n">
        <x:v>0.0028997815</x:v>
      </x:c>
      <x:c r="T6" s="39" t="n">
        <x:v>0.0967126786</x:v>
      </x:c>
      <x:c r="U6" s="39" t="n">
        <x:v>-0.0625549678</x:v>
      </x:c>
      <x:c r="V6" s="39" t="n">
        <x:v>0.043632435</x:v>
      </x:c>
      <x:c r="W6" s="39" t="n">
        <x:v>0.0656159276</x:v>
      </x:c>
      <x:c r="X6" s="39" t="n">
        <x:v>0.0168902307</x:v>
      </x:c>
      <x:c r="Y6" s="39" t="n">
        <x:v>0.0639776961</x:v>
      </x:c>
      <x:c r="Z6" s="39" t="n">
        <x:v>0.0661737627</x:v>
      </x:c>
      <x:c r="AA6" s="39" t="n">
        <x:v>0.0047416266</x:v>
      </x:c>
      <x:c r="AB6" s="39"/>
      <x:c r="AC6" s="39" t="n">
        <x:v>0.0518281507</x:v>
      </x:c>
      <x:c r="AD6" s="39" t="n">
        <x:v>0.0826279046</x:v>
      </x:c>
      <x:c r="AE6" s="39" t="n">
        <x:v>0.0068247691</x:v>
      </x:c>
      <x:c r="AF6" s="39" t="n">
        <x:v>0.0118623428</x:v>
      </x:c>
      <x:c r="AG6" s="39" t="n">
        <x:v>0.0190614606</x:v>
      </x:c>
      <x:c r="AH6" s="39" t="n">
        <x:v>0.1771735437</x:v>
      </x:c>
      <x:c r="AI6" s="39" t="n">
        <x:v>-0.0110980307</x:v>
      </x:c>
      <x:c r="AJ6" s="39" t="n">
        <x:v>0.018060508</x:v>
      </x:c>
      <x:c r="AK6" s="39" t="n">
        <x:v>-0.0050342082</x:v>
      </x:c>
      <x:c r="AL6" s="39" t="n">
        <x:v>0.0135922784</x:v>
      </x:c>
      <x:c r="AM6" s="39" t="n">
        <x:v>0.0552254293</x:v>
      </x:c>
      <x:c r="AN6" s="39" t="n">
        <x:v>0.0510931372</x:v>
      </x:c>
      <x:c r="AO6" s="39" t="n">
        <x:v>0.0522281853</x:v>
      </x:c>
      <x:c r="AP6" s="39" t="n">
        <x:v>0.058169789</x:v>
      </x:c>
      <x:c r="AQ6" s="39" t="n">
        <x:v>0.0392262159</x:v>
      </x:c>
      <x:c r="AR6" s="39" t="n">
        <x:v>0.0563475197</x:v>
      </x:c>
    </x:row>
    <x:row r="7" ht="19" customHeight="1">
      <x:c r="A7" s="40" t="d">
        <x:v>2020-08-17T00:00:00.000Z</x:v>
      </x:c>
      <x:c r="B7" s="39" t="n">
        <x:v>0.0063881766</x:v>
      </x:c>
      <x:c r="C7" s="39" t="n">
        <x:v>-0.1035908235</x:v>
      </x:c>
      <x:c r="D7" s="39" t="n">
        <x:v>-0.054707001</x:v>
      </x:c>
      <x:c r="E7" s="39" t="n">
        <x:v>-0.0198401839</x:v>
      </x:c>
      <x:c r="F7" s="39" t="n">
        <x:v>0.0442634235</x:v>
      </x:c>
      <x:c r="G7" s="39" t="n">
        <x:v>0.056953218</x:v>
      </x:c>
      <x:c r="H7" s="39" t="n">
        <x:v>0.0483615256</x:v>
      </x:c>
      <x:c r="I7" s="39" t="n">
        <x:v>0.1346319383</x:v>
      </x:c>
      <x:c r="J7" s="39" t="n">
        <x:v>-0.0380111286</x:v>
      </x:c>
      <x:c r="K7" s="39" t="n">
        <x:v>-0.0437937152</x:v>
      </x:c>
      <x:c r="L7" s="39" t="n">
        <x:v>0.0361204319</x:v>
      </x:c>
      <x:c r="M7" s="39" t="n">
        <x:v>0.0750045252</x:v>
      </x:c>
      <x:c r="N7" s="39" t="n">
        <x:v>0.0148283943</x:v>
      </x:c>
      <x:c r="O7" s="39" t="n">
        <x:v>-0.1322918813</x:v>
      </x:c>
      <x:c r="P7" s="39" t="n">
        <x:v>0.0104085381</x:v>
      </x:c>
      <x:c r="Q7" s="39"/>
      <x:c r="R7" s="39" t="n">
        <x:v>0.0164500421</x:v>
      </x:c>
      <x:c r="S7" s="39" t="n">
        <x:v>0.047310469</x:v>
      </x:c>
      <x:c r="T7" s="39" t="n">
        <x:v>-0.0534228852</x:v>
      </x:c>
      <x:c r="U7" s="39" t="n">
        <x:v>-0.0197343452</x:v>
      </x:c>
      <x:c r="V7" s="39" t="n">
        <x:v>0.0134466419</x:v>
      </x:c>
      <x:c r="W7" s="39" t="n">
        <x:v>-0.0035730158</x:v>
      </x:c>
      <x:c r="X7" s="39" t="n">
        <x:v>-0.0877648255</x:v>
      </x:c>
      <x:c r="Y7" s="39" t="n">
        <x:v>-0.009834991</x:v>
      </x:c>
      <x:c r="Z7" s="39" t="n">
        <x:v>0.0243095959</x:v>
      </x:c>
      <x:c r="AA7" s="39" t="n">
        <x:v>-0.1178831828</x:v>
      </x:c>
      <x:c r="AB7" s="39"/>
      <x:c r="AC7" s="39" t="n">
        <x:v>0.0480966262</x:v>
      </x:c>
      <x:c r="AD7" s="39" t="n">
        <x:v>-0.0179207832</x:v>
      </x:c>
      <x:c r="AE7" s="39" t="n">
        <x:v>-0.0168786529</x:v>
      </x:c>
      <x:c r="AF7" s="39" t="n">
        <x:v>-0.0202325356</x:v>
      </x:c>
      <x:c r="AG7" s="39" t="n">
        <x:v>-0.0606088716</x:v>
      </x:c>
      <x:c r="AH7" s="39" t="n">
        <x:v>0.1040340046</x:v>
      </x:c>
      <x:c r="AI7" s="39" t="n">
        <x:v>-0.0340459869</x:v>
      </x:c>
      <x:c r="AJ7" s="39" t="n">
        <x:v>0.0542875197</x:v>
      </x:c>
      <x:c r="AK7" s="39" t="n">
        <x:v>0.0798483407</x:v>
      </x:c>
      <x:c r="AL7" s="39" t="n">
        <x:v>0.0325361308</x:v>
      </x:c>
      <x:c r="AM7" s="39" t="n">
        <x:v>0.0240934181</x:v>
      </x:c>
      <x:c r="AN7" s="39" t="n">
        <x:v>0.0321694834</x:v>
      </x:c>
      <x:c r="AO7" s="39" t="n">
        <x:v>0.0360409485</x:v>
      </x:c>
      <x:c r="AP7" s="39" t="n">
        <x:v>-0.0139345064</x:v>
      </x:c>
      <x:c r="AQ7" s="39" t="n">
        <x:v>0.0170088631</x:v>
      </x:c>
      <x:c r="AR7" s="39" t="n">
        <x:v>0.0354336791</x:v>
      </x:c>
    </x:row>
    <x:row r="8" ht="19" customHeight="1">
      <x:c r="A8" s="40" t="d">
        <x:v>2020-09-14T00:00:00.000Z</x:v>
      </x:c>
      <x:c r="B8" s="39" t="n">
        <x:v>-0.0257498283</x:v>
      </x:c>
      <x:c r="C8" s="39" t="n">
        <x:v>-0.1365672096</x:v>
      </x:c>
      <x:c r="D8" s="39" t="n">
        <x:v>-0.0021259424</x:v>
      </x:c>
      <x:c r="E8" s="39" t="n">
        <x:v>-0.015603049</x:v>
      </x:c>
      <x:c r="F8" s="39" t="n">
        <x:v>0.0051979195</x:v>
      </x:c>
      <x:c r="G8" s="39" t="n">
        <x:v>-0.0171092034</x:v>
      </x:c>
      <x:c r="H8" s="39" t="n">
        <x:v>-0.0591760379</x:v>
      </x:c>
      <x:c r="I8" s="39" t="n">
        <x:v>0.0034086916</x:v>
      </x:c>
      <x:c r="J8" s="39" t="n">
        <x:v>0.0475581957</x:v>
      </x:c>
      <x:c r="K8" s="39" t="n">
        <x:v>-0.0431806512</x:v>
      </x:c>
      <x:c r="L8" s="39" t="n">
        <x:v>0.0276395004</x:v>
      </x:c>
      <x:c r="M8" s="39" t="n">
        <x:v>0.0601344162</x:v>
      </x:c>
      <x:c r="N8" s="39" t="n">
        <x:v>-0.0199823524</x:v>
      </x:c>
      <x:c r="O8" s="39" t="n">
        <x:v>0.0552443752</x:v>
      </x:c>
      <x:c r="P8" s="39" t="n">
        <x:v>0.0246954214</x:v>
      </x:c>
      <x:c r="Q8" s="39"/>
      <x:c r="R8" s="39" t="n">
        <x:v>-0.0128365967</x:v>
      </x:c>
      <x:c r="S8" s="39" t="n">
        <x:v>-0.0267832065</x:v>
      </x:c>
      <x:c r="T8" s="39" t="n">
        <x:v>0.0280669042</x:v>
      </x:c>
      <x:c r="U8" s="39" t="n">
        <x:v>-0.0004063168</x:v>
      </x:c>
      <x:c r="V8" s="39" t="n">
        <x:v>-0.0259833372</x:v>
      </x:c>
      <x:c r="W8" s="39" t="n">
        <x:v>0.0277369343</x:v>
      </x:c>
      <x:c r="X8" s="39" t="n">
        <x:v>0.0970034891</x:v>
      </x:c>
      <x:c r="Y8" s="39" t="n">
        <x:v>-0.0052538016</x:v>
      </x:c>
      <x:c r="Z8" s="39" t="n">
        <x:v>0.029884206</x:v>
      </x:c>
      <x:c r="AA8" s="39" t="n">
        <x:v>-0.0415990982</x:v>
      </x:c>
      <x:c r="AB8" s="39"/>
      <x:c r="AC8" s="39" t="n">
        <x:v>-0.0002848656</x:v>
      </x:c>
      <x:c r="AD8" s="39" t="n">
        <x:v>0.0459253507</x:v>
      </x:c>
      <x:c r="AE8" s="39" t="n">
        <x:v>0.0171404607</x:v>
      </x:c>
      <x:c r="AF8" s="39" t="n">
        <x:v>-0.021648463</x:v>
      </x:c>
      <x:c r="AG8" s="39" t="n">
        <x:v>-0.0305939002</x:v>
      </x:c>
      <x:c r="AH8" s="39" t="n">
        <x:v>-0.0626348729</x:v>
      </x:c>
      <x:c r="AI8" s="39" t="n">
        <x:v>0.0181008022</x:v>
      </x:c>
      <x:c r="AJ8" s="39" t="n">
        <x:v>0.0031793305</x:v>
      </x:c>
      <x:c r="AK8" s="39" t="n">
        <x:v>-0.1089838345</x:v>
      </x:c>
      <x:c r="AL8" s="39" t="n">
        <x:v>-0.0341817785</x:v>
      </x:c>
      <x:c r="AM8" s="39" t="n">
        <x:v>-0.0460273269</x:v>
      </x:c>
      <x:c r="AN8" s="39" t="n">
        <x:v>-0.014216778</x:v>
      </x:c>
      <x:c r="AO8" s="39" t="n">
        <x:v>-0.0131632859</x:v>
      </x:c>
      <x:c r="AP8" s="39" t="n">
        <x:v>0.0408015462</x:v>
      </x:c>
      <x:c r="AQ8" s="39" t="n">
        <x:v>-0.0095525896</x:v>
      </x:c>
      <x:c r="AR8" s="39" t="n">
        <x:v>0.028333869</x:v>
      </x:c>
    </x:row>
    <x:row r="9" ht="19" customHeight="1">
      <x:c r="A9" s="40" t="d">
        <x:v>2020-10-12T00:00:00.000Z</x:v>
      </x:c>
      <x:c r="B9" s="39" t="n">
        <x:v>0.0278073665</x:v>
      </x:c>
      <x:c r="C9" s="39" t="n">
        <x:v>-0.0246643334</x:v>
      </x:c>
      <x:c r="D9" s="39" t="n">
        <x:v>0.0850209842</x:v>
      </x:c>
      <x:c r="E9" s="39" t="n">
        <x:v>0.0631550189</x:v>
      </x:c>
      <x:c r="F9" s="39" t="n">
        <x:v>-0.0080826207</x:v>
      </x:c>
      <x:c r="G9" s="39" t="n">
        <x:v>0.0551829524</x:v>
      </x:c>
      <x:c r="H9" s="39" t="n">
        <x:v>0.0579386511</x:v>
      </x:c>
      <x:c r="I9" s="39" t="n">
        <x:v>0.0355883897</x:v>
      </x:c>
      <x:c r="J9" s="39" t="n">
        <x:v>0.0373466</x:v>
      </x:c>
      <x:c r="K9" s="39" t="n">
        <x:v>-0.1086282583</x:v>
      </x:c>
      <x:c r="L9" s="39" t="n">
        <x:v>-0.0849366935</x:v>
      </x:c>
      <x:c r="M9" s="39" t="n">
        <x:v>-0.0125634058</x:v>
      </x:c>
      <x:c r="N9" s="39" t="n">
        <x:v>0.0476446093</x:v>
      </x:c>
      <x:c r="O9" s="39" t="n">
        <x:v>0.0110196293</x:v>
      </x:c>
      <x:c r="P9" s="39" t="n">
        <x:v>0.0426145903</x:v>
      </x:c>
      <x:c r="Q9" s="39"/>
      <x:c r="R9" s="39" t="n">
        <x:v>-0.0035673623</x:v>
      </x:c>
      <x:c r="S9" s="39" t="n">
        <x:v>0.2562645494</x:v>
      </x:c>
      <x:c r="T9" s="39" t="n">
        <x:v>0.0321129687</x:v>
      </x:c>
      <x:c r="U9" s="39" t="n">
        <x:v>0.1584790836</x:v>
      </x:c>
      <x:c r="V9" s="39" t="n">
        <x:v>0.0690378347</x:v>
      </x:c>
      <x:c r="W9" s="39" t="n">
        <x:v>0.0066019239</x:v>
      </x:c>
      <x:c r="X9" s="39" t="n">
        <x:v>0.0096428433</x:v>
      </x:c>
      <x:c r="Y9" s="39" t="n">
        <x:v>-0.0181689103</x:v>
      </x:c>
      <x:c r="Z9" s="39" t="n">
        <x:v>-0.0014031314</x:v>
      </x:c>
      <x:c r="AA9" s="39" t="n">
        <x:v>-0.1230174388</x:v>
      </x:c>
      <x:c r="AB9" s="39"/>
      <x:c r="AC9" s="39" t="n">
        <x:v>0.0282687269</x:v>
      </x:c>
      <x:c r="AD9" s="39" t="n">
        <x:v>0.0335082491</x:v>
      </x:c>
      <x:c r="AE9" s="39" t="n">
        <x:v>-0.0011954391</x:v>
      </x:c>
      <x:c r="AF9" s="39" t="n">
        <x:v>0.0214477058</x:v>
      </x:c>
      <x:c r="AG9" s="39" t="n">
        <x:v>-0.0045041903</x:v>
      </x:c>
      <x:c r="AH9" s="39" t="n">
        <x:v>0.0591763431</x:v>
      </x:c>
      <x:c r="AI9" s="39" t="n">
        <x:v>-0.0304172079</x:v>
      </x:c>
      <x:c r="AJ9" s="39" t="n">
        <x:v>-0.022233673</x:v>
      </x:c>
      <x:c r="AK9" s="39" t="n">
        <x:v>-0.0083822374</x:v>
      </x:c>
      <x:c r="AL9" s="39" t="n">
        <x:v>0.0520769622</x:v>
      </x:c>
      <x:c r="AM9" s="39" t="n">
        <x:v>0.0438406683</x:v>
      </x:c>
      <x:c r="AN9" s="39" t="n">
        <x:v>0.0721600945</x:v>
      </x:c>
      <x:c r="AO9" s="39" t="n">
        <x:v>0.0251362389</x:v>
      </x:c>
      <x:c r="AP9" s="39" t="n">
        <x:v>-0.0047417235</x:v>
      </x:c>
      <x:c r="AQ9" s="39" t="n">
        <x:v>-0.0041209611</x:v>
      </x:c>
      <x:c r="AR9" s="39" t="n">
        <x:v>-0.0166165693</x:v>
      </x:c>
    </x:row>
    <x:row r="10" ht="19" customHeight="1">
      <x:c r="A10" s="40" t="d">
        <x:v>2020-11-09T00:00:00.000Z</x:v>
      </x:c>
      <x:c r="B10" s="39" t="n">
        <x:v>0.0210824094</x:v>
      </x:c>
      <x:c r="C10" s="39" t="n">
        <x:v>0.0371254355</x:v>
      </x:c>
      <x:c r="D10" s="39" t="n">
        <x:v>-0.0057644431</x:v>
      </x:c>
      <x:c r="E10" s="39" t="n">
        <x:v>0.0184075058</x:v>
      </x:c>
      <x:c r="F10" s="39" t="n">
        <x:v>0.0501435182</x:v>
      </x:c>
      <x:c r="G10" s="39" t="n">
        <x:v>-0.0391993616</x:v>
      </x:c>
      <x:c r="H10" s="39" t="n">
        <x:v>-0.0258662008</x:v>
      </x:c>
      <x:c r="I10" s="39" t="n">
        <x:v>-0.0606832918</x:v>
      </x:c>
      <x:c r="J10" s="39" t="n">
        <x:v>0.0354524633</x:v>
      </x:c>
      <x:c r="K10" s="39" t="n">
        <x:v>0.135695071</x:v>
      </x:c>
      <x:c r="L10" s="39" t="n">
        <x:v>0.0365458702</x:v>
      </x:c>
      <x:c r="M10" s="39" t="n">
        <x:v>0.0246371245</x:v>
      </x:c>
      <x:c r="N10" s="39" t="n">
        <x:v>0.0489972297</x:v>
      </x:c>
      <x:c r="O10" s="39" t="n">
        <x:v>0.0511762211</x:v>
      </x:c>
      <x:c r="P10" s="39" t="n">
        <x:v>0.0255942639</x:v>
      </x:c>
      <x:c r="Q10" s="39"/>
      <x:c r="R10" s="39" t="n">
        <x:v>-0.0069939245</x:v>
      </x:c>
      <x:c r="S10" s="39" t="n">
        <x:v>0.051687018</x:v>
      </x:c>
      <x:c r="T10" s="39" t="n">
        <x:v>0.1091553707</x:v>
      </x:c>
      <x:c r="U10" s="39" t="n">
        <x:v>0.0591411717</x:v>
      </x:c>
      <x:c r="V10" s="39" t="n">
        <x:v>-0.0544647528</x:v>
      </x:c>
      <x:c r="W10" s="39" t="n">
        <x:v>0.0418721938</x:v>
      </x:c>
      <x:c r="X10" s="39" t="n">
        <x:v>0.0664521115</x:v>
      </x:c>
      <x:c r="Y10" s="39" t="n">
        <x:v>0.0272484212</x:v>
      </x:c>
      <x:c r="Z10" s="39" t="n">
        <x:v>-0.0051482121</x:v>
      </x:c>
      <x:c r="AA10" s="39" t="n">
        <x:v>-0.0196443944</x:v>
      </x:c>
      <x:c r="AB10" s="39"/>
      <x:c r="AC10" s="39" t="n">
        <x:v>0.0027468259</x:v>
      </x:c>
      <x:c r="AD10" s="39" t="n">
        <x:v>0.0618067552</x:v>
      </x:c>
      <x:c r="AE10" s="39" t="n">
        <x:v>0.0387161341</x:v>
      </x:c>
      <x:c r="AF10" s="39" t="n">
        <x:v>0.0642025601</x:v>
      </x:c>
      <x:c r="AG10" s="39" t="n">
        <x:v>0.059086119</x:v>
      </x:c>
      <x:c r="AH10" s="39" t="n">
        <x:v>-0.0121623456</x:v>
      </x:c>
      <x:c r="AI10" s="39" t="n">
        <x:v>-0.0119670796</x:v>
      </x:c>
      <x:c r="AJ10" s="39" t="n">
        <x:v>0.1150571973</x:v>
      </x:c>
      <x:c r="AK10" s="39" t="n">
        <x:v>-0.0322926523</x:v>
      </x:c>
      <x:c r="AL10" s="39" t="n">
        <x:v>-0.0083090001</x:v>
      </x:c>
      <x:c r="AM10" s="39" t="n">
        <x:v>0.0705514079</x:v>
      </x:c>
      <x:c r="AN10" s="39" t="n">
        <x:v>-0.0029809652</x:v>
      </x:c>
      <x:c r="AO10" s="39" t="n">
        <x:v>-0.0213691294</x:v>
      </x:c>
      <x:c r="AP10" s="39" t="n">
        <x:v>0.0380373059</x:v>
      </x:c>
      <x:c r="AQ10" s="39" t="n">
        <x:v>0.0069492213</x:v>
      </x:c>
      <x:c r="AR10" s="39" t="n">
        <x:v>0.0406334392</x:v>
      </x:c>
    </x:row>
    <x:row r="11" ht="19" customHeight="1">
      <x:c r="A11" s="40" t="d">
        <x:v>2020-12-07T00:00:00.000Z</x:v>
      </x:c>
      <x:c r="B11" s="39" t="n">
        <x:v>-0.0445335861</x:v>
      </x:c>
      <x:c r="C11" s="39" t="n">
        <x:v>0.0961509125</x:v>
      </x:c>
      <x:c r="D11" s="39" t="n">
        <x:v>-0.0480843261</x:v>
      </x:c>
      <x:c r="E11" s="39" t="n">
        <x:v>-0.0352422787</x:v>
      </x:c>
      <x:c r="F11" s="39" t="n">
        <x:v>0.1394546461</x:v>
      </x:c>
      <x:c r="G11" s="39" t="n">
        <x:v>0.0222147771</x:v>
      </x:c>
      <x:c r="H11" s="39" t="n">
        <x:v>-0.0023149072</x:v>
      </x:c>
      <x:c r="I11" s="39" t="n">
        <x:v>0.0086280771</x:v>
      </x:c>
      <x:c r="J11" s="39" t="n">
        <x:v>0.0983875649</x:v>
      </x:c>
      <x:c r="K11" s="39" t="n">
        <x:v>0.096584071</x:v>
      </x:c>
      <x:c r="L11" s="39" t="n">
        <x:v>0.141519196</x:v>
      </x:c>
      <x:c r="M11" s="39" t="n">
        <x:v>0.0909251776</x:v>
      </x:c>
      <x:c r="N11" s="39" t="n">
        <x:v>0.020085439</x:v>
      </x:c>
      <x:c r="O11" s="39" t="n">
        <x:v>0.1217105158</x:v>
      </x:c>
      <x:c r="P11" s="39" t="n">
        <x:v>0.0454722829</x:v>
      </x:c>
      <x:c r="Q11" s="39"/>
      <x:c r="R11" s="39" t="n">
        <x:v>0.0509640165</x:v>
      </x:c>
      <x:c r="S11" s="39" t="n">
        <x:v>0.1496008211</x:v>
      </x:c>
      <x:c r="T11" s="39" t="n">
        <x:v>0.3283390206</x:v>
      </x:c>
      <x:c r="U11" s="39" t="n">
        <x:v>0.010229687</x:v>
      </x:c>
      <x:c r="V11" s="39" t="n">
        <x:v>0.024119465</x:v>
      </x:c>
      <x:c r="W11" s="39" t="n">
        <x:v>0.0225383585</x:v>
      </x:c>
      <x:c r="X11" s="39" t="n">
        <x:v>0.1148170354</x:v>
      </x:c>
      <x:c r="Y11" s="39" t="n">
        <x:v>-0.0602245654</x:v>
      </x:c>
      <x:c r="Z11" s="39" t="n">
        <x:v>-0.0077974489</x:v>
      </x:c>
      <x:c r="AA11" s="39" t="n">
        <x:v>0.0552101368</x:v>
      </x:c>
      <x:c r="AB11" s="39"/>
      <x:c r="AC11" s="39" t="n">
        <x:v>-0.0322965378</x:v>
      </x:c>
      <x:c r="AD11" s="39" t="n">
        <x:v>0.0319029989</x:v>
      </x:c>
      <x:c r="AE11" s="39" t="n">
        <x:v>0.1035954294</x:v>
      </x:c>
      <x:c r="AF11" s="39" t="n">
        <x:v>0.1212425769</x:v>
      </x:c>
      <x:c r="AG11" s="39" t="n">
        <x:v>0.0506772761</x:v>
      </x:c>
      <x:c r="AH11" s="39" t="n">
        <x:v>0.0689786873</x:v>
      </x:c>
      <x:c r="AI11" s="39" t="n">
        <x:v>0.0682150642</x:v>
      </x:c>
      <x:c r="AJ11" s="39" t="n">
        <x:v>-0.0118647244</x:v>
      </x:c>
      <x:c r="AK11" s="39" t="n">
        <x:v>0.0370780772</x:v>
      </x:c>
      <x:c r="AL11" s="39" t="n">
        <x:v>-0.0072983665</x:v>
      </x:c>
      <x:c r="AM11" s="39" t="n">
        <x:v>0.0008355345</x:v>
      </x:c>
      <x:c r="AN11" s="39" t="n">
        <x:v>0.009297042</x:v>
      </x:c>
      <x:c r="AO11" s="39" t="n">
        <x:v>-0.0240150808</x:v>
      </x:c>
      <x:c r="AP11" s="39" t="n">
        <x:v>0.0034641139</x:v>
      </x:c>
      <x:c r="AQ11" s="39" t="n">
        <x:v>0.0157915052</x:v>
      </x:c>
      <x:c r="AR11" s="39" t="n">
        <x:v>-0.0026483096</x:v>
      </x:c>
    </x:row>
    <x:row r="12" ht="19" customHeight="1">
      <x:c r="A12" s="40" t="d">
        <x:v>2021-01-04T00:00:00.000Z</x:v>
      </x:c>
      <x:c r="B12" s="39" t="n">
        <x:v>0.0862152649</x:v>
      </x:c>
      <x:c r="C12" s="39" t="n">
        <x:v>-0.0238929068</x:v>
      </x:c>
      <x:c r="D12" s="39" t="n">
        <x:v>-0.0261655364</x:v>
      </x:c>
      <x:c r="E12" s="39" t="n">
        <x:v>-0.0435305468</x:v>
      </x:c>
      <x:c r="F12" s="39" t="n">
        <x:v>0.0099172193</x:v>
      </x:c>
      <x:c r="G12" s="39" t="n">
        <x:v>0.0448797055</x:v>
      </x:c>
      <x:c r="H12" s="39" t="n">
        <x:v>0.0124522116</x:v>
      </x:c>
      <x:c r="I12" s="39" t="n">
        <x:v>0.0647683905</x:v>
      </x:c>
      <x:c r="J12" s="39" t="n">
        <x:v>-0.0489908664</x:v>
      </x:c>
      <x:c r="K12" s="39" t="n">
        <x:v>-0.0133812744</x:v>
      </x:c>
      <x:c r="L12" s="39" t="n">
        <x:v>0.0543828605</x:v>
      </x:c>
      <x:c r="M12" s="39" t="n">
        <x:v>0.0332426509</x:v>
      </x:c>
      <x:c r="N12" s="39" t="n">
        <x:v>0.1080269129</x:v>
      </x:c>
      <x:c r="O12" s="39" t="n">
        <x:v>0.0083947114</x:v>
      </x:c>
      <x:c r="P12" s="39" t="n">
        <x:v>-0.0341683459</x:v>
      </x:c>
      <x:c r="Q12" s="39"/>
      <x:c r="R12" s="39" t="n">
        <x:v>0.0687668355</x:v>
      </x:c>
      <x:c r="S12" s="39" t="n">
        <x:v>-0.0238820402</x:v>
      </x:c>
      <x:c r="T12" s="39" t="n">
        <x:v>-0.1956304848</x:v>
      </x:c>
      <x:c r="U12" s="39" t="n">
        <x:v>0.0106683283</x:v>
      </x:c>
      <x:c r="V12" s="39" t="n">
        <x:v>0.0083827476</x:v>
      </x:c>
      <x:c r="W12" s="39" t="n">
        <x:v>0.0097452985</x:v>
      </x:c>
      <x:c r="X12" s="39" t="n">
        <x:v>0.0551502028</x:v>
      </x:c>
      <x:c r="Y12" s="39" t="n">
        <x:v>0.0381431434</x:v>
      </x:c>
      <x:c r="Z12" s="39" t="n">
        <x:v>0.0289026235</x:v>
      </x:c>
      <x:c r="AA12" s="39" t="n">
        <x:v>-0.0287353817</x:v>
      </x:c>
      <x:c r="AB12" s="39"/>
      <x:c r="AC12" s="39" t="n">
        <x:v>0.0098008554</x:v>
      </x:c>
      <x:c r="AD12" s="39" t="n">
        <x:v>-0.0013134919</x:v>
      </x:c>
      <x:c r="AE12" s="39" t="n">
        <x:v>-0.0054533708</x:v>
      </x:c>
      <x:c r="AF12" s="39" t="n">
        <x:v>-0.0549578097</x:v>
      </x:c>
      <x:c r="AG12" s="39" t="n">
        <x:v>-0.0293870297</x:v>
      </x:c>
      <x:c r="AH12" s="39" t="n">
        <x:v>0.0186201124</x:v>
      </x:c>
      <x:c r="AI12" s="39" t="n">
        <x:v>0.0230943163</x:v>
      </x:c>
      <x:c r="AJ12" s="39" t="n">
        <x:v>-0.0146381219</x:v>
      </x:c>
      <x:c r="AK12" s="39" t="n">
        <x:v>-0.0192558526</x:v>
      </x:c>
      <x:c r="AL12" s="39" t="n">
        <x:v>0.0173879203</x:v>
      </x:c>
      <x:c r="AM12" s="39" t="n">
        <x:v>0.0076284329</x:v>
      </x:c>
      <x:c r="AN12" s="39" t="n">
        <x:v>-0.0081961667</x:v>
      </x:c>
      <x:c r="AO12" s="39" t="n">
        <x:v>0.0100679488</x:v>
      </x:c>
      <x:c r="AP12" s="39" t="n">
        <x:v>-0.0257273981</x:v>
      </x:c>
      <x:c r="AQ12" s="39" t="n">
        <x:v>0.0268113415</x:v>
      </x:c>
      <x:c r="AR12" s="39" t="n">
        <x:v>0.0196384612</x:v>
      </x:c>
    </x:row>
    <x:row r="13" ht="19" customHeight="1">
      <x:c r="A13" s="40" t="d">
        <x:v>2021-02-01T00:00:00.000Z</x:v>
      </x:c>
      <x:c r="B13" s="39" t="n">
        <x:v>0.0017127728</x:v>
      </x:c>
      <x:c r="C13" s="39" t="n">
        <x:v>-0.0084490507</x:v>
      </x:c>
      <x:c r="D13" s="39" t="n">
        <x:v>0.0223896294</x:v>
      </x:c>
      <x:c r="E13" s="39" t="n">
        <x:v>0.0071218492</x:v>
      </x:c>
      <x:c r="F13" s="39" t="n">
        <x:v>0.0082382279</x:v>
      </x:c>
      <x:c r="G13" s="39" t="n">
        <x:v>0.0431036112</x:v>
      </x:c>
      <x:c r="H13" s="39" t="n">
        <x:v>0.0311282741</x:v>
      </x:c>
      <x:c r="I13" s="39" t="n">
        <x:v>0.0114704093</x:v>
      </x:c>
      <x:c r="J13" s="39" t="n">
        <x:v>0.0977712305</x:v>
      </x:c>
      <x:c r="K13" s="39" t="n">
        <x:v>0.0403130244</x:v>
      </x:c>
      <x:c r="L13" s="39" t="n">
        <x:v>-0.0002781164</x:v>
      </x:c>
      <x:c r="M13" s="39" t="n">
        <x:v>0.0247026565</x:v>
      </x:c>
      <x:c r="N13" s="39" t="n">
        <x:v>0.0280870312</x:v>
      </x:c>
      <x:c r="O13" s="39" t="n">
        <x:v>0.0853490787</x:v>
      </x:c>
      <x:c r="P13" s="39" t="n">
        <x:v>-0.0609983587</x:v>
      </x:c>
      <x:c r="Q13" s="39"/>
      <x:c r="R13" s="39" t="n">
        <x:v>-0.0254458401</x:v>
      </x:c>
      <x:c r="S13" s="39" t="n">
        <x:v>0.0467313922</x:v>
      </x:c>
      <x:c r="T13" s="39" t="n">
        <x:v>0.2680476294</x:v>
      </x:c>
      <x:c r="U13" s="39" t="n">
        <x:v>0.20761951</x:v>
      </x:c>
      <x:c r="V13" s="39" t="n">
        <x:v>0.0457026969</x:v>
      </x:c>
      <x:c r="W13" s="39" t="n">
        <x:v>-0.0050277405</x:v>
      </x:c>
      <x:c r="X13" s="39" t="n">
        <x:v>0.0278671739</x:v>
      </x:c>
      <x:c r="Y13" s="39" t="n">
        <x:v>-0.0343174071</x:v>
      </x:c>
      <x:c r="Z13" s="39" t="n">
        <x:v>-0.04638991</x:v>
      </x:c>
      <x:c r="AA13" s="39" t="n">
        <x:v>0.0595177951</x:v>
      </x:c>
      <x:c r="AB13" s="39" t="n">
        <x:v>0.2133335809</x:v>
      </x:c>
      <x:c r="AC13" s="39" t="n">
        <x:v>-0.037642187</x:v>
      </x:c>
      <x:c r="AD13" s="39" t="n">
        <x:v>0.1476187982</x:v>
      </x:c>
      <x:c r="AE13" s="39" t="n">
        <x:v>0.0604925126</x:v>
      </x:c>
      <x:c r="AF13" s="39" t="n">
        <x:v>-0.0056587647</x:v>
      </x:c>
      <x:c r="AG13" s="39" t="n">
        <x:v>-0.0187077407</x:v>
      </x:c>
      <x:c r="AH13" s="39" t="n">
        <x:v>-0.0439548536</x:v>
      </x:c>
      <x:c r="AI13" s="39" t="n">
        <x:v>0.1156230072</x:v>
      </x:c>
      <x:c r="AJ13" s="39" t="n">
        <x:v>0.0126938597</x:v>
      </x:c>
      <x:c r="AK13" s="39" t="n">
        <x:v>0.042724185</x:v>
      </x:c>
      <x:c r="AL13" s="39" t="n">
        <x:v>0.0587283611</x:v>
      </x:c>
      <x:c r="AM13" s="39" t="n">
        <x:v>0.0900288903</x:v>
      </x:c>
      <x:c r="AN13" s="39" t="n">
        <x:v>-0.0232668238</x:v>
      </x:c>
      <x:c r="AO13" s="39" t="n">
        <x:v>0.021401875</x:v>
      </x:c>
      <x:c r="AP13" s="39" t="n">
        <x:v>-0.017039537</x:v>
      </x:c>
      <x:c r="AQ13" s="39" t="n">
        <x:v>0.0163123864</x:v>
      </x:c>
      <x:c r="AR13" s="39" t="n">
        <x:v>0.002890573</x:v>
      </x:c>
    </x:row>
    <x:row r="14" ht="19" customHeight="1">
      <x:c r="A14" s="40" t="d">
        <x:v>2021-03-01T00:00:00.000Z</x:v>
      </x:c>
      <x:c r="B14" s="39" t="n">
        <x:v>-0.1013829291</x:v>
      </x:c>
      <x:c r="C14" s="39" t="n">
        <x:v>0.0222961626</x:v>
      </x:c>
      <x:c r="D14" s="39" t="n">
        <x:v>-0.0192764009</x:v>
      </x:c>
      <x:c r="E14" s="39" t="n">
        <x:v>-0.0431202749</x:v>
      </x:c>
      <x:c r="F14" s="39" t="n">
        <x:v>0.0289646369</x:v>
      </x:c>
      <x:c r="G14" s="39" t="n">
        <x:v>-0.0749510029</x:v>
      </x:c>
      <x:c r="H14" s="39" t="n">
        <x:v>-0.0674569667</x:v>
      </x:c>
      <x:c r="I14" s="39" t="n">
        <x:v>0.1123592548</x:v>
      </x:c>
      <x:c r="J14" s="39" t="n">
        <x:v>0.0335883175</x:v>
      </x:c>
      <x:c r="K14" s="39" t="n">
        <x:v>0.1597671841</x:v>
      </x:c>
      <x:c r="L14" s="39" t="n">
        <x:v>0.0579537277</x:v>
      </x:c>
      <x:c r="M14" s="39" t="n">
        <x:v>0.0115929889</x:v>
      </x:c>
      <x:c r="N14" s="39" t="n">
        <x:v>0.0343558456</x:v>
      </x:c>
      <x:c r="O14" s="39" t="n">
        <x:v>0.0794458887</x:v>
      </x:c>
      <x:c r="P14" s="39" t="n">
        <x:v>-0.0236058533</x:v>
      </x:c>
      <x:c r="Q14" s="39"/>
      <x:c r="R14" s="39" t="n">
        <x:v>0.0677325188</x:v>
      </x:c>
      <x:c r="S14" s="39" t="n">
        <x:v>-0.1485499577</x:v>
      </x:c>
      <x:c r="T14" s="39" t="n">
        <x:v>-0.1750423828</x:v>
      </x:c>
      <x:c r="U14" s="39" t="n">
        <x:v>-0.1302696764</x:v>
      </x:c>
      <x:c r="V14" s="39" t="n">
        <x:v>-0.0392505458</x:v>
      </x:c>
      <x:c r="W14" s="39" t="n">
        <x:v>0.0456390739</x:v>
      </x:c>
      <x:c r="X14" s="39" t="n">
        <x:v>0.0560942714</x:v>
      </x:c>
      <x:c r="Y14" s="39" t="n">
        <x:v>-0.0209362115</x:v>
      </x:c>
      <x:c r="Z14" s="39" t="n">
        <x:v>0.0143711413</x:v>
      </x:c>
      <x:c r="AA14" s="39" t="n">
        <x:v>-0.0749587433</x:v>
      </x:c>
      <x:c r="AB14" s="39" t="n">
        <x:v>-0.2347590861</x:v>
      </x:c>
      <x:c r="AC14" s="39" t="n">
        <x:v>-0.0171010882</x:v>
      </x:c>
      <x:c r="AD14" s="39" t="n">
        <x:v>0.0389157033</x:v>
      </x:c>
      <x:c r="AE14" s="39" t="n">
        <x:v>0.0557294816</x:v>
      </x:c>
      <x:c r="AF14" s="39" t="n">
        <x:v>0.043185318</x:v>
      </x:c>
      <x:c r="AG14" s="39" t="n">
        <x:v>0.079406597</x:v>
      </x:c>
      <x:c r="AH14" s="39" t="n">
        <x:v>-0.068680381</x:v>
      </x:c>
      <x:c r="AI14" s="39" t="n">
        <x:v>0.0178758222</x:v>
      </x:c>
      <x:c r="AJ14" s="39" t="n">
        <x:v>0.0620764445</x:v>
      </x:c>
      <x:c r="AK14" s="39" t="n">
        <x:v>-0.0511237226</x:v>
      </x:c>
      <x:c r="AL14" s="39" t="n">
        <x:v>-0.0258366356</x:v>
      </x:c>
      <x:c r="AM14" s="39" t="n">
        <x:v>0.0023961187</x:v>
      </x:c>
      <x:c r="AN14" s="39" t="n">
        <x:v>-0.0685825964</x:v>
      </x:c>
      <x:c r="AO14" s="39" t="n">
        <x:v>-0.0579811652</x:v>
      </x:c>
      <x:c r="AP14" s="39" t="n">
        <x:v>0.0138162826</x:v>
      </x:c>
      <x:c r="AQ14" s="39" t="n">
        <x:v>-0.0279316761</x:v>
      </x:c>
      <x:c r="AR14" s="39" t="n">
        <x:v>0.044864882</x:v>
      </x:c>
    </x:row>
    <x:row r="15" ht="19" customHeight="1">
      <x:c r="A15" s="40" t="d">
        <x:v>2021-03-29T00:00:00.000Z</x:v>
      </x:c>
      <x:c r="B15" s="39" t="n">
        <x:v>0.0015270548</x:v>
      </x:c>
      <x:c r="C15" s="39" t="n">
        <x:v>-0.0249202531</x:v>
      </x:c>
      <x:c r="D15" s="39" t="n">
        <x:v>0.0498763397</x:v>
      </x:c>
      <x:c r="E15" s="39" t="n">
        <x:v>0.0688046838</x:v>
      </x:c>
      <x:c r="F15" s="39" t="n">
        <x:v>-0.0033229068</x:v>
      </x:c>
      <x:c r="G15" s="39" t="n">
        <x:v>0.0473322763</x:v>
      </x:c>
      <x:c r="H15" s="39" t="n">
        <x:v>0.0321733344</x:v>
      </x:c>
      <x:c r="I15" s="39" t="n">
        <x:v>0.0531783028</x:v>
      </x:c>
      <x:c r="J15" s="39" t="n">
        <x:v>0.0470240261</x:v>
      </x:c>
      <x:c r="K15" s="39" t="n">
        <x:v>-0.0298426283</x:v>
      </x:c>
      <x:c r="L15" s="39" t="n">
        <x:v>-0.0160577967</x:v>
      </x:c>
      <x:c r="M15" s="39" t="n">
        <x:v>0.004039344</x:v>
      </x:c>
      <x:c r="N15" s="39" t="n">
        <x:v>0.030459277</x:v>
      </x:c>
      <x:c r="O15" s="39" t="n">
        <x:v>0.0292216443</x:v>
      </x:c>
      <x:c r="P15" s="39" t="n">
        <x:v>-0.0735856995</x:v>
      </x:c>
      <x:c r="Q15" s="39"/>
      <x:c r="R15" s="39" t="n">
        <x:v>-0.0204159933</x:v>
      </x:c>
      <x:c r="S15" s="39" t="n">
        <x:v>0.0423470441</x:v>
      </x:c>
      <x:c r="T15" s="39" t="n">
        <x:v>0.001678733</x:v>
      </x:c>
      <x:c r="U15" s="39" t="n">
        <x:v>0.0000863182</x:v>
      </x:c>
      <x:c r="V15" s="39" t="n">
        <x:v>0.0269323977</x:v>
      </x:c>
      <x:c r="W15" s="39" t="n">
        <x:v>-0.0038214493</x:v>
      </x:c>
      <x:c r="X15" s="39" t="n">
        <x:v>0.0236941239</x:v>
      </x:c>
      <x:c r="Y15" s="39" t="n">
        <x:v>0.0528286683</x:v>
      </x:c>
      <x:c r="Z15" s="39" t="n">
        <x:v>0.0399621171</x:v>
      </x:c>
      <x:c r="AA15" s="39" t="n">
        <x:v>-0.0564386297</x:v>
      </x:c>
      <x:c r="AB15" s="39" t="n">
        <x:v>0.6399732226</x:v>
      </x:c>
      <x:c r="AC15" s="39" t="n">
        <x:v>0.0393837394</x:v>
      </x:c>
      <x:c r="AD15" s="39" t="n">
        <x:v>-0.0050511307</x:v>
      </x:c>
      <x:c r="AE15" s="39" t="n">
        <x:v>0.0583731573</x:v>
      </x:c>
      <x:c r="AF15" s="39" t="n">
        <x:v>0.0772028307</x:v>
      </x:c>
      <x:c r="AG15" s="39" t="n">
        <x:v>0.0590093384</x:v>
      </x:c>
      <x:c r="AH15" s="39" t="n">
        <x:v>0.019879627</x:v>
      </x:c>
      <x:c r="AI15" s="39" t="n">
        <x:v>-0.0683181602</x:v>
      </x:c>
      <x:c r="AJ15" s="39" t="n">
        <x:v>0.0257245738</x:v>
      </x:c>
      <x:c r="AK15" s="39" t="n">
        <x:v>0.0188012124</x:v>
      </x:c>
      <x:c r="AL15" s="39" t="n">
        <x:v>0.0280058589</x:v>
      </x:c>
      <x:c r="AM15" s="39" t="n">
        <x:v>0.0095538181</x:v>
      </x:c>
      <x:c r="AN15" s="39" t="n">
        <x:v>0.0691566269</x:v>
      </x:c>
      <x:c r="AO15" s="39" t="n">
        <x:v>0.1235085695</x:v>
      </x:c>
      <x:c r="AP15" s="39" t="n">
        <x:v>0.025673747</x:v>
      </x:c>
      <x:c r="AQ15" s="39" t="n">
        <x:v>0.0260544252</x:v>
      </x:c>
      <x:c r="AR15" s="39" t="n">
        <x:v>0.0121923244</x:v>
      </x:c>
    </x:row>
    <x:row r="16" ht="19" customHeight="1">
      <x:c r="A16" s="40" t="d">
        <x:v>2021-04-26T00:00:00.000Z</x:v>
      </x:c>
      <x:c r="B16" s="39" t="n">
        <x:v>-0.0307733723</x:v>
      </x:c>
      <x:c r="C16" s="39" t="n">
        <x:v>-0.0023490576</x:v>
      </x:c>
      <x:c r="D16" s="39" t="n">
        <x:v>0.0227800598</x:v>
      </x:c>
      <x:c r="E16" s="39" t="n">
        <x:v>0.0578703561</x:v>
      </x:c>
      <x:c r="F16" s="39" t="n">
        <x:v>-0.0098498106</x:v>
      </x:c>
      <x:c r="G16" s="39" t="n">
        <x:v>0.0228902458</x:v>
      </x:c>
      <x:c r="H16" s="39" t="n">
        <x:v>0.0579211932</x:v>
      </x:c>
      <x:c r="I16" s="39" t="n">
        <x:v>0.0498995375</x:v>
      </x:c>
      <x:c r="J16" s="39" t="n">
        <x:v>0.105113407</x:v>
      </x:c>
      <x:c r="K16" s="39" t="n">
        <x:v>-0.0112408364</x:v>
      </x:c>
      <x:c r="L16" s="39" t="n">
        <x:v>0.0360325378</x:v>
      </x:c>
      <x:c r="M16" s="39" t="n">
        <x:v>0.0079907375</x:v>
      </x:c>
      <x:c r="N16" s="39" t="n">
        <x:v>-0.0060878253</x:v>
      </x:c>
      <x:c r="O16" s="39" t="n">
        <x:v>-0.0065248496</x:v>
      </x:c>
      <x:c r="P16" s="39" t="n">
        <x:v>0.0663085767</x:v>
      </x:c>
      <x:c r="Q16" s="39" t="n">
        <x:v>-0.0032959941</x:v>
      </x:c>
      <x:c r="R16" s="39" t="n">
        <x:v>-0.0125800257</x:v>
      </x:c>
      <x:c r="S16" s="39" t="n">
        <x:v>0.1038213495</x:v>
      </x:c>
      <x:c r="T16" s="39" t="n">
        <x:v>0.1874438966</x:v>
      </x:c>
      <x:c r="U16" s="39" t="n">
        <x:v>0.0363390071</x:v>
      </x:c>
      <x:c r="V16" s="39" t="n">
        <x:v>-0.0308647885</x:v>
      </x:c>
      <x:c r="W16" s="39" t="n">
        <x:v>0.0186692794</x:v>
      </x:c>
      <x:c r="X16" s="39" t="n">
        <x:v>-0.0444943686</x:v>
      </x:c>
      <x:c r="Y16" s="39" t="n">
        <x:v>0.0060475452</x:v>
      </x:c>
      <x:c r="Z16" s="39" t="n">
        <x:v>0.0337599304</x:v>
      </x:c>
      <x:c r="AA16" s="39" t="n">
        <x:v>-0.0556832145</x:v>
      </x:c>
      <x:c r="AB16" s="39" t="n">
        <x:v>-0.1754272011</x:v>
      </x:c>
      <x:c r="AC16" s="39" t="n">
        <x:v>-0.0000298188</x:v>
      </x:c>
      <x:c r="AD16" s="39" t="n">
        <x:v>-0.0332760866</x:v>
      </x:c>
      <x:c r="AE16" s="39" t="n">
        <x:v>0.0126314412</x:v>
      </x:c>
      <x:c r="AF16" s="39" t="n">
        <x:v>-0.0479448941</x:v>
      </x:c>
      <x:c r="AG16" s="39" t="n">
        <x:v>0.0243197476</x:v>
      </x:c>
      <x:c r="AH16" s="39" t="n">
        <x:v>0.0040783942</x:v>
      </x:c>
      <x:c r="AI16" s="39" t="n">
        <x:v>-0.0084036516</x:v>
      </x:c>
      <x:c r="AJ16" s="39" t="n">
        <x:v>0.0150306636</x:v>
      </x:c>
      <x:c r="AK16" s="39" t="n">
        <x:v>0.0982881443</x:v>
      </x:c>
      <x:c r="AL16" s="39" t="n">
        <x:v>0.0248907811</x:v>
      </x:c>
      <x:c r="AM16" s="39" t="n">
        <x:v>0.0625302513</x:v>
      </x:c>
      <x:c r="AN16" s="39" t="n">
        <x:v>0.0308796888</x:v>
      </x:c>
      <x:c r="AO16" s="39" t="n">
        <x:v>0.031574691</x:v>
      </x:c>
      <x:c r="AP16" s="39" t="n">
        <x:v>0.0172845782</x:v>
      </x:c>
      <x:c r="AQ16" s="39" t="n">
        <x:v>-0.0003844653</x:v>
      </x:c>
      <x:c r="AR16" s="39" t="n">
        <x:v>0.0393485843</x:v>
      </x:c>
    </x:row>
    <x:row r="17" ht="19" customHeight="1">
      <x:c r="A17" s="40" t="d">
        <x:v>2021-05-24T00:00:00.000Z</x:v>
      </x:c>
      <x:c r="B17" s="39" t="n">
        <x:v>-0.0269071767</x:v>
      </x:c>
      <x:c r="C17" s="39" t="n">
        <x:v>0.1885922645</x:v>
      </x:c>
      <x:c r="D17" s="39" t="n">
        <x:v>-0.0143441509</x:v>
      </x:c>
      <x:c r="E17" s="39" t="n">
        <x:v>-0.0183022922</x:v>
      </x:c>
      <x:c r="F17" s="39" t="n">
        <x:v>-0.0256668731</x:v>
      </x:c>
      <x:c r="G17" s="39" t="n">
        <x:v>-0.0532581273</x:v>
      </x:c>
      <x:c r="H17" s="39" t="n">
        <x:v>-0.046397165</x:v>
      </x:c>
      <x:c r="I17" s="39" t="n">
        <x:v>0.0050570956</x:v>
      </x:c>
      <x:c r="J17" s="39" t="n">
        <x:v>0.0243400295</x:v>
      </x:c>
      <x:c r="K17" s="39" t="n">
        <x:v>0.0609849292</x:v>
      </x:c>
      <x:c r="L17" s="39" t="n">
        <x:v>0.0602337863</x:v>
      </x:c>
      <x:c r="M17" s="39" t="n">
        <x:v>0.0754079941</x:v>
      </x:c>
      <x:c r="N17" s="39" t="n">
        <x:v>-0.0031180436</x:v>
      </x:c>
      <x:c r="O17" s="39" t="n">
        <x:v>0.04005985</x:v>
      </x:c>
      <x:c r="P17" s="39" t="n">
        <x:v>-0.0481614075</x:v>
      </x:c>
      <x:c r="Q17" s="39" t="n">
        <x:v>-0.0226963855</x:v>
      </x:c>
      <x:c r="R17" s="39" t="n">
        <x:v>0.0506386909</x:v>
      </x:c>
      <x:c r="S17" s="39" t="n">
        <x:v>-0.0204042227</x:v>
      </x:c>
      <x:c r="T17" s="39" t="n">
        <x:v>0.0216061318</x:v>
      </x:c>
      <x:c r="U17" s="39" t="n">
        <x:v>-0.0479127897</x:v>
      </x:c>
      <x:c r="V17" s="39" t="n">
        <x:v>-0.0133200055</x:v>
      </x:c>
      <x:c r="W17" s="39" t="n">
        <x:v>0.0133151451</x:v>
      </x:c>
      <x:c r="X17" s="39" t="n">
        <x:v>-0.0143990539</x:v>
      </x:c>
      <x:c r="Y17" s="39" t="n">
        <x:v>0.1036734222</x:v>
      </x:c>
      <x:c r="Z17" s="39" t="n">
        <x:v>-0.0105493332</x:v>
      </x:c>
      <x:c r="AA17" s="39" t="n">
        <x:v>0.0091619938</x:v>
      </x:c>
      <x:c r="AB17" s="39" t="n">
        <x:v>0.1950237502</x:v>
      </x:c>
      <x:c r="AC17" s="39" t="n">
        <x:v>0.0067687011</x:v>
      </x:c>
      <x:c r="AD17" s="39" t="n">
        <x:v>0.1462813021</x:v>
      </x:c>
      <x:c r="AE17" s="39" t="n">
        <x:v>-0.0023825603</x:v>
      </x:c>
      <x:c r="AF17" s="39" t="n">
        <x:v>0.0335388131</x:v>
      </x:c>
      <x:c r="AG17" s="39" t="n">
        <x:v>0.0149377945</x:v>
      </x:c>
      <x:c r="AH17" s="39" t="n">
        <x:v>-0.0120939439</x:v>
      </x:c>
      <x:c r="AI17" s="39" t="n">
        <x:v>0.0591720871</x:v>
      </x:c>
      <x:c r="AJ17" s="39" t="n">
        <x:v>0.003002065</x:v>
      </x:c>
      <x:c r="AK17" s="39" t="n">
        <x:v>0.0619918828</x:v>
      </x:c>
      <x:c r="AL17" s="39" t="n">
        <x:v>-0.0048612119</x:v>
      </x:c>
      <x:c r="AM17" s="39" t="n">
        <x:v>0.0009029908</x:v>
      </x:c>
      <x:c r="AN17" s="39" t="n">
        <x:v>0.0104586528</x:v>
      </x:c>
      <x:c r="AO17" s="39" t="n">
        <x:v>-0.0094066612</x:v>
      </x:c>
      <x:c r="AP17" s="39" t="n">
        <x:v>0.0152240704</x:v>
      </x:c>
      <x:c r="AQ17" s="39" t="n">
        <x:v>0.0288910506</x:v>
      </x:c>
      <x:c r="AR17" s="39" t="n">
        <x:v>0.0326082949</x:v>
      </x:c>
    </x:row>
    <x:row r="18" ht="19" customHeight="1">
      <x:c r="A18" s="40" t="d">
        <x:v>2021-06-21T00:00:00.000Z</x:v>
      </x:c>
      <x:c r="B18" s="39" t="n">
        <x:v>0.0881147607</x:v>
      </x:c>
      <x:c r="C18" s="39" t="n">
        <x:v>0.0484905579</x:v>
      </x:c>
      <x:c r="D18" s="39" t="n">
        <x:v>-0.009276256</x:v>
      </x:c>
      <x:c r="E18" s="39" t="n">
        <x:v>-0.0229152384</x:v>
      </x:c>
      <x:c r="F18" s="39" t="n">
        <x:v>-0.0010820958</x:v>
      </x:c>
      <x:c r="G18" s="39" t="n">
        <x:v>0.0654440734</x:v>
      </x:c>
      <x:c r="H18" s="39" t="n">
        <x:v>0.0346886291</x:v>
      </x:c>
      <x:c r="I18" s="39" t="n">
        <x:v>-0.028182453</x:v>
      </x:c>
      <x:c r="J18" s="39" t="n">
        <x:v>-0.0654204117</x:v>
      </x:c>
      <x:c r="K18" s="39" t="n">
        <x:v>0.0133949392</x:v>
      </x:c>
      <x:c r="L18" s="39" t="n">
        <x:v>-0.02267832</x:v>
      </x:c>
      <x:c r="M18" s="39" t="n">
        <x:v>-0.0112879944</x:v>
      </x:c>
      <x:c r="N18" s="39" t="n">
        <x:v>-0.0147973983</x:v>
      </x:c>
      <x:c r="O18" s="39" t="n">
        <x:v>-0.0395355626</x:v>
      </x:c>
      <x:c r="P18" s="39" t="n">
        <x:v>0.0279900482</x:v>
      </x:c>
      <x:c r="Q18" s="39" t="n">
        <x:v>0.1271811746</x:v>
      </x:c>
      <x:c r="R18" s="39" t="n">
        <x:v>0.0007817705</x:v>
      </x:c>
      <x:c r="S18" s="39" t="n">
        <x:v>0.157752372</x:v>
      </x:c>
      <x:c r="T18" s="39" t="n">
        <x:v>0.1113640028</x:v>
      </x:c>
      <x:c r="U18" s="39" t="n">
        <x:v>0.1305193171</x:v>
      </x:c>
      <x:c r="V18" s="39" t="n">
        <x:v>0.0303425397</x:v>
      </x:c>
      <x:c r="W18" s="39" t="n">
        <x:v>-0.0104153478</x:v>
      </x:c>
      <x:c r="X18" s="39" t="n">
        <x:v>-0.0163538049</x:v>
      </x:c>
      <x:c r="Y18" s="39" t="n">
        <x:v>-0.0975585787</x:v>
      </x:c>
      <x:c r="Z18" s="39" t="n">
        <x:v>-0.0146586789</x:v>
      </x:c>
      <x:c r="AA18" s="39" t="n">
        <x:v>0.0235498406</x:v>
      </x:c>
      <x:c r="AB18" s="39" t="n">
        <x:v>-0.1243028872</x:v>
      </x:c>
      <x:c r="AC18" s="39" t="n">
        <x:v>0.0003343148</x:v>
      </x:c>
      <x:c r="AD18" s="39" t="n">
        <x:v>0.0286045872</x:v>
      </x:c>
      <x:c r="AE18" s="39" t="n">
        <x:v>-0.0462711019</x:v>
      </x:c>
      <x:c r="AF18" s="39" t="n">
        <x:v>0.0035355024</x:v>
      </x:c>
      <x:c r="AG18" s="39" t="n">
        <x:v>-0.0087858258</x:v>
      </x:c>
      <x:c r="AH18" s="39" t="n">
        <x:v>0.0430740961</x:v>
      </x:c>
      <x:c r="AI18" s="39" t="n">
        <x:v>0.0914498334</x:v>
      </x:c>
      <x:c r="AJ18" s="39" t="n">
        <x:v>0.0751065666</x:v>
      </x:c>
      <x:c r="AK18" s="39" t="n">
        <x:v>0.0352092646</x:v>
      </x:c>
      <x:c r="AL18" s="39" t="n">
        <x:v>0.0383941563</x:v>
      </x:c>
      <x:c r="AM18" s="39" t="n">
        <x:v>0.0250047404</x:v>
      </x:c>
      <x:c r="AN18" s="39" t="n">
        <x:v>0.0270683213</x:v>
      </x:c>
      <x:c r="AO18" s="39" t="n">
        <x:v>-0.0073827471</x:v>
      </x:c>
      <x:c r="AP18" s="39" t="n">
        <x:v>-0.0065635303</x:v>
      </x:c>
      <x:c r="AQ18" s="39" t="n">
        <x:v>-0.0194663318</x:v>
      </x:c>
      <x:c r="AR18" s="39" t="n">
        <x:v>-0.0250880108</x:v>
      </x:c>
    </x:row>
    <x:row r="19" ht="19" customHeight="1">
      <x:c r="A19" s="40" t="d">
        <x:v>2021-07-19T00:00:00.000Z</x:v>
      </x:c>
      <x:c r="B19" s="39" t="n">
        <x:v>0.0247391046</x:v>
      </x:c>
      <x:c r="C19" s="39" t="n">
        <x:v>0.0377983153</x:v>
      </x:c>
      <x:c r="D19" s="39" t="n">
        <x:v>0.0092561288</x:v>
      </x:c>
      <x:c r="E19" s="39" t="n">
        <x:v>0.0074155284</x:v>
      </x:c>
      <x:c r="F19" s="39" t="n">
        <x:v>-0.008143034</x:v>
      </x:c>
      <x:c r="G19" s="39" t="n">
        <x:v>0.1220790897</x:v>
      </x:c>
      <x:c r="H19" s="39" t="n">
        <x:v>0.0472430897</x:v>
      </x:c>
      <x:c r="I19" s="39" t="n">
        <x:v>-0.0335200126</x:v>
      </x:c>
      <x:c r="J19" s="39" t="n">
        <x:v>-0.007746716</x:v>
      </x:c>
      <x:c r="K19" s="39" t="n">
        <x:v>-0.1655368723</x:v>
      </x:c>
      <x:c r="L19" s="39" t="n">
        <x:v>-0.0532603572</x:v>
      </x:c>
      <x:c r="M19" s="39" t="n">
        <x:v>-0.0160089985</x:v>
      </x:c>
      <x:c r="N19" s="39" t="n">
        <x:v>-0.0092384799</x:v>
      </x:c>
      <x:c r="O19" s="39" t="n">
        <x:v>-0.0680390757</x:v>
      </x:c>
      <x:c r="P19" s="39" t="n">
        <x:v>-0.126358988</x:v>
      </x:c>
      <x:c r="Q19" s="39" t="n">
        <x:v>0.0419728337</x:v>
      </x:c>
      <x:c r="R19" s="39" t="n">
        <x:v>-0.0188939725</x:v>
      </x:c>
      <x:c r="S19" s="39" t="n">
        <x:v>0.0730052809</x:v>
      </x:c>
      <x:c r="T19" s="39" t="n">
        <x:v>0.3012156044</x:v>
      </x:c>
      <x:c r="U19" s="39" t="n">
        <x:v>0.0399089198</x:v>
      </x:c>
      <x:c r="V19" s="39" t="n">
        <x:v>-0.0146096261</x:v>
      </x:c>
      <x:c r="W19" s="39" t="n">
        <x:v>0.0248792097</x:v>
      </x:c>
      <x:c r="X19" s="39" t="n">
        <x:v>-0.0503788671</x:v>
      </x:c>
      <x:c r="Y19" s="39" t="n">
        <x:v>-0.02734155</x:v>
      </x:c>
      <x:c r="Z19" s="39" t="n">
        <x:v>-0.0137938162</x:v>
      </x:c>
      <x:c r="AA19" s="39" t="n">
        <x:v>-0.129250487</x:v>
      </x:c>
      <x:c r="AB19" s="39" t="n">
        <x:v>-0.0308034227</x:v>
      </x:c>
      <x:c r="AC19" s="39" t="n">
        <x:v>0.0272518349</x:v>
      </x:c>
      <x:c r="AD19" s="39" t="n">
        <x:v>-0.0617286745</x:v>
      </x:c>
      <x:c r="AE19" s="39" t="n">
        <x:v>-0.0289898717</x:v>
      </x:c>
      <x:c r="AF19" s="39" t="n">
        <x:v>-0.0747419251</x:v>
      </x:c>
      <x:c r="AG19" s="39" t="n">
        <x:v>-0.0298533136</x:v>
      </x:c>
      <x:c r="AH19" s="39" t="n">
        <x:v>0.0479998747</x:v>
      </x:c>
      <x:c r="AI19" s="39" t="n">
        <x:v>0.0383663093</x:v>
      </x:c>
      <x:c r="AJ19" s="39" t="n">
        <x:v>0.0284418548</x:v>
      </x:c>
      <x:c r="AK19" s="39" t="n">
        <x:v>0.0349942837</x:v>
      </x:c>
      <x:c r="AL19" s="39" t="n">
        <x:v>0.0580823106</x:v>
      </x:c>
      <x:c r="AM19" s="39" t="n">
        <x:v>0.0537355551</x:v>
      </x:c>
      <x:c r="AN19" s="39" t="n">
        <x:v>0.0462005201</x:v>
      </x:c>
      <x:c r="AO19" s="39" t="n">
        <x:v>0.0388238173</x:v>
      </x:c>
      <x:c r="AP19" s="39" t="n">
        <x:v>0.0315656571</x:v>
      </x:c>
      <x:c r="AQ19" s="39" t="n">
        <x:v>0.0294708258</x:v>
      </x:c>
      <x:c r="AR19" s="39" t="n">
        <x:v>0.0002579711</x:v>
      </x:c>
    </x:row>
    <x:row r="20" ht="19" customHeight="1">
      <x:c r="A20" s="40" t="d">
        <x:v>2021-08-16T00:00:00.000Z</x:v>
      </x:c>
      <x:c r="B20" s="39" t="n">
        <x:v>-0.034521578</x:v>
      </x:c>
      <x:c r="C20" s="39" t="n">
        <x:v>0.0128302825</x:v>
      </x:c>
      <x:c r="D20" s="39" t="n">
        <x:v>0.0436756876</x:v>
      </x:c>
      <x:c r="E20" s="39" t="n">
        <x:v>0.0781741628</x:v>
      </x:c>
      <x:c r="F20" s="39" t="n">
        <x:v>-0.0038466709</x:v>
      </x:c>
      <x:c r="G20" s="39" t="n">
        <x:v>0.0215743087</x:v>
      </x:c>
      <x:c r="H20" s="39" t="n">
        <x:v>-0.0883629032</x:v>
      </x:c>
      <x:c r="I20" s="39" t="n">
        <x:v>-0.0078218828</x:v>
      </x:c>
      <x:c r="J20" s="39" t="n">
        <x:v>0.0299946133</x:v>
      </x:c>
      <x:c r="K20" s="39" t="n">
        <x:v>-0.0280612641</x:v>
      </x:c>
      <x:c r="L20" s="39" t="n">
        <x:v>-0.0369383736</x:v>
      </x:c>
      <x:c r="M20" s="39" t="n">
        <x:v>0.0022365362</x:v>
      </x:c>
      <x:c r="N20" s="39" t="n">
        <x:v>0.0274590308</x:v>
      </x:c>
      <x:c r="O20" s="39" t="n">
        <x:v>-0.0397128577</x:v>
      </x:c>
      <x:c r="P20" s="39" t="n">
        <x:v>0.0268777704</x:v>
      </x:c>
      <x:c r="Q20" s="39" t="n">
        <x:v>-0.0178208779</x:v>
      </x:c>
      <x:c r="R20" s="39" t="n">
        <x:v>-0.0437351385</x:v>
      </x:c>
      <x:c r="S20" s="39" t="n">
        <x:v>0.0151910077</x:v>
      </x:c>
      <x:c r="T20" s="39" t="n">
        <x:v>0.0618616286</x:v>
      </x:c>
      <x:c r="U20" s="39" t="n">
        <x:v>0.0136105284</x:v>
      </x:c>
      <x:c r="V20" s="39" t="n">
        <x:v>0.0392548917</x:v>
      </x:c>
      <x:c r="W20" s="39" t="n">
        <x:v>0.0118106722</x:v>
      </x:c>
      <x:c r="X20" s="39" t="n">
        <x:v>-0.0517741668</x:v>
      </x:c>
      <x:c r="Y20" s="39" t="n">
        <x:v>-0.0427835765</x:v>
      </x:c>
      <x:c r="Z20" s="39" t="n">
        <x:v>0.0195650863</x:v>
      </x:c>
      <x:c r="AA20" s="39" t="n">
        <x:v>-0.0249970904</x:v>
      </x:c>
      <x:c r="AB20" s="39" t="n">
        <x:v>0.3429509378</x:v>
      </x:c>
      <x:c r="AC20" s="39" t="n">
        <x:v>0.0246477531</x:v>
      </x:c>
      <x:c r="AD20" s="39" t="n">
        <x:v>-0.062792607</x:v>
      </x:c>
      <x:c r="AE20" s="39" t="n">
        <x:v>0.0221726183</x:v>
      </x:c>
      <x:c r="AF20" s="39" t="n">
        <x:v>-0.0270045554</x:v>
      </x:c>
      <x:c r="AG20" s="39" t="n">
        <x:v>-0.0033241558</x:v>
      </x:c>
      <x:c r="AH20" s="39" t="n">
        <x:v>0.0842525567</x:v>
      </x:c>
      <x:c r="AI20" s="39" t="n">
        <x:v>0.0710212554</x:v>
      </x:c>
      <x:c r="AJ20" s="39" t="n">
        <x:v>-0.0225028898</x:v>
      </x:c>
      <x:c r="AK20" s="39" t="n">
        <x:v>0.0170569604</x:v>
      </x:c>
      <x:c r="AL20" s="39" t="n">
        <x:v>0.0340319817</x:v>
      </x:c>
      <x:c r="AM20" s="39" t="n">
        <x:v>0.0216250483</x:v>
      </x:c>
      <x:c r="AN20" s="39" t="n">
        <x:v>0.0546518975</x:v>
      </x:c>
      <x:c r="AO20" s="39" t="n">
        <x:v>-0.0072030329</x:v>
      </x:c>
      <x:c r="AP20" s="39" t="n">
        <x:v>-0.0043126122</x:v>
      </x:c>
      <x:c r="AQ20" s="39" t="n">
        <x:v>0.0288568745</x:v>
      </x:c>
      <x:c r="AR20" s="39" t="n">
        <x:v>0.0159319685</x:v>
      </x:c>
    </x:row>
    <x:row r="21" ht="19" customHeight="1">
      <x:c r="A21" s="40" t="d">
        <x:v>2021-09-13T00:00:00.000Z</x:v>
      </x:c>
      <x:c r="B21" s="39" t="n">
        <x:v>-0.0070959563</x:v>
      </x:c>
      <x:c r="C21" s="39" t="n">
        <x:v>0.0541401377</x:v>
      </x:c>
      <x:c r="D21" s="39" t="n">
        <x:v>-0.0535595605</x:v>
      </x:c>
      <x:c r="E21" s="39" t="n">
        <x:v>-0.0211984556</x:v>
      </x:c>
      <x:c r="F21" s="39" t="n">
        <x:v>0.0312897719</x:v>
      </x:c>
      <x:c r="G21" s="39" t="n">
        <x:v>0.006179243</x:v>
      </x:c>
      <x:c r="H21" s="39" t="n">
        <x:v>0.0529750474</x:v>
      </x:c>
      <x:c r="I21" s="39" t="n">
        <x:v>-0.0454883525</x:v>
      </x:c>
      <x:c r="J21" s="39" t="n">
        <x:v>-0.0442354765</x:v>
      </x:c>
      <x:c r="K21" s="39" t="n">
        <x:v>0.0577055527</x:v>
      </x:c>
      <x:c r="L21" s="39" t="n">
        <x:v>0.0665326244</x:v>
      </x:c>
      <x:c r="M21" s="39" t="n">
        <x:v>0.0408510169</x:v>
      </x:c>
      <x:c r="N21" s="39" t="n">
        <x:v>-0.0435948775</x:v>
      </x:c>
      <x:c r="O21" s="39" t="n">
        <x:v>-0.0241481712</x:v>
      </x:c>
      <x:c r="P21" s="39" t="n">
        <x:v>0.1970453253</x:v>
      </x:c>
      <x:c r="Q21" s="39" t="n">
        <x:v>0.2927360077</x:v>
      </x:c>
      <x:c r="R21" s="39" t="n">
        <x:v>-0.030587429</x:v>
      </x:c>
      <x:c r="S21" s="39" t="n">
        <x:v>0.0612391361</x:v>
      </x:c>
      <x:c r="T21" s="39" t="n">
        <x:v>0.077868095</x:v>
      </x:c>
      <x:c r="U21" s="39" t="n">
        <x:v>-0.054074183</x:v>
      </x:c>
      <x:c r="V21" s="39" t="n">
        <x:v>0.0502405934</x:v>
      </x:c>
      <x:c r="W21" s="39" t="n">
        <x:v>-0.026522865</x:v>
      </x:c>
      <x:c r="X21" s="39" t="n">
        <x:v>0.0378434803</x:v>
      </x:c>
      <x:c r="Y21" s="39" t="n">
        <x:v>-0.0072380059</x:v>
      </x:c>
      <x:c r="Z21" s="39" t="n">
        <x:v>-0.0350469431</x:v>
      </x:c>
      <x:c r="AA21" s="39" t="n">
        <x:v>0.0541297882</x:v>
      </x:c>
      <x:c r="AB21" s="39" t="n">
        <x:v>0.2945695435</x:v>
      </x:c>
      <x:c r="AC21" s="39" t="n">
        <x:v>-0.0034813724</x:v>
      </x:c>
      <x:c r="AD21" s="39" t="n">
        <x:v>0.0504305952</x:v>
      </x:c>
      <x:c r="AE21" s="39" t="n">
        <x:v>-0.0436938243</x:v>
      </x:c>
      <x:c r="AF21" s="39" t="n">
        <x:v>0.0021759406</x:v>
      </x:c>
      <x:c r="AG21" s="39" t="n">
        <x:v>-0.0224251515</x:v>
      </x:c>
      <x:c r="AH21" s="39" t="n">
        <x:v>-0.0049609263</x:v>
      </x:c>
      <x:c r="AI21" s="39" t="n">
        <x:v>-0.1096779348</x:v>
      </x:c>
      <x:c r="AJ21" s="39" t="n">
        <x:v>0.0127202339</x:v>
      </x:c>
      <x:c r="AK21" s="39" t="n">
        <x:v>-0.0471595478</x:v>
      </x:c>
      <x:c r="AL21" s="39" t="n">
        <x:v>-0.0099836215</x:v>
      </x:c>
      <x:c r="AM21" s="39" t="n">
        <x:v>0.0162760335</x:v>
      </x:c>
      <x:c r="AN21" s="39" t="n">
        <x:v>0.000760761</x:v>
      </x:c>
      <x:c r="AO21" s="39" t="n">
        <x:v>0.016399412</x:v>
      </x:c>
      <x:c r="AP21" s="39" t="n">
        <x:v>-0.0215612953</x:v>
      </x:c>
      <x:c r="AQ21" s="39" t="n">
        <x:v>-0.0533948828</x:v>
      </x:c>
      <x:c r="AR21" s="39" t="n">
        <x:v>-0.0203440965</x:v>
      </x:c>
    </x:row>
    <x:row r="22" ht="19" customHeight="1">
      <x:c r="A22" s="40" t="d">
        <x:v>2021-10-11T00:00:00.000Z</x:v>
      </x:c>
      <x:c r="B22" s="39" t="n">
        <x:v>0.0687870395</x:v>
      </x:c>
      <x:c r="C22" s="39" t="n">
        <x:v>0.2401276909</x:v>
      </x:c>
      <x:c r="D22" s="39" t="n">
        <x:v>-0.0049597744</x:v>
      </x:c>
      <x:c r="E22" s="39" t="n">
        <x:v>-0.0561854685</x:v>
      </x:c>
      <x:c r="F22" s="39" t="n">
        <x:v>-0.0265407244</x:v>
      </x:c>
      <x:c r="G22" s="39" t="n">
        <x:v>-0.0284546063</x:v>
      </x:c>
      <x:c r="H22" s="39" t="n">
        <x:v>-0.0106088487</x:v>
      </x:c>
      <x:c r="I22" s="39" t="n">
        <x:v>0.098987404</x:v>
      </x:c>
      <x:c r="J22" s="39" t="n">
        <x:v>-0.008863287</x:v>
      </x:c>
      <x:c r="K22" s="39" t="n">
        <x:v>0.1236935219</x:v>
      </x:c>
      <x:c r="L22" s="39" t="n">
        <x:v>0.1251374488</x:v>
      </x:c>
      <x:c r="M22" s="39" t="n">
        <x:v>0.0879491673</x:v>
      </x:c>
      <x:c r="N22" s="39" t="n">
        <x:v>0.027878159</x:v>
      </x:c>
      <x:c r="O22" s="39" t="n">
        <x:v>-0.0301826513</x:v>
      </x:c>
      <x:c r="P22" s="39" t="n">
        <x:v>-0.006442019</x:v>
      </x:c>
      <x:c r="Q22" s="39" t="n">
        <x:v>0.0549079726</x:v>
      </x:c>
      <x:c r="R22" s="39" t="n">
        <x:v>0.0791798003</x:v>
      </x:c>
      <x:c r="S22" s="39" t="n">
        <x:v>0.1660939327</x:v>
      </x:c>
      <x:c r="T22" s="39" t="n">
        <x:v>-0.1924700521</x:v>
      </x:c>
      <x:c r="U22" s="39" t="n">
        <x:v>0.0216274554</x:v>
      </x:c>
      <x:c r="V22" s="39" t="n">
        <x:v>0.0435897263</x:v>
      </x:c>
      <x:c r="W22" s="39" t="n">
        <x:v>-0.0348899754</x:v>
      </x:c>
      <x:c r="X22" s="39" t="n">
        <x:v>-0.0626263488</x:v>
      </x:c>
      <x:c r="Y22" s="39" t="n">
        <x:v>0.0219729537</x:v>
      </x:c>
      <x:c r="Z22" s="39" t="n">
        <x:v>-0.0093320417</x:v>
      </x:c>
      <x:c r="AA22" s="39" t="n">
        <x:v>-0.071780646</x:v>
      </x:c>
      <x:c r="AB22" s="39" t="n">
        <x:v>0.1712468677</x:v>
      </x:c>
      <x:c r="AC22" s="39" t="n">
        <x:v>0.0003774244</x:v>
      </x:c>
      <x:c r="AD22" s="39" t="n">
        <x:v>0.1003355908</x:v>
      </x:c>
      <x:c r="AE22" s="39" t="n">
        <x:v>0.0760409852</x:v>
      </x:c>
      <x:c r="AF22" s="39" t="n">
        <x:v>0.0116505003</x:v>
      </x:c>
      <x:c r="AG22" s="39" t="n">
        <x:v>0.0522084968</x:v>
      </x:c>
      <x:c r="AH22" s="39" t="n">
        <x:v>0.0520048506</x:v>
      </x:c>
      <x:c r="AI22" s="39" t="n">
        <x:v>0.0226544202</x:v>
      </x:c>
      <x:c r="AJ22" s="39" t="n">
        <x:v>-0.0137912217</x:v>
      </x:c>
      <x:c r="AK22" s="39" t="n">
        <x:v>0.047829156</x:v>
      </x:c>
      <x:c r="AL22" s="39" t="n">
        <x:v>0.0097894063</x:v>
      </x:c>
      <x:c r="AM22" s="39" t="n">
        <x:v>0.0027427229</x:v>
      </x:c>
      <x:c r="AN22" s="39" t="n">
        <x:v>-0.0106389638</x:v>
      </x:c>
      <x:c r="AO22" s="39" t="n">
        <x:v>0.0292786212</x:v>
      </x:c>
      <x:c r="AP22" s="39" t="n">
        <x:v>0.0005002688</x:v>
      </x:c>
      <x:c r="AQ22" s="39" t="n">
        <x:v>-0.0144182249</x:v>
      </x:c>
      <x:c r="AR22" s="39" t="n">
        <x:v>0.0180967422</x:v>
      </x:c>
    </x:row>
    <x:row r="23" ht="19" customHeight="1">
      <x:c r="A23" s="40" t="d">
        <x:v>2021-11-08T00:00:00.000Z</x:v>
      </x:c>
      <x:c r="B23" s="39" t="n">
        <x:v>-0.0010540649</x:v>
      </x:c>
      <x:c r="C23" s="39" t="n">
        <x:v>-0.0455254034</x:v>
      </x:c>
      <x:c r="D23" s="39" t="n">
        <x:v>-0.0058202721</x:v>
      </x:c>
      <x:c r="E23" s="39" t="n">
        <x:v>0.002393634</x:v>
      </x:c>
      <x:c r="F23" s="39" t="n">
        <x:v>-0.0692586962</x:v>
      </x:c>
      <x:c r="G23" s="39" t="n">
        <x:v>0.0119978434</x:v>
      </x:c>
      <x:c r="H23" s="39" t="n">
        <x:v>0.0231458515</x:v>
      </x:c>
      <x:c r="I23" s="39" t="n">
        <x:v>0.1510552779</x:v>
      </x:c>
      <x:c r="J23" s="39" t="n">
        <x:v>0.191150051</x:v>
      </x:c>
      <x:c r="K23" s="39" t="n">
        <x:v>-0.0185170523</x:v>
      </x:c>
      <x:c r="L23" s="39" t="n">
        <x:v>0.0655898571</x:v>
      </x:c>
      <x:c r="M23" s="39" t="n">
        <x:v>-0.0290190745</x:v>
      </x:c>
      <x:c r="N23" s="39" t="n">
        <x:v>-0.0128556289</x:v>
      </x:c>
      <x:c r="O23" s="39" t="n">
        <x:v>0.0614086013</x:v>
      </x:c>
      <x:c r="P23" s="39" t="n">
        <x:v>-0.0186917011</x:v>
      </x:c>
      <x:c r="Q23" s="39" t="n">
        <x:v>0.2284669581</x:v>
      </x:c>
      <x:c r="R23" s="39" t="n">
        <x:v>0.0409870379</x:v>
      </x:c>
      <x:c r="S23" s="39" t="n">
        <x:v>0.1379993906</x:v>
      </x:c>
      <x:c r="T23" s="39" t="n">
        <x:v>-0.2336489034</x:v>
      </x:c>
      <x:c r="U23" s="39" t="n">
        <x:v>-0.0298764588</x:v>
      </x:c>
      <x:c r="V23" s="39" t="n">
        <x:v>0.0572956397</x:v>
      </x:c>
      <x:c r="W23" s="39" t="n">
        <x:v>-0.0066837131</x:v>
      </x:c>
      <x:c r="X23" s="39" t="n">
        <x:v>0.0918307548</x:v>
      </x:c>
      <x:c r="Y23" s="39" t="n">
        <x:v>0.02029564</x:v>
      </x:c>
      <x:c r="Z23" s="39" t="n">
        <x:v>0.0362852111</x:v>
      </x:c>
      <x:c r="AA23" s="39" t="n">
        <x:v>-0.0841750339</x:v>
      </x:c>
      <x:c r="AB23" s="39" t="n">
        <x:v>-0.2691397061</x:v>
      </x:c>
      <x:c r="AC23" s="39" t="n">
        <x:v>0.0144337573</x:v>
      </x:c>
      <x:c r="AD23" s="39" t="n">
        <x:v>0.1497681788</x:v>
      </x:c>
      <x:c r="AE23" s="39" t="n">
        <x:v>-0.0236605411</x:v>
      </x:c>
      <x:c r="AF23" s="39" t="n">
        <x:v>0.0123682262</x:v>
      </x:c>
      <x:c r="AG23" s="39" t="n">
        <x:v>-0.0635549309</x:v>
      </x:c>
      <x:c r="AH23" s="39" t="n">
        <x:v>0.1913259029</x:v>
      </x:c>
      <x:c r="AI23" s="39" t="n">
        <x:v>0.0627458394</x:v>
      </x:c>
      <x:c r="AJ23" s="39" t="n">
        <x:v>0.0117297264</x:v>
      </x:c>
      <x:c r="AK23" s="39" t="n">
        <x:v>-0.0262573349</x:v>
      </x:c>
      <x:c r="AL23" s="39" t="n">
        <x:v>0.0701557857</x:v>
      </x:c>
      <x:c r="AM23" s="39" t="n">
        <x:v>0.0348356929</x:v>
      </x:c>
      <x:c r="AN23" s="39" t="n">
        <x:v>0.0935856999</x:v>
      </x:c>
      <x:c r="AO23" s="39" t="n">
        <x:v>0.0424816069</x:v>
      </x:c>
      <x:c r="AP23" s="39" t="n">
        <x:v>0.0264997524</x:v>
      </x:c>
      <x:c r="AQ23" s="39" t="n">
        <x:v>0.0157123211</x:v>
      </x:c>
      <x:c r="AR23" s="39" t="n">
        <x:v>0.0043139618</x:v>
      </x:c>
    </x:row>
    <x:row r="24" ht="19" customHeight="1">
      <x:c r="A24" s="40" t="d">
        <x:v>2021-12-06T00:00:00.000Z</x:v>
      </x:c>
      <x:c r="B24" s="39" t="n">
        <x:v>0.0472299803</x:v>
      </x:c>
      <x:c r="C24" s="39" t="n">
        <x:v>-0.0200739835</x:v>
      </x:c>
      <x:c r="D24" s="39" t="n">
        <x:v>0.0166325122</x:v>
      </x:c>
      <x:c r="E24" s="39" t="n">
        <x:v>0.0389696662</x:v>
      </x:c>
      <x:c r="F24" s="39" t="n">
        <x:v>-0.0310566971</x:v>
      </x:c>
      <x:c r="G24" s="39" t="n">
        <x:v>-0.0553959294</x:v>
      </x:c>
      <x:c r="H24" s="39" t="n">
        <x:v>-0.0162716869</x:v>
      </x:c>
      <x:c r="I24" s="39" t="n">
        <x:v>-0.0217304544</x:v>
      </x:c>
      <x:c r="J24" s="39" t="n">
        <x:v>-0.0278321485</x:v>
      </x:c>
      <x:c r="K24" s="39" t="n">
        <x:v>-0.0456322204</x:v>
      </x:c>
      <x:c r="L24" s="39" t="n">
        <x:v>-0.0379067747</x:v>
      </x:c>
      <x:c r="M24" s="39" t="n">
        <x:v>0.0203224706</x:v>
      </x:c>
      <x:c r="N24" s="39" t="n">
        <x:v>-0.0424672443</x:v>
      </x:c>
      <x:c r="O24" s="39" t="n">
        <x:v>-0.0318398946</x:v>
      </x:c>
      <x:c r="P24" s="39" t="n">
        <x:v>-0.0745739114</x:v>
      </x:c>
      <x:c r="Q24" s="39" t="n">
        <x:v>-0.2712617581</x:v>
      </x:c>
      <x:c r="R24" s="39" t="n">
        <x:v>0.0137016262</x:v>
      </x:c>
      <x:c r="S24" s="39" t="n">
        <x:v>-0.2640315014</x:v>
      </x:c>
      <x:c r="T24" s="39" t="n">
        <x:v>0.0743304005</x:v>
      </x:c>
      <x:c r="U24" s="39" t="n">
        <x:v>-0.1305261421</x:v>
      </x:c>
      <x:c r="V24" s="39" t="n">
        <x:v>-0.0769074915</x:v>
      </x:c>
      <x:c r="W24" s="39" t="n">
        <x:v>-0.0694807667</x:v>
      </x:c>
      <x:c r="X24" s="39" t="n">
        <x:v>0.0709811082</x:v>
      </x:c>
      <x:c r="Y24" s="39" t="n">
        <x:v>-0.0252370673</x:v>
      </x:c>
      <x:c r="Z24" s="39" t="n">
        <x:v>-0.0081352335</x:v>
      </x:c>
      <x:c r="AA24" s="39" t="n">
        <x:v>-0.0408898457</x:v>
      </x:c>
      <x:c r="AB24" s="39" t="n">
        <x:v>-0.3481287047</x:v>
      </x:c>
      <x:c r="AC24" s="39" t="n">
        <x:v>0.0413129087</x:v>
      </x:c>
      <x:c r="AD24" s="39" t="n">
        <x:v>0.0703101233</x:v>
      </x:c>
      <x:c r="AE24" s="39" t="n">
        <x:v>0.0321846325</x:v>
      </x:c>
      <x:c r="AF24" s="39" t="n">
        <x:v>-0.0523328781</x:v>
      </x:c>
      <x:c r="AG24" s="39" t="n">
        <x:v>-0.0180509903</x:v>
      </x:c>
      <x:c r="AH24" s="39" t="n">
        <x:v>-0.0457164493</x:v>
      </x:c>
      <x:c r="AI24" s="39" t="n">
        <x:v>-0.0431621826</x:v>
      </x:c>
      <x:c r="AJ24" s="39" t="n">
        <x:v>-0.0186439529</x:v>
      </x:c>
      <x:c r="AK24" s="39" t="n">
        <x:v>0.0407401441</x:v>
      </x:c>
      <x:c r="AL24" s="39" t="n">
        <x:v>0.0132897597</x:v>
      </x:c>
      <x:c r="AM24" s="39" t="n">
        <x:v>-0.0031957633</x:v>
      </x:c>
      <x:c r="AN24" s="39" t="n">
        <x:v>0.0542788525</x:v>
      </x:c>
      <x:c r="AO24" s="39" t="n">
        <x:v>0.0790349789</x:v>
      </x:c>
      <x:c r="AP24" s="39" t="n">
        <x:v>0.0013164268</x:v>
      </x:c>
      <x:c r="AQ24" s="39" t="n">
        <x:v>0.0066106613</x:v>
      </x:c>
      <x:c r="AR24" s="39" t="n">
        <x:v>0.0054674069</x:v>
      </x:c>
    </x:row>
    <x:row r="25" ht="19" customHeight="1">
      <x:c r="A25" s="40" t="d">
        <x:v>2022-01-03T00:00:00.000Z</x:v>
      </x:c>
      <x:c r="B25" s="39" t="n">
        <x:v>0.0601118291</x:v>
      </x:c>
      <x:c r="C25" s="39" t="n">
        <x:v>-0.0172154974</x:v>
      </x:c>
      <x:c r="D25" s="39" t="n">
        <x:v>0.0554086951</x:v>
      </x:c>
      <x:c r="E25" s="39" t="n">
        <x:v>0.0305650484</x:v>
      </x:c>
      <x:c r="F25" s="39" t="n">
        <x:v>0.0234380992</x:v>
      </x:c>
      <x:c r="G25" s="39" t="n">
        <x:v>-0.0529515018</x:v>
      </x:c>
      <x:c r="H25" s="39" t="n">
        <x:v>-0.0410199522</x:v>
      </x:c>
      <x:c r="I25" s="39" t="n">
        <x:v>-0.0071548349</x:v>
      </x:c>
      <x:c r="J25" s="39" t="n">
        <x:v>0.051402997</x:v>
      </x:c>
      <x:c r="K25" s="39" t="n">
        <x:v>0.095154311</x:v>
      </x:c>
      <x:c r="L25" s="39" t="n">
        <x:v>0.0870465862</x:v>
      </x:c>
      <x:c r="M25" s="39" t="n">
        <x:v>-0.0078185333</x:v>
      </x:c>
      <x:c r="N25" s="39" t="n">
        <x:v>-0.0587761178</x:v>
      </x:c>
      <x:c r="O25" s="39" t="n">
        <x:v>0.0915951907</x:v>
      </x:c>
      <x:c r="P25" s="39" t="n">
        <x:v>-0.1284027889</x:v>
      </x:c>
      <x:c r="Q25" s="39" t="n">
        <x:v>-0.1240651213</x:v>
      </x:c>
      <x:c r="R25" s="39" t="n">
        <x:v>-0.0003724415</x:v>
      </x:c>
      <x:c r="S25" s="39" t="n">
        <x:v>-0.1934837666</x:v>
      </x:c>
      <x:c r="T25" s="39" t="n">
        <x:v>-0.1307638951</x:v>
      </x:c>
      <x:c r="U25" s="39" t="n">
        <x:v>0.0185476394</x:v>
      </x:c>
      <x:c r="V25" s="39" t="n">
        <x:v>-0.0871672665</x:v>
      </x:c>
      <x:c r="W25" s="39" t="n">
        <x:v>0.0266018553</x:v>
      </x:c>
      <x:c r="X25" s="39" t="n">
        <x:v>0.0711800962</x:v>
      </x:c>
      <x:c r="Y25" s="39" t="n">
        <x:v>0.0409824837</x:v>
      </x:c>
      <x:c r="Z25" s="39" t="n">
        <x:v>0.1095427284</x:v>
      </x:c>
      <x:c r="AA25" s="39" t="n">
        <x:v>-0.0944677777</x:v>
      </x:c>
      <x:c r="AB25" s="39" t="n">
        <x:v>-0.2260828108</x:v>
      </x:c>
      <x:c r="AC25" s="39" t="n">
        <x:v>0.0325263896</x:v>
      </x:c>
      <x:c r="AD25" s="39" t="n">
        <x:v>0.0927466497</x:v>
      </x:c>
      <x:c r="AE25" s="39" t="n">
        <x:v>0.0844891437</x:v>
      </x:c>
      <x:c r="AF25" s="39" t="n">
        <x:v>0.0352931501</x:v>
      </x:c>
      <x:c r="AG25" s="39" t="n">
        <x:v>0.0262239028</x:v>
      </x:c>
      <x:c r="AH25" s="39" t="n">
        <x:v>-0.0344197239</x:v>
      </x:c>
      <x:c r="AI25" s="39" t="n">
        <x:v>0.0433644048</x:v>
      </x:c>
      <x:c r="AJ25" s="39" t="n">
        <x:v>0.0426877495</x:v>
      </x:c>
      <x:c r="AK25" s="39" t="n">
        <x:v>0.009382528</x:v>
      </x:c>
      <x:c r="AL25" s="39" t="n">
        <x:v>-0.0617389762</x:v>
      </x:c>
      <x:c r="AM25" s="39" t="n">
        <x:v>-0.0548088322</x:v>
      </x:c>
      <x:c r="AN25" s="39" t="n">
        <x:v>-0.0293936395</x:v>
      </x:c>
      <x:c r="AO25" s="39" t="n">
        <x:v>-0.0382945978</x:v>
      </x:c>
      <x:c r="AP25" s="39" t="n">
        <x:v>0.0493880634</x:v>
      </x:c>
      <x:c r="AQ25" s="39" t="n">
        <x:v>0.0354345045</x:v>
      </x:c>
      <x:c r="AR25" s="39" t="n">
        <x:v>0.0738256486</x:v>
      </x:c>
    </x:row>
    <x:row r="26" ht="19" customHeight="1">
      <x:c r="A26" s="40" t="d">
        <x:v>2022-01-31T00:00:00.000Z</x:v>
      </x:c>
      <x:c r="B26" s="39" t="n">
        <x:v>-0.0284866339</x:v>
      </x:c>
      <x:c r="C26" s="39" t="n">
        <x:v>0.0844784456</x:v>
      </x:c>
      <x:c r="D26" s="39" t="n">
        <x:v>-0.013057106</x:v>
      </x:c>
      <x:c r="E26" s="39" t="n">
        <x:v>-0.0079506006</x:v>
      </x:c>
      <x:c r="F26" s="39" t="n">
        <x:v>-0.0760822416</x:v>
      </x:c>
      <x:c r="G26" s="39" t="n">
        <x:v>-0.0535348087</x:v>
      </x:c>
      <x:c r="H26" s="39" t="n">
        <x:v>-0.0221285531</x:v>
      </x:c>
      <x:c r="I26" s="39" t="n">
        <x:v>-0.0903994658</x:v>
      </x:c>
      <x:c r="J26" s="39" t="n">
        <x:v>-0.0147001465</x:v>
      </x:c>
      <x:c r="K26" s="39" t="n">
        <x:v>0.0572267116</x:v>
      </x:c>
      <x:c r="L26" s="39" t="n">
        <x:v>0.0592178107</x:v>
      </x:c>
      <x:c r="M26" s="39" t="n">
        <x:v>0.033413747</x:v>
      </x:c>
      <x:c r="N26" s="39" t="n">
        <x:v>-0.0633757431</x:v>
      </x:c>
      <x:c r="O26" s="39" t="n">
        <x:v>-0.1726288651</x:v>
      </x:c>
      <x:c r="P26" s="39" t="n">
        <x:v>0.0299034309</x:v>
      </x:c>
      <x:c r="Q26" s="39" t="n">
        <x:v>-0.152787759</x:v>
      </x:c>
      <x:c r="R26" s="39" t="n">
        <x:v>0.0646886502</x:v>
      </x:c>
      <x:c r="S26" s="39" t="n">
        <x:v>-0.0261343589</x:v>
      </x:c>
      <x:c r="T26" s="39" t="n">
        <x:v>-0.1957075605</x:v>
      </x:c>
      <x:c r="U26" s="39" t="n">
        <x:v>-0.011005716</x:v>
      </x:c>
      <x:c r="V26" s="39" t="n">
        <x:v>-0.1996348367</x:v>
      </x:c>
      <x:c r="W26" s="39" t="n">
        <x:v>-0.0104446607</x:v>
      </x:c>
      <x:c r="X26" s="39" t="n">
        <x:v>-0.1092207967</x:v>
      </x:c>
      <x:c r="Y26" s="39" t="n">
        <x:v>0.0179673171</x:v>
      </x:c>
      <x:c r="Z26" s="39" t="n">
        <x:v>-0.000726523</x:v>
      </x:c>
      <x:c r="AA26" s="39" t="n">
        <x:v>-0.066583748</x:v>
      </x:c>
      <x:c r="AB26" s="39" t="n">
        <x:v>-0.1228053716</x:v>
      </x:c>
      <x:c r="AC26" s="39" t="n">
        <x:v>-0.0014981198</x:v>
      </x:c>
      <x:c r="AD26" s="39" t="n">
        <x:v>-0.2183670763</x:v>
      </x:c>
      <x:c r="AE26" s="39" t="n">
        <x:v>-0.0123072399</x:v>
      </x:c>
      <x:c r="AF26" s="39" t="n">
        <x:v>-0.0309247346</x:v>
      </x:c>
      <x:c r="AG26" s="39" t="n">
        <x:v>-0.039738651</x:v>
      </x:c>
      <x:c r="AH26" s="39" t="n">
        <x:v>-0.0473943508</x:v>
      </x:c>
      <x:c r="AI26" s="39" t="n">
        <x:v>-0.0495226261</x:v>
      </x:c>
      <x:c r="AJ26" s="39" t="n">
        <x:v>-0.0634430388</x:v>
      </x:c>
      <x:c r="AK26" s="39" t="n">
        <x:v>-0.0476236949</x:v>
      </x:c>
      <x:c r="AL26" s="39" t="n">
        <x:v>-0.0188357375</x:v>
      </x:c>
      <x:c r="AM26" s="39" t="n">
        <x:v>0.0322825242</x:v>
      </x:c>
      <x:c r="AN26" s="39" t="n">
        <x:v>-0.0213137006</x:v>
      </x:c>
      <x:c r="AO26" s="39" t="n">
        <x:v>-0.064998231</x:v>
      </x:c>
      <x:c r="AP26" s="39" t="n">
        <x:v>0.0074880422</x:v>
      </x:c>
      <x:c r="AQ26" s="39" t="n">
        <x:v>-0.0096782732</x:v>
      </x:c>
      <x:c r="AR26" s="39" t="n">
        <x:v>-0.0108787697</x:v>
      </x:c>
    </x:row>
    <x:row r="27" ht="19" customHeight="1">
      <x:c r="A27" s="40" t="d">
        <x:v>2022-02-28T00:00:00.000Z</x:v>
      </x:c>
      <x:c r="B27" s="39" t="n">
        <x:v>0.0224245236</x:v>
      </x:c>
      <x:c r="C27" s="39" t="n">
        <x:v>0.1726312634</x:v>
      </x:c>
      <x:c r="D27" s="39" t="n">
        <x:v>0.0628117341</x:v>
      </x:c>
      <x:c r="E27" s="39" t="n">
        <x:v>0.015434197</x:v>
      </x:c>
      <x:c r="F27" s="39" t="n">
        <x:v>-0.0067225739</x:v>
      </x:c>
      <x:c r="G27" s="39" t="n">
        <x:v>-0.0205705591</x:v>
      </x:c>
      <x:c r="H27" s="39" t="n">
        <x:v>-0.0578740052</x:v>
      </x:c>
      <x:c r="I27" s="39" t="n">
        <x:v>0.0037074395</x:v>
      </x:c>
      <x:c r="J27" s="39" t="n">
        <x:v>-0.0382344341</x:v>
      </x:c>
      <x:c r="K27" s="39" t="n">
        <x:v>-0.0060962853</x:v>
      </x:c>
      <x:c r="L27" s="39" t="n">
        <x:v>0.1456478069</x:v>
      </x:c>
      <x:c r="M27" s="39" t="n">
        <x:v>0.1984258998</x:v>
      </x:c>
      <x:c r="N27" s="39" t="n">
        <x:v>0.06915488</x:v>
      </x:c>
      <x:c r="O27" s="39" t="n">
        <x:v>-0.0220590938</x:v>
      </x:c>
      <x:c r="P27" s="39" t="n">
        <x:v>-0.1118415147</x:v>
      </x:c>
      <x:c r="Q27" s="39" t="n">
        <x:v>-0.0788427192</x:v>
      </x:c>
      <x:c r="R27" s="39" t="n">
        <x:v>-0.0071621135</x:v>
      </x:c>
      <x:c r="S27" s="39" t="n">
        <x:v>-0.0163336928</x:v>
      </x:c>
      <x:c r="T27" s="39" t="n">
        <x:v>-0.129965316</x:v>
      </x:c>
      <x:c r="U27" s="39" t="n">
        <x:v>-0.0252791552</x:v>
      </x:c>
      <x:c r="V27" s="39" t="n">
        <x:v>-0.0918731721</x:v>
      </x:c>
      <x:c r="W27" s="39" t="n">
        <x:v>-0.0321122575</x:v>
      </x:c>
      <x:c r="X27" s="39" t="n">
        <x:v>0.0066345811</x:v>
      </x:c>
      <x:c r="Y27" s="39" t="n">
        <x:v>0.1448320076</x:v>
      </x:c>
      <x:c r="Z27" s="39" t="n">
        <x:v>-0.0127107084</x:v>
      </x:c>
      <x:c r="AA27" s="39" t="n">
        <x:v>0.0675291562</x:v>
      </x:c>
      <x:c r="AB27" s="39" t="n">
        <x:v>0.1920911207</x:v>
      </x:c>
      <x:c r="AC27" s="39" t="n">
        <x:v>-0.0295070518</x:v>
      </x:c>
      <x:c r="AD27" s="39" t="n">
        <x:v>-0.0466380039</x:v>
      </x:c>
      <x:c r="AE27" s="39" t="n">
        <x:v>-0.0184640189</x:v>
      </x:c>
      <x:c r="AF27" s="39" t="n">
        <x:v>-0.0968238273</x:v>
      </x:c>
      <x:c r="AG27" s="39" t="n">
        <x:v>0.1342513808</x:v>
      </x:c>
      <x:c r="AH27" s="39" t="n">
        <x:v>-0.0958621858</x:v>
      </x:c>
      <x:c r="AI27" s="39" t="n">
        <x:v>0.0627037869</x:v>
      </x:c>
      <x:c r="AJ27" s="39" t="n">
        <x:v>0.0633831089</x:v>
      </x:c>
      <x:c r="AK27" s="39" t="n">
        <x:v>-0.1269118166</x:v>
      </x:c>
      <x:c r="AL27" s="39" t="n">
        <x:v>-0.0379598746</x:v>
      </x:c>
      <x:c r="AM27" s="39" t="n">
        <x:v>-0.0605292783</x:v>
      </x:c>
      <x:c r="AN27" s="39" t="n">
        <x:v>0.0080149588</x:v>
      </x:c>
      <x:c r="AO27" s="39" t="n">
        <x:v>-0.075766283</x:v>
      </x:c>
      <x:c r="AP27" s="39" t="n">
        <x:v>0.0190569597</x:v>
      </x:c>
      <x:c r="AQ27" s="39" t="n">
        <x:v>-0.0045379166</x:v>
      </x:c>
      <x:c r="AR27" s="39" t="n">
        <x:v>0.0236346575</x:v>
      </x:c>
    </x:row>
    <x:row r="28" ht="19" customHeight="1">
      <x:c r="A28" s="40" t="d">
        <x:v>2022-03-28T00:00:00.000Z</x:v>
      </x:c>
      <x:c r="B28" s="39" t="n">
        <x:v>0.0356619829</x:v>
      </x:c>
      <x:c r="C28" s="39" t="n">
        <x:v>0.0908654284</x:v>
      </x:c>
      <x:c r="D28" s="39" t="n">
        <x:v>0.0388340375</x:v>
      </x:c>
      <x:c r="E28" s="39" t="n">
        <x:v>0.0501219304</x:v>
      </x:c>
      <x:c r="F28" s="39" t="n">
        <x:v>-0.0198636231</x:v>
      </x:c>
      <x:c r="G28" s="39" t="n">
        <x:v>0.0741770633</x:v>
      </x:c>
      <x:c r="H28" s="39" t="n">
        <x:v>0.0860314744</x:v>
      </x:c>
      <x:c r="I28" s="39" t="n">
        <x:v>0.0445277812</x:v>
      </x:c>
      <x:c r="J28" s="39" t="n">
        <x:v>-0.1005975775</x:v>
      </x:c>
      <x:c r="K28" s="39" t="n">
        <x:v>0.1213531835</x:v>
      </x:c>
      <x:c r="L28" s="39" t="n">
        <x:v>0.0663316629</x:v>
      </x:c>
      <x:c r="M28" s="39" t="n">
        <x:v>0.0690662775</x:v>
      </x:c>
      <x:c r="N28" s="39" t="n">
        <x:v>0.0785705852</x:v>
      </x:c>
      <x:c r="O28" s="39" t="n">
        <x:v>-0.0282596465</x:v>
      </x:c>
      <x:c r="P28" s="39" t="n">
        <x:v>0.0770026118</x:v>
      </x:c>
      <x:c r="Q28" s="39" t="n">
        <x:v>0.1098035317</x:v>
      </x:c>
      <x:c r="R28" s="39" t="n">
        <x:v>-0.0087761028</x:v>
      </x:c>
      <x:c r="S28" s="39" t="n">
        <x:v>0.149777015</x:v>
      </x:c>
      <x:c r="T28" s="39" t="n">
        <x:v>0.1911389255</x:v>
      </x:c>
      <x:c r="U28" s="39" t="n">
        <x:v>0.0063068232</x:v>
      </x:c>
      <x:c r="V28" s="39" t="n">
        <x:v>0.0236808475</x:v>
      </x:c>
      <x:c r="W28" s="39" t="n">
        <x:v>0.0076556915</x:v>
      </x:c>
      <x:c r="X28" s="39" t="n">
        <x:v>-0.0537698406</x:v>
      </x:c>
      <x:c r="Y28" s="39" t="n">
        <x:v>0.085602496</x:v>
      </x:c>
      <x:c r="Z28" s="39" t="n">
        <x:v>0.0533678714</x:v>
      </x:c>
      <x:c r="AA28" s="39" t="n">
        <x:v>0.05598324</x:v>
      </x:c>
      <x:c r="AB28" s="39" t="n">
        <x:v>-0.1204923925</x:v>
      </x:c>
      <x:c r="AC28" s="39" t="n">
        <x:v>-0.0002389663</x:v>
      </x:c>
      <x:c r="AD28" s="39" t="n">
        <x:v>-0.0088529687</x:v>
      </x:c>
      <x:c r="AE28" s="39" t="n">
        <x:v>-0.0004383107</x:v>
      </x:c>
      <x:c r="AF28" s="39" t="n">
        <x:v>0.0395946858</x:v>
      </x:c>
      <x:c r="AG28" s="39" t="n">
        <x:v>-0.0543441118</x:v>
      </x:c>
      <x:c r="AH28" s="39" t="n">
        <x:v>-0.0015061374</x:v>
      </x:c>
      <x:c r="AI28" s="39" t="n">
        <x:v>0.0796189088</x:v>
      </x:c>
      <x:c r="AJ28" s="39" t="n">
        <x:v>0.086229011</x:v>
      </x:c>
      <x:c r="AK28" s="39" t="n">
        <x:v>0.107641577</x:v>
      </x:c>
      <x:c r="AL28" s="39" t="n">
        <x:v>0.0484163103</x:v>
      </x:c>
      <x:c r="AM28" s="39" t="n">
        <x:v>0.044947917</x:v>
      </x:c>
      <x:c r="AN28" s="39" t="n">
        <x:v>0.0674779483</x:v>
      </x:c>
      <x:c r="AO28" s="39" t="n">
        <x:v>-0.0485383541</x:v>
      </x:c>
      <x:c r="AP28" s="39" t="n">
        <x:v>0.0092003394</x:v>
      </x:c>
      <x:c r="AQ28" s="39" t="n">
        <x:v>0.03715698</x:v>
      </x:c>
      <x:c r="AR28" s="39" t="n">
        <x:v>0.0581422147</x:v>
      </x:c>
    </x:row>
    <x:row r="29" ht="19" customHeight="1">
      <x:c r="A29" s="40" t="d">
        <x:v>2022-04-25T00:00:00.000Z</x:v>
      </x:c>
      <x:c r="B29" s="39" t="n">
        <x:v>0.0490510854</x:v>
      </x:c>
      <x:c r="C29" s="39" t="n">
        <x:v>-0.0622367064</x:v>
      </x:c>
      <x:c r="D29" s="39" t="n">
        <x:v>-0.0179920809</x:v>
      </x:c>
      <x:c r="E29" s="39" t="n">
        <x:v>-0.0078046899</x:v>
      </x:c>
      <x:c r="F29" s="39" t="n">
        <x:v>-0.1539933936</x:v>
      </x:c>
      <x:c r="G29" s="39" t="n">
        <x:v>-0.0683124293</x:v>
      </x:c>
      <x:c r="H29" s="39" t="n">
        <x:v>-0.2065094829</x:v>
      </x:c>
      <x:c r="I29" s="39" t="n">
        <x:v>-0.0492141445</x:v>
      </x:c>
      <x:c r="J29" s="39" t="n">
        <x:v>-0.064771282</x:v>
      </x:c>
      <x:c r="K29" s="39" t="n">
        <x:v>0.0722290048</x:v>
      </x:c>
      <x:c r="L29" s="39" t="n">
        <x:v>-0.0226421546</x:v>
      </x:c>
      <x:c r="M29" s="39" t="n">
        <x:v>-0.0411029101</x:v>
      </x:c>
      <x:c r="N29" s="39" t="n">
        <x:v>-0.0916087312</x:v>
      </x:c>
      <x:c r="O29" s="39" t="n">
        <x:v>0.0694192341</x:v>
      </x:c>
      <x:c r="P29" s="39" t="n">
        <x:v>-0.1800999229</x:v>
      </x:c>
      <x:c r="Q29" s="39" t="n">
        <x:v>-0.3102748475</x:v>
      </x:c>
      <x:c r="R29" s="39" t="n">
        <x:v>-0.0671235361</x:v>
      </x:c>
      <x:c r="S29" s="39" t="n">
        <x:v>-0.270904189</x:v>
      </x:c>
      <x:c r="T29" s="39" t="n">
        <x:v>-0.2052349753</x:v>
      </x:c>
      <x:c r="U29" s="39" t="n">
        <x:v>-0.1627367521</x:v>
      </x:c>
      <x:c r="V29" s="39" t="n">
        <x:v>-0.5067569278</x:v>
      </x:c>
      <x:c r="W29" s="39" t="n">
        <x:v>-0.1326763514</x:v>
      </x:c>
      <x:c r="X29" s="39" t="n">
        <x:v>-0.0822904494</x:v>
      </x:c>
      <x:c r="Y29" s="39" t="n">
        <x:v>-0.0960873731</x:v>
      </x:c>
      <x:c r="Z29" s="39" t="n">
        <x:v>-0.0522754715</x:v>
      </x:c>
      <x:c r="AA29" s="39" t="n">
        <x:v>0.0559698793</x:v>
      </x:c>
      <x:c r="AB29" s="39" t="n">
        <x:v>-0.2811315659</x:v>
      </x:c>
      <x:c r="AC29" s="39" t="n">
        <x:v>0.030224256</x:v>
      </x:c>
      <x:c r="AD29" s="39" t="n">
        <x:v>-0.116821815</x:v>
      </x:c>
      <x:c r="AE29" s="39" t="n">
        <x:v>-0.04175959</x:v>
      </x:c>
      <x:c r="AF29" s="39" t="n">
        <x:v>-0.1865928506</x:v>
      </x:c>
      <x:c r="AG29" s="39" t="n">
        <x:v>0.0366119184</x:v>
      </x:c>
      <x:c r="AH29" s="39" t="n">
        <x:v>-0.176813359</x:v>
      </x:c>
      <x:c r="AI29" s="39" t="n">
        <x:v>-0.0013887561</x:v>
      </x:c>
      <x:c r="AJ29" s="39" t="n">
        <x:v>-0.0559151376</x:v>
      </x:c>
      <x:c r="AK29" s="39" t="n">
        <x:v>-0.0724822312</x:v>
      </x:c>
      <x:c r="AL29" s="39" t="n">
        <x:v>-0.0818174898</x:v>
      </x:c>
      <x:c r="AM29" s="39" t="n">
        <x:v>-0.1545703782</x:v>
      </x:c>
      <x:c r="AN29" s="39" t="n">
        <x:v>-0.0583656458</x:v>
      </x:c>
      <x:c r="AO29" s="39" t="n">
        <x:v>-0.0037206238</x:v>
      </x:c>
      <x:c r="AP29" s="39" t="n">
        <x:v>0.0205282653</x:v>
      </x:c>
      <x:c r="AQ29" s="39" t="n">
        <x:v>0.0095188305</x:v>
      </x:c>
      <x:c r="AR29" s="39" t="n">
        <x:v>-0.064791605</x:v>
      </x:c>
    </x:row>
    <x:row r="30" ht="19" customHeight="1">
      <x:c r="A30" s="40" t="d">
        <x:v>2022-05-23T00:00:00.000Z</x:v>
      </x:c>
      <x:c r="B30" s="39" t="n">
        <x:v>0.0383401671</x:v>
      </x:c>
      <x:c r="C30" s="39" t="n">
        <x:v>0.0995781204</x:v>
      </x:c>
      <x:c r="D30" s="39" t="n">
        <x:v>0.0395619093</x:v>
      </x:c>
      <x:c r="E30" s="39" t="n">
        <x:v>0.0207589062</x:v>
      </x:c>
      <x:c r="F30" s="39" t="n">
        <x:v>-0.0159469689</x:v>
      </x:c>
      <x:c r="G30" s="39" t="n">
        <x:v>-0.0283894435</x:v>
      </x:c>
      <x:c r="H30" s="39" t="n">
        <x:v>-0.0582221923</x:v>
      </x:c>
      <x:c r="I30" s="39" t="n">
        <x:v>0.0635450526</x:v>
      </x:c>
      <x:c r="J30" s="39" t="n">
        <x:v>0.05495489</x:v>
      </x:c>
      <x:c r="K30" s="39" t="n">
        <x:v>0.1339561507</x:v>
      </x:c>
      <x:c r="L30" s="39" t="n">
        <x:v>-0.0056936359</x:v>
      </x:c>
      <x:c r="M30" s="39" t="n">
        <x:v>-0.0210914529</x:v>
      </x:c>
      <x:c r="N30" s="39" t="n">
        <x:v>-0.0401264401</x:v>
      </x:c>
      <x:c r="O30" s="39" t="n">
        <x:v>0.1216751832</x:v>
      </x:c>
      <x:c r="P30" s="39" t="n">
        <x:v>-0.021008988</x:v>
      </x:c>
      <x:c r="Q30" s="39" t="n">
        <x:v>0.1899172734</x:v>
      </x:c>
      <x:c r="R30" s="39" t="n">
        <x:v>-0.0706621215</x:v>
      </x:c>
      <x:c r="S30" s="39" t="n">
        <x:v>-0.2897712613</x:v>
      </x:c>
      <x:c r="T30" s="39" t="n">
        <x:v>0.0717005826</x:v>
      </x:c>
      <x:c r="U30" s="39" t="n">
        <x:v>-0.068808381</x:v>
      </x:c>
      <x:c r="V30" s="39" t="n">
        <x:v>0.01910878</x:v>
      </x:c>
      <x:c r="W30" s="39" t="n">
        <x:v>0.0800441558</x:v>
      </x:c>
      <x:c r="X30" s="39" t="n">
        <x:v>0.0553178082</x:v>
      </x:c>
      <x:c r="Y30" s="39" t="n">
        <x:v>-0.0446199063</x:v>
      </x:c>
      <x:c r="Z30" s="39" t="n">
        <x:v>0.08704171</x:v>
      </x:c>
      <x:c r="AA30" s="39" t="n">
        <x:v>0.0159218954</x:v>
      </x:c>
      <x:c r="AB30" s="39" t="n">
        <x:v>-0.3044063807</x:v>
      </x:c>
      <x:c r="AC30" s="39" t="n">
        <x:v>-0.0583717866</x:v>
      </x:c>
      <x:c r="AD30" s="39" t="n">
        <x:v>-0.0290927571</x:v>
      </x:c>
      <x:c r="AE30" s="39" t="n">
        <x:v>0.0185777979</x:v>
      </x:c>
      <x:c r="AF30" s="39" t="n">
        <x:v>-0.0902413266</x:v>
      </x:c>
      <x:c r="AG30" s="39" t="n">
        <x:v>0.0103061185</x:v>
      </x:c>
      <x:c r="AH30" s="39" t="n">
        <x:v>0.1363341619</x:v>
      </x:c>
      <x:c r="AI30" s="39" t="n">
        <x:v>0.0803067923</x:v>
      </x:c>
      <x:c r="AJ30" s="39" t="n">
        <x:v>-0.0000954729</x:v>
      </x:c>
      <x:c r="AK30" s="39" t="n">
        <x:v>0.0181677549</x:v>
      </x:c>
      <x:c r="AL30" s="39" t="n">
        <x:v>-0.0100791509</x:v>
      </x:c>
      <x:c r="AM30" s="39" t="n">
        <x:v>-0.0120783418</x:v>
      </x:c>
      <x:c r="AN30" s="39" t="n">
        <x:v>-0.0928643833</x:v>
      </x:c>
      <x:c r="AO30" s="39" t="n">
        <x:v>0.0201923344</x:v>
      </x:c>
      <x:c r="AP30" s="39" t="n">
        <x:v>0.0008258983</x:v>
      </x:c>
      <x:c r="AQ30" s="39" t="n">
        <x:v>0.0075426381</x:v>
      </x:c>
      <x:c r="AR30" s="39" t="n">
        <x:v>-0.0088388854</x:v>
      </x:c>
    </x:row>
    <x:row r="31" ht="19" customHeight="1">
      <x:c r="A31" s="40" t="d">
        <x:v>2022-06-20T00:00:00.000Z</x:v>
      </x:c>
      <x:c r="B31" s="39" t="n">
        <x:v>-0.0848594715</x:v>
      </x:c>
      <x:c r="C31" s="39" t="n">
        <x:v>-0.2311162125</x:v>
      </x:c>
      <x:c r="D31" s="39" t="n">
        <x:v>-0.0782873401</x:v>
      </x:c>
      <x:c r="E31" s="39" t="n">
        <x:v>-0.0703720812</x:v>
      </x:c>
      <x:c r="F31" s="39" t="n">
        <x:v>-0.0862865076</x:v>
      </x:c>
      <x:c r="G31" s="39" t="n">
        <x:v>-0.0415792008</x:v>
      </x:c>
      <x:c r="H31" s="39" t="n">
        <x:v>0.0087730554</x:v>
      </x:c>
      <x:c r="I31" s="39" t="n">
        <x:v>-0.0760696721</x:v>
      </x:c>
      <x:c r="J31" s="39" t="n">
        <x:v>-0.1263459086</x:v>
      </x:c>
      <x:c r="K31" s="39" t="n">
        <x:v>-0.183807661</x:v>
      </x:c>
      <x:c r="L31" s="39" t="n">
        <x:v>-0.1073085217</x:v>
      </x:c>
      <x:c r="M31" s="39" t="n">
        <x:v>-0.1357110184</x:v>
      </x:c>
      <x:c r="N31" s="39" t="n">
        <x:v>-0.0254522431</x:v>
      </x:c>
      <x:c r="O31" s="39" t="n">
        <x:v>-0.2161991813</x:v>
      </x:c>
      <x:c r="P31" s="39" t="n">
        <x:v>0.0197803891</x:v>
      </x:c>
      <x:c r="Q31" s="39" t="n">
        <x:v>-0.0445335879</x:v>
      </x:c>
      <x:c r="R31" s="39" t="n">
        <x:v>0.041893414</x:v>
      </x:c>
      <x:c r="S31" s="39" t="n">
        <x:v>-0.0988857507</x:v>
      </x:c>
      <x:c r="T31" s="39" t="n">
        <x:v>-0.0179641828</x:v>
      </x:c>
      <x:c r="U31" s="39" t="n">
        <x:v>-0.0495356602</x:v>
      </x:c>
      <x:c r="V31" s="39" t="n">
        <x:v>-0.0173917313</x:v>
      </x:c>
      <x:c r="W31" s="39" t="n">
        <x:v>-0.0848855986</x:v>
      </x:c>
      <x:c r="X31" s="39" t="n">
        <x:v>-0.17544575</x:v>
      </x:c>
      <x:c r="Y31" s="39" t="n">
        <x:v>-0.0464570554</x:v>
      </x:c>
      <x:c r="Z31" s="39" t="n">
        <x:v>-0.0284766457</x:v>
      </x:c>
      <x:c r="AA31" s="39" t="n">
        <x:v>0.0126798923</x:v>
      </x:c>
      <x:c r="AB31" s="39" t="n">
        <x:v>-0.1595254688</x:v>
      </x:c>
      <x:c r="AC31" s="39" t="n">
        <x:v>-0.0230679475</x:v>
      </x:c>
      <x:c r="AD31" s="39" t="n">
        <x:v>-0.0978684676</x:v>
      </x:c>
      <x:c r="AE31" s="39" t="n">
        <x:v>-0.0834060619</x:v>
      </x:c>
      <x:c r="AF31" s="39" t="n">
        <x:v>0.0525711308</x:v>
      </x:c>
      <x:c r="AG31" s="39" t="n">
        <x:v>0.0033836058</x:v>
      </x:c>
      <x:c r="AH31" s="39" t="n">
        <x:v>-0.1242881071</x:v>
      </x:c>
      <x:c r="AI31" s="39" t="n">
        <x:v>0.0050999596</x:v>
      </x:c>
      <x:c r="AJ31" s="39" t="n">
        <x:v>-0.0607382247</x:v>
      </x:c>
      <x:c r="AK31" s="39" t="n">
        <x:v>-0.0513235723</x:v>
      </x:c>
      <x:c r="AL31" s="39" t="n">
        <x:v>-0.0158430351</x:v>
      </x:c>
      <x:c r="AM31" s="39" t="n">
        <x:v>0.0380170615</x:v>
      </x:c>
      <x:c r="AN31" s="39" t="n">
        <x:v>0.022044139</x:v>
      </x:c>
      <x:c r="AO31" s="39" t="n">
        <x:v>-0.0617603797</x:v>
      </x:c>
      <x:c r="AP31" s="39" t="n">
        <x:v>-0.0142963059</x:v>
      </x:c>
      <x:c r="AQ31" s="39" t="n">
        <x:v>0.0051084236</x:v>
      </x:c>
      <x:c r="AR31" s="39" t="n">
        <x:v>-0.1058926903</x:v>
      </x:c>
    </x:row>
    <x:row r="32" ht="19" customHeight="1">
      <x:c r="A32" s="40" t="d">
        <x:v>2022-07-18T00:00:00.000Z</x:v>
      </x:c>
      <x:c r="B32" s="39" t="n">
        <x:v>-0.0131901635</x:v>
      </x:c>
      <x:c r="C32" s="39" t="n">
        <x:v>-0.1258747084</x:v>
      </x:c>
      <x:c r="D32" s="39" t="n">
        <x:v>0.0062604594</x:v>
      </x:c>
      <x:c r="E32" s="39" t="n">
        <x:v>-0.0084181809</x:v>
      </x:c>
      <x:c r="F32" s="39" t="n">
        <x:v>0.0386626868</x:v>
      </x:c>
      <x:c r="G32" s="39" t="n">
        <x:v>0.0107335097</x:v>
      </x:c>
      <x:c r="H32" s="39" t="n">
        <x:v>0.0391513456</x:v>
      </x:c>
      <x:c r="I32" s="39" t="n">
        <x:v>0.0744046282</x:v>
      </x:c>
      <x:c r="J32" s="39" t="n">
        <x:v>0.0278515801</x:v>
      </x:c>
      <x:c r="K32" s="39" t="n">
        <x:v>0.0006791057</x:v>
      </x:c>
      <x:c r="L32" s="39" t="n">
        <x:v>0.013904065</x:v>
      </x:c>
      <x:c r="M32" s="39" t="n">
        <x:v>-0.0140474325</x:v>
      </x:c>
      <x:c r="N32" s="39" t="n">
        <x:v>0.09307676</x:v>
      </x:c>
      <x:c r="O32" s="39" t="n">
        <x:v>0.002495702</x:v>
      </x:c>
      <x:c r="P32" s="39" t="n">
        <x:v>-0.0225388848</x:v>
      </x:c>
      <x:c r="Q32" s="39" t="n">
        <x:v>-0.1555728431</x:v>
      </x:c>
      <x:c r="R32" s="39" t="n">
        <x:v>-0.020895449</x:v>
      </x:c>
      <x:c r="S32" s="39" t="n">
        <x:v>-0.002880333</x:v>
      </x:c>
      <x:c r="T32" s="39" t="n">
        <x:v>0.098250232</x:v>
      </x:c>
      <x:c r="U32" s="39" t="n">
        <x:v>0.0471724316</x:v>
      </x:c>
      <x:c r="V32" s="39" t="n">
        <x:v>0.1130676014</x:v>
      </x:c>
      <x:c r="W32" s="39" t="n">
        <x:v>0.0631530348</x:v>
      </x:c>
      <x:c r="X32" s="39" t="n">
        <x:v>0.0388863656</x:v>
      </x:c>
      <x:c r="Y32" s="39" t="n">
        <x:v>-0.1743404353</x:v>
      </x:c>
      <x:c r="Z32" s="39" t="n">
        <x:v>-0.0324830924</x:v>
      </x:c>
      <x:c r="AA32" s="39" t="n">
        <x:v>-0.0161081994</x:v>
      </x:c>
      <x:c r="AB32" s="39" t="n">
        <x:v>-0.3554317421</x:v>
      </x:c>
      <x:c r="AC32" s="39" t="n">
        <x:v>-0.002185158</x:v>
      </x:c>
      <x:c r="AD32" s="39" t="n">
        <x:v>0.0511980072</x:v>
      </x:c>
      <x:c r="AE32" s="39" t="n">
        <x:v>-0.0163489199</x:v>
      </x:c>
      <x:c r="AF32" s="39" t="n">
        <x:v>0.0871478398</x:v>
      </x:c>
      <x:c r="AG32" s="39" t="n">
        <x:v>-0.0244561036</x:v>
      </x:c>
      <x:c r="AH32" s="39" t="n">
        <x:v>0.0091350152</x:v>
      </x:c>
      <x:c r="AI32" s="39" t="n">
        <x:v>0.0075045088</x:v>
      </x:c>
      <x:c r="AJ32" s="39" t="n">
        <x:v>-0.0050032272</x:v>
      </x:c>
      <x:c r="AK32" s="39" t="n">
        <x:v>0.0459238053</x:v>
      </x:c>
      <x:c r="AL32" s="39" t="n">
        <x:v>-0.0218087994</x:v>
      </x:c>
      <x:c r="AM32" s="39" t="n">
        <x:v>-0.0700253576</x:v>
      </x:c>
      <x:c r="AN32" s="39" t="n">
        <x:v>0.0702070795</x:v>
      </x:c>
      <x:c r="AO32" s="39" t="n">
        <x:v>0.0628055894</x:v>
      </x:c>
      <x:c r="AP32" s="39" t="n">
        <x:v>-0.0182538546</x:v>
      </x:c>
      <x:c r="AQ32" s="39" t="n">
        <x:v>-0.0450324089</x:v>
      </x:c>
      <x:c r="AR32" s="39" t="n">
        <x:v>0.0212734084</x:v>
      </x:c>
    </x:row>
    <x:row r="33" ht="19" customHeight="1">
      <x:c r="A33" s="40" t="d">
        <x:v>2022-08-15T00:00:00.000Z</x:v>
      </x:c>
      <x:c r="B33" s="39" t="n">
        <x:v>0.0742529818</x:v>
      </x:c>
      <x:c r="C33" s="39" t="n">
        <x:v>0.2865016408</x:v>
      </x:c>
      <x:c r="D33" s="39" t="n">
        <x:v>0.0908565687</x:v>
      </x:c>
      <x:c r="E33" s="39" t="n">
        <x:v>0.0913990401</x:v>
      </x:c>
      <x:c r="F33" s="39" t="n">
        <x:v>0.1246280959</x:v>
      </x:c>
      <x:c r="G33" s="39" t="n">
        <x:v>0.1718857729</x:v>
      </x:c>
      <x:c r="H33" s="39" t="n">
        <x:v>0.0966319578</x:v>
      </x:c>
      <x:c r="I33" s="39" t="n">
        <x:v>0.1128189667</x:v>
      </x:c>
      <x:c r="J33" s="39" t="n">
        <x:v>0.0318679845</x:v>
      </x:c>
      <x:c r="K33" s="39" t="n">
        <x:v>0.1109536276</x:v>
      </x:c>
      <x:c r="L33" s="39" t="n">
        <x:v>0.161560752</x:v>
      </x:c>
      <x:c r="M33" s="39" t="n">
        <x:v>0.113502716</x:v>
      </x:c>
      <x:c r="N33" s="39" t="n">
        <x:v>0.1379672639</x:v>
      </x:c>
      <x:c r="O33" s="39" t="n">
        <x:v>0.0075458758</x:v>
      </x:c>
      <x:c r="P33" s="39" t="n">
        <x:v>0.0358531917</x:v>
      </x:c>
      <x:c r="Q33" s="39" t="n">
        <x:v>0.0812382438</x:v>
      </x:c>
      <x:c r="R33" s="39" t="n">
        <x:v>-0.0094323097</x:v>
      </x:c>
      <x:c r="S33" s="39" t="n">
        <x:v>0.2249748749</x:v>
      </x:c>
      <x:c r="T33" s="39" t="n">
        <x:v>-0.0896171636</x:v>
      </x:c>
      <x:c r="U33" s="39" t="n">
        <x:v>0.1963138403</x:v>
      </x:c>
      <x:c r="V33" s="39" t="n">
        <x:v>0.0714708303</x:v>
      </x:c>
      <x:c r="W33" s="39" t="n">
        <x:v>-0.076798552</x:v>
      </x:c>
      <x:c r="X33" s="39" t="n">
        <x:v>-0.0101898096</x:v>
      </x:c>
      <x:c r="Y33" s="39" t="n">
        <x:v>-0.132060687</x:v>
      </x:c>
      <x:c r="Z33" s="39" t="n">
        <x:v>0.1087705963</x:v>
      </x:c>
      <x:c r="AA33" s="39" t="n">
        <x:v>-0.0200576582</x:v>
      </x:c>
      <x:c r="AB33" s="39" t="n">
        <x:v>0.0710052664</x:v>
      </x:c>
      <x:c r="AC33" s="39" t="n">
        <x:v>0.0364765951</x:v>
      </x:c>
      <x:c r="AD33" s="39" t="n">
        <x:v>0.1781920245</x:v>
      </x:c>
      <x:c r="AE33" s="39" t="n">
        <x:v>0.0606078786</x:v>
      </x:c>
      <x:c r="AF33" s="39" t="n">
        <x:v>0.0235905597</x:v>
      </x:c>
      <x:c r="AG33" s="39" t="n">
        <x:v>0.0959683126</x:v>
      </x:c>
      <x:c r="AH33" s="39" t="n">
        <x:v>0.0679063753</x:v>
      </x:c>
      <x:c r="AI33" s="39" t="n">
        <x:v>-0.0120120313</x:v>
      </x:c>
      <x:c r="AJ33" s="39" t="n">
        <x:v>-0.0318451265</x:v>
      </x:c>
      <x:c r="AK33" s="39" t="n">
        <x:v>-0.0062893102</x:v>
      </x:c>
      <x:c r="AL33" s="39" t="n">
        <x:v>0.0768300207</x:v>
      </x:c>
      <x:c r="AM33" s="39" t="n">
        <x:v>0.0658439067</x:v>
      </x:c>
      <x:c r="AN33" s="39" t="n">
        <x:v>0.037787673</x:v>
      </x:c>
      <x:c r="AO33" s="39" t="n">
        <x:v>0.037333482</x:v>
      </x:c>
      <x:c r="AP33" s="39" t="n">
        <x:v>0.0449498171</x:v>
      </x:c>
      <x:c r="AQ33" s="39" t="n">
        <x:v>-0.0130957661</x:v>
      </x:c>
      <x:c r="AR33" s="39" t="n">
        <x:v>0.0309698576</x:v>
      </x:c>
    </x:row>
    <x:row r="34" ht="19" customHeight="1">
      <x:c r="A34" s="40" t="d">
        <x:v>2022-09-12T00:00:00.000Z</x:v>
      </x:c>
      <x:c r="B34" s="39" t="n">
        <x:v>0.0019152294</x:v>
      </x:c>
      <x:c r="C34" s="39" t="n">
        <x:v>0.0932885508</x:v>
      </x:c>
      <x:c r="D34" s="39" t="n">
        <x:v>-0.0360067598</x:v>
      </x:c>
      <x:c r="E34" s="39" t="n">
        <x:v>-0.0424178539</x:v>
      </x:c>
      <x:c r="F34" s="39" t="n">
        <x:v>-0.0840879194</x:v>
      </x:c>
      <x:c r="G34" s="39" t="n">
        <x:v>0.0102171644</x:v>
      </x:c>
      <x:c r="H34" s="39" t="n">
        <x:v>-0.0907209243</x:v>
      </x:c>
      <x:c r="I34" s="39" t="n">
        <x:v>-0.0414480622</x:v>
      </x:c>
      <x:c r="J34" s="39" t="n">
        <x:v>-0.196176195</x:v>
      </x:c>
      <x:c r="K34" s="39" t="n">
        <x:v>-0.1020944503</x:v>
      </x:c>
      <x:c r="L34" s="39" t="n">
        <x:v>-0.0392156036</x:v>
      </x:c>
      <x:c r="M34" s="39" t="n">
        <x:v>-0.0390729554</x:v>
      </x:c>
      <x:c r="N34" s="39" t="n">
        <x:v>-0.0727527644</x:v>
      </x:c>
      <x:c r="O34" s="39" t="n">
        <x:v>-0.1996660929</x:v>
      </x:c>
      <x:c r="P34" s="39" t="n">
        <x:v>0.1191973309</x:v>
      </x:c>
      <x:c r="Q34" s="39" t="n">
        <x:v>-0.0343968714</x:v>
      </x:c>
      <x:c r="R34" s="39" t="n">
        <x:v>-0.0390602443</x:v>
      </x:c>
      <x:c r="S34" s="39" t="n">
        <x:v>-0.1219115899</x:v>
      </x:c>
      <x:c r="T34" s="39" t="n">
        <x:v>-0.047543882</x:v>
      </x:c>
      <x:c r="U34" s="39" t="n">
        <x:v>-0.0801572258</x:v>
      </x:c>
      <x:c r="V34" s="39" t="n">
        <x:v>-0.0034535204</x:v>
      </x:c>
      <x:c r="W34" s="39" t="n">
        <x:v>-0.0918093319</x:v>
      </x:c>
      <x:c r="X34" s="39" t="n">
        <x:v>-0.1092113173</x:v>
      </x:c>
      <x:c r="Y34" s="39" t="n">
        <x:v>0.0140399814</x:v>
      </x:c>
      <x:c r="Z34" s="39" t="n">
        <x:v>-0.0165619379</x:v>
      </x:c>
      <x:c r="AA34" s="39" t="n">
        <x:v>0.0068379943</x:v>
      </x:c>
      <x:c r="AB34" s="39" t="n">
        <x:v>-0.1218798666</x:v>
      </x:c>
      <x:c r="AC34" s="39" t="n">
        <x:v>-0.0641892976</x:v>
      </x:c>
      <x:c r="AD34" s="39" t="n">
        <x:v>-0.0612039588</x:v>
      </x:c>
      <x:c r="AE34" s="39" t="n">
        <x:v>-0.0969026471</x:v>
      </x:c>
      <x:c r="AF34" s="39" t="n">
        <x:v>-0.0979821975</x:v>
      </x:c>
      <x:c r="AG34" s="39" t="n">
        <x:v>-0.0076769632</x:v>
      </x:c>
      <x:c r="AH34" s="39" t="n">
        <x:v>-0.1826811343</x:v>
      </x:c>
      <x:c r="AI34" s="39" t="n">
        <x:v>-0.0354659026</x:v>
      </x:c>
      <x:c r="AJ34" s="39" t="n">
        <x:v>-0.0654195087</x:v>
      </x:c>
      <x:c r="AK34" s="39" t="n">
        <x:v>-0.0684626027</x:v>
      </x:c>
      <x:c r="AL34" s="39" t="n">
        <x:v>-0.1261303913</x:v>
      </x:c>
      <x:c r="AM34" s="39" t="n">
        <x:v>-0.1058473014</x:v>
      </x:c>
      <x:c r="AN34" s="39" t="n">
        <x:v>-0.0768686231</x:v>
      </x:c>
      <x:c r="AO34" s="39" t="n">
        <x:v>-0.1175145873</x:v>
      </x:c>
      <x:c r="AP34" s="39" t="n">
        <x:v>-0.0670403054</x:v>
      </x:c>
      <x:c r="AQ34" s="39" t="n">
        <x:v>-0.0027871438</x:v>
      </x:c>
      <x:c r="AR34" s="39" t="n">
        <x:v>-0.0634159547</x:v>
      </x:c>
    </x:row>
    <x:row r="35" ht="19" customHeight="1">
      <x:c r="A35" s="40" t="d">
        <x:v>2022-10-10T00:00:00.000Z</x:v>
      </x:c>
      <x:c r="B35" s="39" t="n">
        <x:v>-0.1306603502</x:v>
      </x:c>
      <x:c r="C35" s="39" t="n">
        <x:v>0.1107329864</x:v>
      </x:c>
      <x:c r="D35" s="39" t="n">
        <x:v>-0.1503095364</x:v>
      </x:c>
      <x:c r="E35" s="39" t="n">
        <x:v>-0.1172729529</x:v>
      </x:c>
      <x:c r="F35" s="39" t="n">
        <x:v>-0.1115981832</x:v>
      </x:c>
      <x:c r="G35" s="39" t="n">
        <x:v>-0.0947485742</x:v>
      </x:c>
      <x:c r="H35" s="39" t="n">
        <x:v>-0.1183227521</x:v>
      </x:c>
      <x:c r="I35" s="39" t="n">
        <x:v>0.012451818</x:v>
      </x:c>
      <x:c r="J35" s="39" t="n">
        <x:v>-0.1501265738</x:v>
      </x:c>
      <x:c r="K35" s="39" t="n">
        <x:v>0.0723785</x:v>
      </x:c>
      <x:c r="L35" s="39" t="n">
        <x:v>-0.0045780563</x:v>
      </x:c>
      <x:c r="M35" s="39" t="n">
        <x:v>-0.0766569937</x:v>
      </x:c>
      <x:c r="N35" s="39" t="n">
        <x:v>-0.0129896153</x:v>
      </x:c>
      <x:c r="O35" s="39" t="n">
        <x:v>-0.0808144503</x:v>
      </x:c>
      <x:c r="P35" s="39" t="n">
        <x:v>0</x:v>
      </x:c>
      <x:c r="Q35" s="39" t="n">
        <x:v>-0.1756939261</x:v>
      </x:c>
      <x:c r="R35" s="39" t="n">
        <x:v>-0.0889964193</x:v>
      </x:c>
      <x:c r="S35" s="39" t="n">
        <x:v>-0.2079235712</x:v>
      </x:c>
      <x:c r="T35" s="39" t="n">
        <x:v>-0.0225271103</x:v>
      </x:c>
      <x:c r="U35" s="39" t="n">
        <x:v>0.0076399796</x:v>
      </x:c>
      <x:c r="V35" s="39" t="n">
        <x:v>-0.0352710438</x:v>
      </x:c>
      <x:c r="W35" s="39" t="n">
        <x:v>-0.106237627</x:v>
      </x:c>
      <x:c r="X35" s="39" t="n">
        <x:v>-0.0002905703</x:v>
      </x:c>
      <x:c r="Y35" s="39" t="n">
        <x:v>-0.0575830054</x:v>
      </x:c>
      <x:c r="Z35" s="39" t="n">
        <x:v>-0.0605353144</x:v>
      </x:c>
      <x:c r="AA35" s="39" t="n">
        <x:v>-0.1186991569</x:v>
      </x:c>
      <x:c r="AB35" s="39" t="n">
        <x:v>-0.0528361746</x:v>
      </x:c>
      <x:c r="AC35" s="39" t="n">
        <x:v>-0.0821007163</x:v>
      </x:c>
      <x:c r="AD35" s="39" t="n">
        <x:v>-0.1900049474</x:v>
      </x:c>
      <x:c r="AE35" s="39" t="n">
        <x:v>-0.029992993</x:v>
      </x:c>
      <x:c r="AF35" s="39" t="n">
        <x:v>-0.065752016</x:v>
      </x:c>
      <x:c r="AG35" s="39" t="n">
        <x:v>-0.0321421834</x:v>
      </x:c>
      <x:c r="AH35" s="39" t="n">
        <x:v>-0.256253893</x:v>
      </x:c>
      <x:c r="AI35" s="39" t="n">
        <x:v>0.0575375711</x:v>
      </x:c>
      <x:c r="AJ35" s="39" t="n">
        <x:v>-0.1884699308</x:v>
      </x:c>
      <x:c r="AK35" s="39" t="n">
        <x:v>-0.032449104</x:v>
      </x:c>
      <x:c r="AL35" s="39" t="n">
        <x:v>-0.0559720634</x:v>
      </x:c>
      <x:c r="AM35" s="39" t="n">
        <x:v>-0.0512445785</x:v>
      </x:c>
      <x:c r="AN35" s="39" t="n">
        <x:v>-0.0845550158</x:v>
      </x:c>
      <x:c r="AO35" s="39" t="n">
        <x:v>0.0013627081</x:v>
      </x:c>
      <x:c r="AP35" s="39" t="n">
        <x:v>-0.0652038038</x:v>
      </x:c>
      <x:c r="AQ35" s="39" t="n">
        <x:v>-0.0154770078</x:v>
      </x:c>
      <x:c r="AR35" s="39" t="n">
        <x:v>-0.0063974058</x:v>
      </x:c>
    </x:row>
    <x:row r="36" ht="19" customHeight="1">
      <x:c r="A36" s="40" t="d">
        <x:v>2022-11-07T00:00:00.000Z</x:v>
      </x:c>
      <x:c r="B36" s="39" t="n">
        <x:v>0.0974957015</x:v>
      </x:c>
      <x:c r="C36" s="39" t="n">
        <x:v>0.1783648442</x:v>
      </x:c>
      <x:c r="D36" s="39" t="n">
        <x:v>0.0695869032</x:v>
      </x:c>
      <x:c r="E36" s="39" t="n">
        <x:v>0.0920914866</x:v>
      </x:c>
      <x:c r="F36" s="39" t="n">
        <x:v>0.0049062155</x:v>
      </x:c>
      <x:c r="G36" s="39" t="n">
        <x:v>-0.0011341843</x:v>
      </x:c>
      <x:c r="H36" s="39" t="n">
        <x:v>-0.0488465039</x:v>
      </x:c>
      <x:c r="I36" s="39" t="n">
        <x:v>0.1512905655</x:v>
      </x:c>
      <x:c r="J36" s="39" t="n">
        <x:v>0.084625054</x:v>
      </x:c>
      <x:c r="K36" s="39" t="n">
        <x:v>0.1330332475</x:v>
      </x:c>
      <x:c r="L36" s="39" t="n">
        <x:v>0.0395092702</x:v>
      </x:c>
      <x:c r="M36" s="39" t="n">
        <x:v>-0.0133139134</x:v>
      </x:c>
      <x:c r="N36" s="39" t="n">
        <x:v>0.103518113</x:v>
      </x:c>
      <x:c r="O36" s="39" t="n">
        <x:v>0.1365423704</x:v>
      </x:c>
      <x:c r="P36" s="39" t="n">
        <x:v>0.1715230136</x:v>
      </x:c>
      <x:c r="Q36" s="39" t="n">
        <x:v>-0.0122181643</x:v>
      </x:c>
      <x:c r="R36" s="39" t="n">
        <x:v>0.0116553538</x:v>
      </x:c>
      <x:c r="S36" s="39" t="n">
        <x:v>0.1340378224</x:v>
      </x:c>
      <x:c r="T36" s="39" t="n">
        <x:v>0.2033319096</x:v>
      </x:c>
      <x:c r="U36" s="39" t="n">
        <x:v>0.3537752728</x:v>
      </x:c>
      <x:c r="V36" s="39" t="n">
        <x:v>0.1927559761</x:v>
      </x:c>
      <x:c r="W36" s="39" t="n">
        <x:v>0.1029851042</x:v>
      </x:c>
      <x:c r="X36" s="39" t="n">
        <x:v>0.1414996616</x:v>
      </x:c>
      <x:c r="Y36" s="39" t="n">
        <x:v>0.1102896308</x:v>
      </x:c>
      <x:c r="Z36" s="39" t="n">
        <x:v>0.0709310136</x:v>
      </x:c>
      <x:c r="AA36" s="39" t="n">
        <x:v>-0.0163542529</x:v>
      </x:c>
      <x:c r="AB36" s="39" t="n">
        <x:v>-0.0145993255</x:v>
      </x:c>
      <x:c r="AC36" s="39" t="n">
        <x:v>0.1051261557</x:v>
      </x:c>
      <x:c r="AD36" s="39" t="n">
        <x:v>0.180204898</x:v>
      </x:c>
      <x:c r="AE36" s="39" t="n">
        <x:v>0.1612563005</x:v>
      </x:c>
      <x:c r="AF36" s="39" t="n">
        <x:v>0.2385595048</x:v>
      </x:c>
      <x:c r="AG36" s="39" t="n">
        <x:v>0.0162405149</x:v>
      </x:c>
      <x:c r="AH36" s="39" t="n">
        <x:v>0.2137225465</x:v>
      </x:c>
      <x:c r="AI36" s="39" t="n">
        <x:v>0.0507821838</x:v>
      </x:c>
      <x:c r="AJ36" s="39" t="n">
        <x:v>0.1768918334</x:v>
      </x:c>
      <x:c r="AK36" s="39" t="n">
        <x:v>0.0580612131</x:v>
      </x:c>
      <x:c r="AL36" s="39" t="n">
        <x:v>0.0647649788</x:v>
      </x:c>
      <x:c r="AM36" s="39" t="n">
        <x:v>-0.0012902486</x:v>
      </x:c>
      <x:c r="AN36" s="39" t="n">
        <x:v>0.1056980175</x:v>
      </x:c>
      <x:c r="AO36" s="39" t="n">
        <x:v>0.1082461682</x:v>
      </x:c>
      <x:c r="AP36" s="39" t="n">
        <x:v>0.0905780524</x:v>
      </x:c>
      <x:c r="AQ36" s="39" t="n">
        <x:v>0.0238275616</x:v>
      </x:c>
      <x:c r="AR36" s="39" t="n">
        <x:v>0.1057410332</x:v>
      </x:c>
    </x:row>
    <x:row r="37" ht="19" customHeight="1">
      <x:c r="A37" s="40" t="d">
        <x:v>2022-12-05T00:00:00.000Z</x:v>
      </x:c>
      <x:c r="B37" s="39" t="n">
        <x:v>-0.008074913</x:v>
      </x:c>
      <x:c r="C37" s="39" t="n">
        <x:v>-0.1278400175</x:v>
      </x:c>
      <x:c r="D37" s="39" t="n">
        <x:v>0.0595818023</x:v>
      </x:c>
      <x:c r="E37" s="39" t="n">
        <x:v>0.0461866755</x:v>
      </x:c>
      <x:c r="F37" s="39" t="n">
        <x:v>-0.0145661536</x:v>
      </x:c>
      <x:c r="G37" s="39" t="n">
        <x:v>0.0110526267</x:v>
      </x:c>
      <x:c r="H37" s="39" t="n">
        <x:v>-0.1038634947</x:v>
      </x:c>
      <x:c r="I37" s="39" t="n">
        <x:v>-0.0055615945</x:v>
      </x:c>
      <x:c r="J37" s="39" t="n">
        <x:v>-0.0455431292</x:v>
      </x:c>
      <x:c r="K37" s="39" t="n">
        <x:v>-0.1251391251</x:v>
      </x:c>
      <x:c r="L37" s="39" t="n">
        <x:v>-0.0311416748</x:v>
      </x:c>
      <x:c r="M37" s="39" t="n">
        <x:v>0.0017545951</x:v>
      </x:c>
      <x:c r="N37" s="39" t="n">
        <x:v>0.0179858502</x:v>
      </x:c>
      <x:c r="O37" s="39" t="n">
        <x:v>-0.0902162879</x:v>
      </x:c>
      <x:c r="P37" s="39" t="n">
        <x:v>-0.1008420768</x:v>
      </x:c>
      <x:c r="Q37" s="39" t="n">
        <x:v>-0.0988238014</x:v>
      </x:c>
      <x:c r="R37" s="39" t="n">
        <x:v>0.0266347514</x:v>
      </x:c>
      <x:c r="S37" s="39" t="n">
        <x:v>-0.0872764034</x:v>
      </x:c>
      <x:c r="T37" s="39" t="n">
        <x:v>0.0297071726</x:v>
      </x:c>
      <x:c r="U37" s="39" t="n">
        <x:v>-0.0686602565</x:v>
      </x:c>
      <x:c r="V37" s="39" t="n">
        <x:v>0.0825095211</x:v>
      </x:c>
      <x:c r="W37" s="39" t="n">
        <x:v>0.0315658706</x:v>
      </x:c>
      <x:c r="X37" s="39" t="n">
        <x:v>-0.1098631848</x:v>
      </x:c>
      <x:c r="Y37" s="39" t="n">
        <x:v>0.0075276819</x:v>
      </x:c>
      <x:c r="Z37" s="39" t="n">
        <x:v>0.0207472388</x:v>
      </x:c>
      <x:c r="AA37" s="39" t="n">
        <x:v>0.0760277247</x:v>
      </x:c>
      <x:c r="AB37" s="39" t="n">
        <x:v>-0.2334833894</x:v>
      </x:c>
      <x:c r="AC37" s="39" t="n">
        <x:v>0.0574087368</x:v>
      </x:c>
      <x:c r="AD37" s="39" t="n">
        <x:v>-0.0715891936</x:v>
      </x:c>
      <x:c r="AE37" s="39" t="n">
        <x:v>0.046060614</x:v>
      </x:c>
      <x:c r="AF37" s="39" t="n">
        <x:v>0.0096662252</x:v>
      </x:c>
      <x:c r="AG37" s="39" t="n">
        <x:v>0.0256533428</x:v>
      </x:c>
      <x:c r="AH37" s="39" t="n">
        <x:v>-0.0451550527</x:v>
      </x:c>
      <x:c r="AI37" s="39" t="n">
        <x:v>0.0228553477</x:v>
      </x:c>
      <x:c r="AJ37" s="39" t="n">
        <x:v>-0.0522519006</x:v>
      </x:c>
      <x:c r="AK37" s="39" t="n">
        <x:v>0.0244504929</x:v>
      </x:c>
      <x:c r="AL37" s="39" t="n">
        <x:v>-0.0034076513</x:v>
      </x:c>
      <x:c r="AM37" s="39" t="n">
        <x:v>-0.0318512709</x:v>
      </x:c>
      <x:c r="AN37" s="39" t="n">
        <x:v>-0.0547302577</x:v>
      </x:c>
      <x:c r="AO37" s="39" t="n">
        <x:v>0.0197547864</x:v>
      </x:c>
      <x:c r="AP37" s="39" t="n">
        <x:v>0.0305680062</x:v>
      </x:c>
      <x:c r="AQ37" s="39" t="n">
        <x:v>0.0370888951</x:v>
      </x:c>
      <x:c r="AR37" s="39" t="n">
        <x:v>-0.0090990073</x:v>
      </x:c>
    </x:row>
    <x:row r="38" ht="19" customHeight="1">
      <x:c r="A38" s="40" t="d">
        <x:v>2023-01-02T00:00:00.000Z</x:v>
      </x:c>
      <x:c r="B38" s="39" t="n">
        <x:v>-0.0428493621</x:v>
      </x:c>
      <x:c r="C38" s="39" t="n">
        <x:v>0.1785528479</x:v>
      </x:c>
      <x:c r="D38" s="39" t="n">
        <x:v>-0.0004422519</x:v>
      </x:c>
      <x:c r="E38" s="39" t="n">
        <x:v>-0.0699154355</x:v>
      </x:c>
      <x:c r="F38" s="39" t="n">
        <x:v>0.0049223871</x:v>
      </x:c>
      <x:c r="G38" s="39" t="n">
        <x:v>-0.072458978</x:v>
      </x:c>
      <x:c r="H38" s="39" t="n">
        <x:v>-0.029341167</x:v>
      </x:c>
      <x:c r="I38" s="39" t="n">
        <x:v>-0.0500576397</x:v>
      </x:c>
      <x:c r="J38" s="39" t="n">
        <x:v>0.0392640266</x:v>
      </x:c>
      <x:c r="K38" s="39" t="n">
        <x:v>0.0910907245</x:v>
      </x:c>
      <x:c r="L38" s="39" t="n">
        <x:v>-0.1335158522</x:v>
      </x:c>
      <x:c r="M38" s="39" t="n">
        <x:v>0.0110484477</x:v>
      </x:c>
      <x:c r="N38" s="39" t="n">
        <x:v>-0.1134548415</x:v>
      </x:c>
      <x:c r="O38" s="39" t="n">
        <x:v>0.0342082415</x:v>
      </x:c>
      <x:c r="P38" s="39" t="n">
        <x:v>0.0680228439</x:v>
      </x:c>
      <x:c r="Q38" s="39" t="n">
        <x:v>-0.1613597291</x:v>
      </x:c>
      <x:c r="R38" s="39" t="n">
        <x:v>0.0044130093</x:v>
      </x:c>
      <x:c r="S38" s="39" t="n">
        <x:v>-0.1652196355</x:v>
      </x:c>
      <x:c r="T38" s="39" t="n">
        <x:v>0.0143199381</x:v>
      </x:c>
      <x:c r="U38" s="39" t="n">
        <x:v>0.0115164039</x:v>
      </x:c>
      <x:c r="V38" s="39" t="n">
        <x:v>-0.011981557</x:v>
      </x:c>
      <x:c r="W38" s="39" t="n">
        <x:v>0.066577832</x:v>
      </x:c>
      <x:c r="X38" s="39" t="n">
        <x:v>0.0310011392</x:v>
      </x:c>
      <x:c r="Y38" s="39" t="n">
        <x:v>0.1085260294</x:v>
      </x:c>
      <x:c r="Z38" s="39" t="n">
        <x:v>0.0344805031</x:v>
      </x:c>
      <x:c r="AA38" s="39" t="n">
        <x:v>0.1260349815</x:v>
      </x:c>
      <x:c r="AB38" s="39" t="n">
        <x:v>-0.2271316117</x:v>
      </x:c>
      <x:c r="AC38" s="39" t="n">
        <x:v>0.0168030319</x:v>
      </x:c>
      <x:c r="AD38" s="39" t="n">
        <x:v>-0.0397753274</x:v>
      </x:c>
      <x:c r="AE38" s="39" t="n">
        <x:v>0.0555792507</x:v>
      </x:c>
      <x:c r="AF38" s="39" t="n">
        <x:v>0.1458901365</x:v>
      </x:c>
      <x:c r="AG38" s="39" t="n">
        <x:v>-0.0119729032</x:v>
      </x:c>
      <x:c r="AH38" s="39" t="n">
        <x:v>-0.05966318</x:v>
      </x:c>
      <x:c r="AI38" s="39" t="n">
        <x:v>0.0045992838</x:v>
      </x:c>
      <x:c r="AJ38" s="39" t="n">
        <x:v>0.0389217542</x:v>
      </x:c>
      <x:c r="AK38" s="39" t="n">
        <x:v>-0.0105394652</x:v>
      </x:c>
      <x:c r="AL38" s="39" t="n">
        <x:v>-0.0744259163</x:v>
      </x:c>
      <x:c r="AM38" s="39" t="n">
        <x:v>-0.0520419911</x:v>
      </x:c>
      <x:c r="AN38" s="39" t="n">
        <x:v>-0.0002651079</x:v>
      </x:c>
      <x:c r="AO38" s="39" t="n">
        <x:v>-0.0078944614</x:v>
      </x:c>
      <x:c r="AP38" s="39" t="n">
        <x:v>0.0035081958</x:v>
      </x:c>
      <x:c r="AQ38" s="39" t="n">
        <x:v>0.0216317212</x:v>
      </x:c>
      <x:c r="AR38" s="39" t="n">
        <x:v>0.0336011224</x:v>
      </x:c>
    </x:row>
    <x:row r="39" ht="19" customHeight="1">
      <x:c r="A39" s="40" t="d">
        <x:v>2023-01-30T00:00:00.000Z</x:v>
      </x:c>
      <x:c r="B39" s="39" t="n">
        <x:v>0.0141157674</x:v>
      </x:c>
      <x:c r="C39" s="39" t="n">
        <x:v>0.044674663</x:v>
      </x:c>
      <x:c r="D39" s="39" t="n">
        <x:v>-0.0405804193</x:v>
      </x:c>
      <x:c r="E39" s="39" t="n">
        <x:v>0.0032103041</x:v>
      </x:c>
      <x:c r="F39" s="39" t="n">
        <x:v>0.1424002974</x:v>
      </x:c>
      <x:c r="G39" s="39" t="n">
        <x:v>0.1632410791</x:v>
      </x:c>
      <x:c r="H39" s="39" t="n">
        <x:v>0.1586430268</x:v>
      </x:c>
      <x:c r="I39" s="39" t="n">
        <x:v>0.0628847996</x:v>
      </x:c>
      <x:c r="J39" s="39" t="n">
        <x:v>0.2055310891</x:v>
      </x:c>
      <x:c r="K39" s="39" t="n">
        <x:v>0.0278509021</x:v>
      </x:c>
      <x:c r="L39" s="39" t="n">
        <x:v>0.0154521587</x:v>
      </x:c>
      <x:c r="M39" s="39" t="n">
        <x:v>0.0608458386</x:v>
      </x:c>
      <x:c r="N39" s="39" t="n">
        <x:v>0.0345286699</x:v>
      </x:c>
      <x:c r="O39" s="39" t="n">
        <x:v>0.1311659092</x:v>
      </x:c>
      <x:c r="P39" s="39" t="n">
        <x:v>-0.0761923564</x:v>
      </x:c>
      <x:c r="Q39" s="39" t="n">
        <x:v>0.2101214239</x:v>
      </x:c>
      <x:c r="R39" s="39" t="n">
        <x:v>0.00718974</x:v>
      </x:c>
      <x:c r="S39" s="39" t="n">
        <x:v>0.3449577617</x:v>
      </x:c>
      <x:c r="T39" s="39" t="n">
        <x:v>-0.0347741542</x:v>
      </x:c>
      <x:c r="U39" s="39" t="n">
        <x:v>0.1282674433</x:v>
      </x:c>
      <x:c r="V39" s="39" t="n">
        <x:v>0.128176788</x:v>
      </x:c>
      <x:c r="W39" s="39" t="n">
        <x:v>0.0462705539</x:v>
      </x:c>
      <x:c r="X39" s="39" t="n">
        <x:v>0.082007232</x:v>
      </x:c>
      <x:c r="Y39" s="39" t="n">
        <x:v>-0.0479719661</x:v>
      </x:c>
      <x:c r="Z39" s="39" t="n">
        <x:v>0.0108659238</x:v>
      </x:c>
      <x:c r="AA39" s="39" t="n">
        <x:v>-0.1160977731</x:v>
      </x:c>
      <x:c r="AB39" s="39" t="n">
        <x:v>0.4534489463</x:v>
      </x:c>
      <x:c r="AC39" s="39" t="n">
        <x:v>-0.060661845</x:v>
      </x:c>
      <x:c r="AD39" s="39" t="n">
        <x:v>0.0436184841</x:v>
      </x:c>
      <x:c r="AE39" s="39" t="n">
        <x:v>-0.0403979909</x:v>
      </x:c>
      <x:c r="AF39" s="39" t="n">
        <x:v>-0.0288898422</x:v>
      </x:c>
      <x:c r="AG39" s="39" t="n">
        <x:v>-0.0509080016</x:v>
      </x:c>
      <x:c r="AH39" s="39" t="n">
        <x:v>0.2572622484</x:v>
      </x:c>
      <x:c r="AI39" s="39" t="n">
        <x:v>-0.0588763704</x:v>
      </x:c>
      <x:c r="AJ39" s="39" t="n">
        <x:v>0.0718743552</x:v>
      </x:c>
      <x:c r="AK39" s="39" t="n">
        <x:v>-0.0031637011</x:v>
      </x:c>
      <x:c r="AL39" s="39" t="n">
        <x:v>0.1199369739</x:v>
      </x:c>
      <x:c r="AM39" s="39" t="n">
        <x:v>0.1576241958</x:v>
      </x:c>
      <x:c r="AN39" s="39" t="n">
        <x:v>0.0569442928</x:v>
      </x:c>
      <x:c r="AO39" s="39" t="n">
        <x:v>0.0372777338</x:v>
      </x:c>
      <x:c r="AP39" s="39" t="n">
        <x:v>-0.0501793682</x:v>
      </x:c>
      <x:c r="AQ39" s="39" t="n">
        <x:v>-0.0785858995</x:v>
      </x:c>
      <x:c r="AR39" s="39" t="n">
        <x:v>-0.0281080871</x:v>
      </x:c>
    </x:row>
    <x:row r="40" ht="19" customHeight="1">
      <x:c r="A40" s="40" t="d">
        <x:v>2023-02-27T00:00:00.000Z</x:v>
      </x:c>
      <x:c r="B40" s="39" t="n">
        <x:v>-0.0583104627</x:v>
      </x:c>
      <x:c r="C40" s="39" t="n">
        <x:v>0.1919706562</x:v>
      </x:c>
      <x:c r="D40" s="39" t="n">
        <x:v>-0.0211715533</x:v>
      </x:c>
      <x:c r="E40" s="39" t="n">
        <x:v>-0.0158591796</x:v>
      </x:c>
      <x:c r="F40" s="39" t="n">
        <x:v>-0.0793878825</x:v>
      </x:c>
      <x:c r="G40" s="39" t="n">
        <x:v>-0.1004326718</x:v>
      </x:c>
      <x:c r="H40" s="39" t="n">
        <x:v>-0.0752397232</x:v>
      </x:c>
      <x:c r="I40" s="39" t="n">
        <x:v>0.1851235501</x:v>
      </x:c>
      <x:c r="J40" s="39" t="n">
        <x:v>-0.0819970335</x:v>
      </x:c>
      <x:c r="K40" s="39" t="n">
        <x:v>0.0671614159</x:v>
      </x:c>
      <x:c r="L40" s="39" t="n">
        <x:v>0.0064007732</x:v>
      </x:c>
      <x:c r="M40" s="39" t="n">
        <x:v>-0.0015890907</x:v>
      </x:c>
      <x:c r="N40" s="39" t="n">
        <x:v>0.0086188342</x:v>
      </x:c>
      <x:c r="O40" s="39" t="n">
        <x:v>-0.1001071954</x:v>
      </x:c>
      <x:c r="P40" s="39" t="n">
        <x:v>-0.0151045133</x:v>
      </x:c>
      <x:c r="Q40" s="39" t="n">
        <x:v>0.1133151227</x:v>
      </x:c>
      <x:c r="R40" s="39" t="n">
        <x:v>0.0424281898</x:v>
      </x:c>
      <x:c r="S40" s="39" t="n">
        <x:v>0.0312059947</x:v>
      </x:c>
      <x:c r="T40" s="39" t="n">
        <x:v>-0.1672725878</x:v>
      </x:c>
      <x:c r="U40" s="39" t="n">
        <x:v>0.0954586485</x:v>
      </x:c>
      <x:c r="V40" s="39" t="n">
        <x:v>-0.1310269881</x:v>
      </x:c>
      <x:c r="W40" s="39" t="n">
        <x:v>-0.0623578325</x:v>
      </x:c>
      <x:c r="X40" s="39" t="n">
        <x:v>-0.0830169943</x:v>
      </x:c>
      <x:c r="Y40" s="39" t="n">
        <x:v>-0.095752759</x:v>
      </x:c>
      <x:c r="Z40" s="39" t="n">
        <x:v>0.0578945909</x:v>
      </x:c>
      <x:c r="AA40" s="39" t="n">
        <x:v>-0.0280056765</x:v>
      </x:c>
      <x:c r="AB40" s="39" t="n">
        <x:v>-0.1410736351</x:v>
      </x:c>
      <x:c r="AC40" s="39" t="n">
        <x:v>-0.0102812055</x:v>
      </x:c>
      <x:c r="AD40" s="39" t="n">
        <x:v>0.0436694144</x:v>
      </x:c>
      <x:c r="AE40" s="39" t="n">
        <x:v>-0.0583578078</x:v>
      </x:c>
      <x:c r="AF40" s="39" t="n">
        <x:v>0.0379558096</x:v>
      </x:c>
      <x:c r="AG40" s="39" t="n">
        <x:v>0.0111167139</x:v>
      </x:c>
      <x:c r="AH40" s="39" t="n">
        <x:v>-0.0478959449</x:v>
      </x:c>
      <x:c r="AI40" s="39" t="n">
        <x:v>-0.0523376592</x:v>
      </x:c>
      <x:c r="AJ40" s="39" t="n">
        <x:v>0.0012574745</x:v>
      </x:c>
      <x:c r="AK40" s="39" t="n">
        <x:v>0.005482531</x:v>
      </x:c>
      <x:c r="AL40" s="39" t="n">
        <x:v>-0.0082659385</x:v>
      </x:c>
      <x:c r="AM40" s="39" t="n">
        <x:v>-0.0986094643</x:v>
      </x:c>
      <x:c r="AN40" s="39" t="n">
        <x:v>-0.0701745562</x:v>
      </x:c>
      <x:c r="AO40" s="39" t="n">
        <x:v>-0.0922229563</x:v>
      </x:c>
      <x:c r="AP40" s="39" t="n">
        <x:v>-0.0057426098</x:v>
      </x:c>
      <x:c r="AQ40" s="39" t="n">
        <x:v>-0.052097674</x:v>
      </x:c>
      <x:c r="AR40" s="39" t="n">
        <x:v>0.0111432919</x:v>
      </x:c>
    </x:row>
    <x:row r="41" ht="19" customHeight="1">
      <x:c r="A41" s="40" t="d">
        <x:v>2023-03-27T00:00:00.000Z</x:v>
      </x:c>
      <x:c r="B41" s="39" t="n">
        <x:v>0.1087523028</x:v>
      </x:c>
      <x:c r="C41" s="39" t="n">
        <x:v>0.0223281405</x:v>
      </x:c>
      <x:c r="D41" s="39" t="n">
        <x:v>0.0187931575</x:v>
      </x:c>
      <x:c r="E41" s="39" t="n">
        <x:v>0.0223480891</x:v>
      </x:c>
      <x:c r="F41" s="39" t="n">
        <x:v>-0.0089381844</x:v>
      </x:c>
      <x:c r="G41" s="39" t="n">
        <x:v>0.1098812873</x:v>
      </x:c>
      <x:c r="H41" s="39" t="n">
        <x:v>0.0754462628</x:v>
      </x:c>
      <x:c r="I41" s="39" t="n">
        <x:v>-0.0294203407</x:v>
      </x:c>
      <x:c r="J41" s="39" t="n">
        <x:v>0.0312277968</x:v>
      </x:c>
      <x:c r="K41" s="39" t="n">
        <x:v>-0.0099596727</x:v>
      </x:c>
      <x:c r="L41" s="39" t="n">
        <x:v>-0.153852395</x:v>
      </x:c>
      <x:c r="M41" s="39" t="n">
        <x:v>-0.095466415</x:v>
      </x:c>
      <x:c r="N41" s="39" t="n">
        <x:v>-0.0381233155</x:v>
      </x:c>
      <x:c r="O41" s="39" t="n">
        <x:v>-0.0214886809</x:v>
      </x:c>
      <x:c r="P41" s="39" t="n">
        <x:v>-0.0555428202</x:v>
      </x:c>
      <x:c r="Q41" s="39" t="n">
        <x:v>0.0934014754</x:v>
      </x:c>
      <x:c r="R41" s="39" t="n">
        <x:v>0.0348524946</x:v>
      </x:c>
      <x:c r="S41" s="39" t="n">
        <x:v>0.0011561801</x:v>
      </x:c>
      <x:c r="T41" s="39" t="n">
        <x:v>0.062321518</x:v>
      </x:c>
      <x:c r="U41" s="39" t="n">
        <x:v>0.0155824073</x:v>
      </x:c>
      <x:c r="V41" s="39" t="n">
        <x:v>0.0817461688</x:v>
      </x:c>
      <x:c r="W41" s="39" t="n">
        <x:v>0.0161191991</x:v>
      </x:c>
      <x:c r="X41" s="39" t="n">
        <x:v>0.0541564334</x:v>
      </x:c>
      <x:c r="Y41" s="39" t="n">
        <x:v>0.0905811104</x:v>
      </x:c>
      <x:c r="Z41" s="39" t="n">
        <x:v>-0.0156731066</x:v>
      </x:c>
      <x:c r="AA41" s="39" t="n">
        <x:v>-0.0730031815</x:v>
      </x:c>
      <x:c r="AB41" s="39" t="n">
        <x:v>-0.150711214</x:v>
      </x:c>
      <x:c r="AC41" s="39" t="n">
        <x:v>0.0476083759</x:v>
      </x:c>
      <x:c r="AD41" s="39" t="n">
        <x:v>-0.03329613</x:v>
      </x:c>
      <x:c r="AE41" s="39" t="n">
        <x:v>0.0448168153</x:v>
      </x:c>
      <x:c r="AF41" s="39" t="n">
        <x:v>-0.0111651082</x:v>
      </x:c>
      <x:c r="AG41" s="39" t="n">
        <x:v>-0.0480644906</x:v>
      </x:c>
      <x:c r="AH41" s="39" t="n">
        <x:v>0.164061809</x:v>
      </x:c>
      <x:c r="AI41" s="39" t="n">
        <x:v>0.0672839894</x:v>
      </x:c>
      <x:c r="AJ41" s="39" t="n">
        <x:v>-0.043870769</x:v>
      </x:c>
      <x:c r="AK41" s="39" t="n">
        <x:v>0.01647553</x:v>
      </x:c>
      <x:c r="AL41" s="39" t="n">
        <x:v>0.1082944253</x:v>
      </x:c>
      <x:c r="AM41" s="39" t="n">
        <x:v>0.0910401426</x:v>
      </x:c>
      <x:c r="AN41" s="39" t="n">
        <x:v>0.0396002399</x:v>
      </x:c>
      <x:c r="AO41" s="39" t="n">
        <x:v>-0.0035667415</x:v>
      </x:c>
      <x:c r="AP41" s="39" t="n">
        <x:v>0.044788446</x:v>
      </x:c>
      <x:c r="AQ41" s="39" t="n">
        <x:v>0.0056485515</x:v>
      </x:c>
      <x:c r="AR41" s="39" t="n">
        <x:v>-0.0105513522</x:v>
      </x:c>
    </x:row>
    <x:row r="42" ht="19" customHeight="1">
      <x:c r="A42" s="40" t="d">
        <x:v>2023-04-24T00:00:00.000Z</x:v>
      </x:c>
      <x:c r="B42" s="39" t="n">
        <x:v>-0.0052842367</x:v>
      </x:c>
      <x:c r="C42" s="39" t="n">
        <x:v>0.0501544623</x:v>
      </x:c>
      <x:c r="D42" s="39" t="n">
        <x:v>0.0140845652</x:v>
      </x:c>
      <x:c r="E42" s="39" t="n">
        <x:v>-0.0013425586</x:v>
      </x:c>
      <x:c r="F42" s="39" t="n">
        <x:v>0.0211294756</x:v>
      </x:c>
      <x:c r="G42" s="39" t="n">
        <x:v>0.1724285763</x:v>
      </x:c>
      <x:c r="H42" s="39" t="n">
        <x:v>0.0186932054</x:v>
      </x:c>
      <x:c r="I42" s="39" t="n">
        <x:v>0.0215841226</x:v>
      </x:c>
      <x:c r="J42" s="39" t="n">
        <x:v>-0.1064345268</x:v>
      </x:c>
      <x:c r="K42" s="39" t="n">
        <x:v>-0.1776828697</x:v>
      </x:c>
      <x:c r="L42" s="39" t="n">
        <x:v>-0.0114102575</x:v>
      </x:c>
      <x:c r="M42" s="39" t="n">
        <x:v>-0.0561337027</x:v>
      </x:c>
      <x:c r="N42" s="39" t="n">
        <x:v>-0.2027724989</x:v>
      </x:c>
      <x:c r="O42" s="39" t="n">
        <x:v>-0.0809691053</x:v>
      </x:c>
      <x:c r="P42" s="39" t="n">
        <x:v>-0.3856358049</x:v>
      </x:c>
      <x:c r="Q42" s="39" t="n">
        <x:v>-0.1956855225</x:v>
      </x:c>
      <x:c r="R42" s="39" t="n">
        <x:v>-0.0275325438</x:v>
      </x:c>
      <x:c r="S42" s="39" t="n">
        <x:v>-0.2442514494</x:v>
      </x:c>
      <x:c r="T42" s="39" t="n">
        <x:v>-0.1306950799</x:v>
      </x:c>
      <x:c r="U42" s="39" t="n">
        <x:v>-0.0586644529</x:v>
      </x:c>
      <x:c r="V42" s="39" t="n">
        <x:v>-0.0415968782</x:v>
      </x:c>
      <x:c r="W42" s="39" t="n">
        <x:v>0.0858054831</x:v>
      </x:c>
      <x:c r="X42" s="39" t="n">
        <x:v>0.0600782132</x:v>
      </x:c>
      <x:c r="Y42" s="39" t="n">
        <x:v>-0.0303536517</x:v>
      </x:c>
      <x:c r="Z42" s="39" t="n">
        <x:v>-0.0424322779</x:v>
      </x:c>
      <x:c r="AA42" s="39" t="n">
        <x:v>0.0045274206</x:v>
      </x:c>
      <x:c r="AB42" s="39" t="n">
        <x:v>-0.1208512024</x:v>
      </x:c>
      <x:c r="AC42" s="39" t="n">
        <x:v>0.0511823332</x:v>
      </x:c>
      <x:c r="AD42" s="39" t="n">
        <x:v>-0.0419345557</x:v>
      </x:c>
      <x:c r="AE42" s="39" t="n">
        <x:v>-0.0962348236</x:v>
      </x:c>
      <x:c r="AF42" s="39" t="n">
        <x:v>-0.02434802</x:v>
      </x:c>
      <x:c r="AG42" s="39" t="n">
        <x:v>-0.023693623</x:v>
      </x:c>
      <x:c r="AH42" s="39" t="n">
        <x:v>-0.0833526726</x:v>
      </x:c>
      <x:c r="AI42" s="39" t="n">
        <x:v>0.1283523997</x:v>
      </x:c>
      <x:c r="AJ42" s="39" t="n">
        <x:v>0.0902109146</x:v>
      </x:c>
      <x:c r="AK42" s="39" t="n">
        <x:v>-0.1361348619</x:v>
      </x:c>
      <x:c r="AL42" s="39" t="n">
        <x:v>0.0575281862</x:v>
      </x:c>
      <x:c r="AM42" s="39" t="n">
        <x:v>0.0308989861</x:v>
      </x:c>
      <x:c r="AN42" s="39" t="n">
        <x:v>0.0114699919</x:v>
      </x:c>
      <x:c r="AO42" s="39" t="n">
        <x:v>0.0164375354</x:v>
      </x:c>
      <x:c r="AP42" s="39" t="n">
        <x:v>0.0303535535</x:v>
      </x:c>
      <x:c r="AQ42" s="39" t="n">
        <x:v>0.0493248678</x:v>
      </x:c>
      <x:c r="AR42" s="39" t="n">
        <x:v>0.0560827406</x:v>
      </x:c>
    </x:row>
    <x:row r="43" ht="19" customHeight="1">
      <x:c r="A43" s="40" t="d">
        <x:v>2023-05-22T00:00:00.000Z</x:v>
      </x:c>
      <x:c r="B43" s="39" t="n">
        <x:v>0.0223760295</x:v>
      </x:c>
      <x:c r="C43" s="39" t="n">
        <x:v>0.0117470627</x:v>
      </x:c>
      <x:c r="D43" s="39" t="n">
        <x:v>-0.0985028851</x:v>
      </x:c>
      <x:c r="E43" s="39" t="n">
        <x:v>-0.0874661677</x:v>
      </x:c>
      <x:c r="F43" s="39" t="n">
        <x:v>-0.1367059429</x:v>
      </x:c>
      <x:c r="G43" s="39" t="n">
        <x:v>0.0015050334</x:v>
      </x:c>
      <x:c r="H43" s="39" t="n">
        <x:v>0.1192418532</x:v>
      </x:c>
      <x:c r="I43" s="39" t="n">
        <x:v>0.0043366861</x:v>
      </x:c>
      <x:c r="J43" s="39" t="n">
        <x:v>0.0532852408</x:v>
      </x:c>
      <x:c r="K43" s="39" t="n">
        <x:v>0.001620375</x:v>
      </x:c>
      <x:c r="L43" s="39" t="n">
        <x:v>-0.113673868</x:v>
      </x:c>
      <x:c r="M43" s="39" t="n">
        <x:v>-0.198324002</x:v>
      </x:c>
      <x:c r="N43" s="39" t="n">
        <x:v>-0.0058764123</x:v>
      </x:c>
      <x:c r="O43" s="39" t="n">
        <x:v>0.130429764</x:v>
      </x:c>
      <x:c r="P43" s="39" t="n">
        <x:v>0.228189401</x:v>
      </x:c>
      <x:c r="Q43" s="39" t="n">
        <x:v>0.1211574848</x:v>
      </x:c>
      <x:c r="R43" s="39" t="n">
        <x:v>-0.0460086247</x:v>
      </x:c>
      <x:c r="S43" s="39" t="n">
        <x:v>0.2399614823</x:v>
      </x:c>
      <x:c r="T43" s="39" t="n">
        <x:v>-0.0470265916</x:v>
      </x:c>
      <x:c r="U43" s="39" t="n">
        <x:v>-0.0712126287</x:v>
      </x:c>
      <x:c r="V43" s="39" t="n">
        <x:v>0.1267239856</x:v>
      </x:c>
      <x:c r="W43" s="39" t="n">
        <x:v>-0.0428355492</x:v>
      </x:c>
      <x:c r="X43" s="39" t="n">
        <x:v>0.1269872557</x:v>
      </x:c>
      <x:c r="Y43" s="39" t="n">
        <x:v>-0.1400492597</x:v>
      </x:c>
      <x:c r="Z43" s="39" t="n">
        <x:v>-0.0547247196</x:v>
      </x:c>
      <x:c r="AA43" s="39" t="n">
        <x:v>0.0359276661</x:v>
      </x:c>
      <x:c r="AB43" s="39" t="n">
        <x:v>0.5329273462</x:v>
      </x:c>
      <x:c r="AC43" s="39" t="n">
        <x:v>-0.0666881282</x:v>
      </x:c>
      <x:c r="AD43" s="39" t="n">
        <x:v>0.0160509448</x:v>
      </x:c>
      <x:c r="AE43" s="39" t="n">
        <x:v>0.0630296166</x:v>
      </x:c>
      <x:c r="AF43" s="39" t="n">
        <x:v>-0.0140619123</x:v>
      </x:c>
      <x:c r="AG43" s="39" t="n">
        <x:v>0.0039569056</x:v>
      </x:c>
      <x:c r="AH43" s="39" t="n">
        <x:v>0.3221143807</x:v>
      </x:c>
      <x:c r="AI43" s="39" t="n">
        <x:v>0.0691459222</x:v>
      </x:c>
      <x:c r="AJ43" s="39" t="n">
        <x:v>-0.0610791805</x:v>
      </x:c>
      <x:c r="AK43" s="39" t="n">
        <x:v>-0.0379412581</x:v>
      </x:c>
      <x:c r="AL43" s="39" t="n">
        <x:v>0.0753916827</x:v>
      </x:c>
      <x:c r="AM43" s="39" t="n">
        <x:v>0.1366615706</x:v>
      </x:c>
      <x:c r="AN43" s="39" t="n">
        <x:v>0.0092334913</x:v>
      </x:c>
      <x:c r="AO43" s="39" t="n">
        <x:v>-0.0238066404</x:v>
      </x:c>
      <x:c r="AP43" s="39" t="n">
        <x:v>-0.0573034521</x:v>
      </x:c>
      <x:c r="AQ43" s="39" t="n">
        <x:v>-0.0469887474</x:v>
      </x:c>
      <x:c r="AR43" s="39" t="n">
        <x:v>-0.0224381407</x:v>
      </x:c>
    </x:row>
    <x:row r="44" ht="19" customHeight="1">
      <x:c r="A44" s="40" t="d">
        <x:v>2023-06-19T00:00:00.000Z</x:v>
      </x:c>
      <x:c r="B44" s="39" t="n">
        <x:v>0.0319696127</x:v>
      </x:c>
      <x:c r="C44" s="39" t="n">
        <x:v>0.0893841428</x:v>
      </x:c>
      <x:c r="D44" s="39" t="n">
        <x:v>0.0139018257</x:v>
      </x:c>
      <x:c r="E44" s="39" t="n">
        <x:v>0.0031616787</x:v>
      </x:c>
      <x:c r="F44" s="39" t="n">
        <x:v>-0.0020014858</x:v>
      </x:c>
      <x:c r="G44" s="39" t="n">
        <x:v>-0.0123461876</x:v>
      </x:c>
      <x:c r="H44" s="39" t="n">
        <x:v>0.0687115817</x:v>
      </x:c>
      <x:c r="I44" s="39" t="n">
        <x:v>0.063262946</x:v>
      </x:c>
      <x:c r="J44" s="39" t="n">
        <x:v>-0.0196873716</x:v>
      </x:c>
      <x:c r="K44" s="39" t="n">
        <x:v>-0.0208004034</x:v>
      </x:c>
      <x:c r="L44" s="39" t="n">
        <x:v>0.107502062</x:v>
      </x:c>
      <x:c r="M44" s="39" t="n">
        <x:v>0.0465227417</x:v>
      </x:c>
      <x:c r="N44" s="39" t="n">
        <x:v>0.0407202001</x:v>
      </x:c>
      <x:c r="O44" s="39" t="n">
        <x:v>-0.0443228933</x:v>
      </x:c>
      <x:c r="P44" s="39" t="n">
        <x:v>-0.0162902827</x:v>
      </x:c>
      <x:c r="Q44" s="39" t="n">
        <x:v>0.0652666924</x:v>
      </x:c>
      <x:c r="R44" s="39" t="n">
        <x:v>0.0315429805</x:v>
      </x:c>
      <x:c r="S44" s="39" t="n">
        <x:v>0.0338686181</x:v>
      </x:c>
      <x:c r="T44" s="39" t="n">
        <x:v>-0.0587824804</x:v>
      </x:c>
      <x:c r="U44" s="39" t="n">
        <x:v>-0.0302233673</x:v>
      </x:c>
      <x:c r="V44" s="39" t="n">
        <x:v>0.1045744182</x:v>
      </x:c>
      <x:c r="W44" s="39" t="n">
        <x:v>0.0142448244</x:v>
      </x:c>
      <x:c r="X44" s="39" t="n">
        <x:v>-0.1156040149</x:v>
      </x:c>
      <x:c r="Y44" s="39" t="n">
        <x:v>0.0295743508</x:v>
      </x:c>
      <x:c r="Z44" s="39" t="n">
        <x:v>0.0304420647</x:v>
      </x:c>
      <x:c r="AA44" s="39" t="n">
        <x:v>-0.0180402361</x:v>
      </x:c>
      <x:c r="AB44" s="39" t="n">
        <x:v>0.1779375037</x:v>
      </x:c>
      <x:c r="AC44" s="39" t="n">
        <x:v>0.0193492643</x:v>
      </x:c>
      <x:c r="AD44" s="39" t="n">
        <x:v>0.1375974811</x:v>
      </x:c>
      <x:c r="AE44" s="39" t="n">
        <x:v>0.0755739609</x:v>
      </x:c>
      <x:c r="AF44" s="39" t="n">
        <x:v>0.0080858154</x:v>
      </x:c>
      <x:c r="AG44" s="39" t="n">
        <x:v>0.0696472783</x:v>
      </x:c>
      <x:c r="AH44" s="39" t="n">
        <x:v>-0.1336450917</x:v>
      </x:c>
      <x:c r="AI44" s="39" t="n">
        <x:v>0.0694510003</x:v>
      </x:c>
      <x:c r="AJ44" s="39" t="n">
        <x:v>0.0339857744</x:v>
      </x:c>
      <x:c r="AK44" s="39" t="n">
        <x:v>-0.0092905001</x:v>
      </x:c>
      <x:c r="AL44" s="39" t="n">
        <x:v>0.0059252728</x:v>
      </x:c>
      <x:c r="AM44" s="39" t="n">
        <x:v>-0.017080278</x:v>
      </x:c>
      <x:c r="AN44" s="39" t="n">
        <x:v>0.0309440454</x:v>
      </x:c>
      <x:c r="AO44" s="39" t="n">
        <x:v>0.031643311</x:v>
      </x:c>
      <x:c r="AP44" s="39" t="n">
        <x:v>0.0214291626</x:v>
      </x:c>
      <x:c r="AQ44" s="39" t="n">
        <x:v>0.064686915</x:v>
      </x:c>
      <x:c r="AR44" s="39" t="n">
        <x:v>0.0415118732</x:v>
      </x:c>
    </x:row>
    <x:row r="45" ht="19" customHeight="1">
      <x:c r="A45" s="40" t="d">
        <x:v>2023-07-17T00:00:00.000Z</x:v>
      </x:c>
      <x:c r="B45" s="39" t="n">
        <x:v>0.1150583633</x:v>
      </x:c>
      <x:c r="C45" s="39" t="n">
        <x:v>0.1085982006</x:v>
      </x:c>
      <x:c r="D45" s="39" t="n">
        <x:v>0.0488214656</x:v>
      </x:c>
      <x:c r="E45" s="39" t="n">
        <x:v>0.0643024879</x:v>
      </x:c>
      <x:c r="F45" s="39" t="n">
        <x:v>-0.009891218</x:v>
      </x:c>
      <x:c r="G45" s="39" t="n">
        <x:v>0.0251078344</x:v>
      </x:c>
      <x:c r="H45" s="39" t="n">
        <x:v>0.0048686894</x:v>
      </x:c>
      <x:c r="I45" s="39" t="n">
        <x:v>0.0244434022</x:v>
      </x:c>
      <x:c r="J45" s="39" t="n">
        <x:v>-0.0111564249</x:v>
      </x:c>
      <x:c r="K45" s="39" t="n">
        <x:v>0.0941049488</x:v>
      </x:c>
      <x:c r="L45" s="39" t="n">
        <x:v>0.1069352034</x:v>
      </x:c>
      <x:c r="M45" s="39" t="n">
        <x:v>0.0927712548</x:v>
      </x:c>
      <x:c r="N45" s="39" t="n">
        <x:v>0.0155510457</x:v>
      </x:c>
      <x:c r="O45" s="39" t="n">
        <x:v>0.0108873784</x:v>
      </x:c>
      <x:c r="P45" s="39" t="n">
        <x:v>0.0112576761</x:v>
      </x:c>
      <x:c r="Q45" s="39" t="n">
        <x:v>0.2196732056</x:v>
      </x:c>
      <x:c r="R45" s="39" t="n">
        <x:v>0.0385655908</x:v>
      </x:c>
      <x:c r="S45" s="39" t="n">
        <x:v>0.0458233006</x:v>
      </x:c>
      <x:c r="T45" s="39" t="n">
        <x:v>0.0610342049</x:v>
      </x:c>
      <x:c r="U45" s="39" t="n">
        <x:v>-0.0447344453</x:v>
      </x:c>
      <x:c r="V45" s="39" t="n">
        <x:v>0.0077015214</x:v>
      </x:c>
      <x:c r="W45" s="39" t="n">
        <x:v>0.0702114629</x:v>
      </x:c>
      <x:c r="X45" s="39" t="n">
        <x:v>0.0070969463</x:v>
      </x:c>
      <x:c r="Y45" s="39" t="n">
        <x:v>0.0362315893</x:v>
      </x:c>
      <x:c r="Z45" s="39" t="n">
        <x:v>-0.0607133112</x:v>
      </x:c>
      <x:c r="AA45" s="39" t="n">
        <x:v>0</x:v>
      </x:c>
      <x:c r="AB45" s="39" t="n">
        <x:v>0.5530346283</x:v>
      </x:c>
      <x:c r="AC45" s="39" t="n">
        <x:v>0.033869385</x:v>
      </x:c>
      <x:c r="AD45" s="39" t="n">
        <x:v>-0.0060679585</x:v>
      </x:c>
      <x:c r="AE45" s="39" t="n">
        <x:v>0.0412886165</x:v>
      </x:c>
      <x:c r="AF45" s="39" t="n">
        <x:v>0.0288649171</x:v>
      </x:c>
      <x:c r="AG45" s="39" t="n">
        <x:v>0.0614047364</x:v>
      </x:c>
      <x:c r="AH45" s="39" t="n">
        <x:v>0.0080168668</x:v>
      </x:c>
      <x:c r="AI45" s="39" t="n">
        <x:v>0.006548604</x:v>
      </x:c>
      <x:c r="AJ45" s="39" t="n">
        <x:v>0.0716871195</x:v>
      </x:c>
      <x:c r="AK45" s="39" t="n">
        <x:v>-0.0095176529</x:v>
      </x:c>
      <x:c r="AL45" s="39" t="n">
        <x:v>0.0242934678</x:v>
      </x:c>
      <x:c r="AM45" s="39" t="n">
        <x:v>-0.0180397694</x:v>
      </x:c>
      <x:c r="AN45" s="39" t="n">
        <x:v>0.0582085869</x:v>
      </x:c>
      <x:c r="AO45" s="39" t="n">
        <x:v>0.0596529712</x:v>
      </x:c>
      <x:c r="AP45" s="39" t="n">
        <x:v>0.0188999559</x:v>
      </x:c>
      <x:c r="AQ45" s="39" t="n">
        <x:v>0.0264440294</x:v>
      </x:c>
      <x:c r="AR45" s="39" t="n">
        <x:v>0.0290853544</x:v>
      </x:c>
    </x:row>
    <x:row r="46" ht="19" customHeight="1">
      <x:c r="A46" s="40" t="d">
        <x:v>2023-08-14T00:00:00.000Z</x:v>
      </x:c>
      <x:c r="B46" s="39" t="n">
        <x:v>0.0492525035</x:v>
      </x:c>
      <x:c r="C46" s="39" t="n">
        <x:v>-0.0417822425</x:v>
      </x:c>
      <x:c r="D46" s="39" t="n">
        <x:v>-0.0922336275</x:v>
      </x:c>
      <x:c r="E46" s="39" t="n">
        <x:v>-0.069977315</x:v>
      </x:c>
      <x:c r="F46" s="39" t="n">
        <x:v>-0.0134674834</x:v>
      </x:c>
      <x:c r="G46" s="39" t="n">
        <x:v>-0.1210249256</x:v>
      </x:c>
      <x:c r="H46" s="39" t="n">
        <x:v>0.0233814883</x:v>
      </x:c>
      <x:c r="I46" s="39" t="n">
        <x:v>0.0679949677</x:v>
      </x:c>
      <x:c r="J46" s="39" t="n">
        <x:v>0.0731175992</x:v>
      </x:c>
      <x:c r="K46" s="39" t="n">
        <x:v>0.0865309999</x:v>
      </x:c>
      <x:c r="L46" s="39" t="n">
        <x:v>0.0049175995</x:v>
      </x:c>
      <x:c r="M46" s="39" t="n">
        <x:v>-0.0424179925</x:v>
      </x:c>
      <x:c r="N46" s="39" t="n">
        <x:v>-0.0352722049</x:v>
      </x:c>
      <x:c r="O46" s="39" t="n">
        <x:v>0.03527016</x:v>
      </x:c>
      <x:c r="P46" s="39" t="n">
        <x:v>0.0129742978</x:v>
      </x:c>
      <x:c r="Q46" s="39" t="n">
        <x:v>-0.3812178285</x:v>
      </x:c>
      <x:c r="R46" s="39" t="n">
        <x:v>0.0704041061</x:v>
      </x:c>
      <x:c r="S46" s="39" t="n">
        <x:v>-0.1156826737</x:v>
      </x:c>
      <x:c r="T46" s="39" t="n">
        <x:v>-0.2087527565</x:v>
      </x:c>
      <x:c r="U46" s="39" t="n">
        <x:v>0.1013742428</x:v>
      </x:c>
      <x:c r="V46" s="39" t="n">
        <x:v>-0.0527771445</x:v>
      </x:c>
      <x:c r="W46" s="39" t="n">
        <x:v>0.0618969328</x:v>
      </x:c>
      <x:c r="X46" s="39" t="n">
        <x:v>-0.0304664369</x:v>
      </x:c>
      <x:c r="Y46" s="39" t="n">
        <x:v>-0.1177667518</x:v>
      </x:c>
      <x:c r="Z46" s="39" t="n">
        <x:v>0.0706156664</x:v>
      </x:c>
      <x:c r="AA46" s="39" t="n">
        <x:v>0.013950834</x:v>
      </x:c>
      <x:c r="AB46" s="39" t="n">
        <x:v>-0.5003439773</x:v>
      </x:c>
      <x:c r="AC46" s="39" t="n">
        <x:v>-0.0024404009</x:v>
      </x:c>
      <x:c r="AD46" s="39" t="n">
        <x:v>-0.1353635392</x:v>
      </x:c>
      <x:c r="AE46" s="39" t="n">
        <x:v>-0.01450464</x:v>
      </x:c>
      <x:c r="AF46" s="39" t="n">
        <x:v>0.0647568326</x:v>
      </x:c>
      <x:c r="AG46" s="39" t="n">
        <x:v>-0.0514152003</x:v>
      </x:c>
      <x:c r="AH46" s="39" t="n">
        <x:v>-0.0485861316</x:v>
      </x:c>
      <x:c r="AI46" s="39" t="n">
        <x:v>0.1623552937</x:v>
      </x:c>
      <x:c r="AJ46" s="39" t="n">
        <x:v>-0.0060312299</x:v>
      </x:c>
      <x:c r="AK46" s="39" t="n">
        <x:v>-0.0237802241</x:v>
      </x:c>
      <x:c r="AL46" s="39" t="n">
        <x:v>-0.0770204501</x:v>
      </x:c>
      <x:c r="AM46" s="39" t="n">
        <x:v>0.0574747659</x:v>
      </x:c>
      <x:c r="AN46" s="39" t="n">
        <x:v>-0.0223921846</x:v>
      </x:c>
      <x:c r="AO46" s="39" t="n">
        <x:v>0.0203568993</x:v>
      </x:c>
      <x:c r="AP46" s="39" t="n">
        <x:v>-0.0230800677</x:v>
      </x:c>
      <x:c r="AQ46" s="39" t="n">
        <x:v>0.0128280667</x:v>
      </x:c>
      <x:c r="AR46" s="39" t="n">
        <x:v>0.0186114716</x:v>
      </x:c>
    </x:row>
    <x:row r="47" ht="19" customHeight="1">
      <x:c r="A47" s="40" t="d">
        <x:v>2023-09-11T00:00:00.000Z</x:v>
      </x:c>
      <x:c r="B47" s="39" t="n">
        <x:v>0.0942598953</x:v>
      </x:c>
      <x:c r="C47" s="39" t="n">
        <x:v>0.0787060055</x:v>
      </x:c>
      <x:c r="D47" s="39" t="n">
        <x:v>0.0124303381</x:v>
      </x:c>
      <x:c r="E47" s="39" t="n">
        <x:v>0.0281812804</x:v>
      </x:c>
      <x:c r="F47" s="39" t="n">
        <x:v>-0.0042938108</x:v>
      </x:c>
      <x:c r="G47" s="39" t="n">
        <x:v>0.0326209473</x:v>
      </x:c>
      <x:c r="H47" s="39" t="n">
        <x:v>0.0508069286</x:v>
      </x:c>
      <x:c r="I47" s="39" t="n">
        <x:v>0.0583175997</x:v>
      </x:c>
      <x:c r="J47" s="39" t="n">
        <x:v>-0.0090790571</x:v>
      </x:c>
      <x:c r="K47" s="39" t="n">
        <x:v>0.0706419067</x:v>
      </x:c>
      <x:c r="L47" s="39" t="n">
        <x:v>0.0366908026</x:v>
      </x:c>
      <x:c r="M47" s="39" t="n">
        <x:v>0.0395451106</x:v>
      </x:c>
      <x:c r="N47" s="39" t="n">
        <x:v>-0.0650715278</x:v>
      </x:c>
      <x:c r="O47" s="39" t="n">
        <x:v>0.089842423</x:v>
      </x:c>
      <x:c r="P47" s="39" t="n">
        <x:v>0.122509055</x:v>
      </x:c>
      <x:c r="Q47" s="39" t="n">
        <x:v>-0.2875449088</x:v>
      </x:c>
      <x:c r="R47" s="39" t="n">
        <x:v>0.0198381486</x:v>
      </x:c>
      <x:c r="S47" s="39" t="n">
        <x:v>0.0602052573</x:v>
      </x:c>
      <x:c r="T47" s="39" t="n">
        <x:v>0.116418545</x:v>
      </x:c>
      <x:c r="U47" s="39" t="n">
        <x:v>0.029150962</x:v>
      </x:c>
      <x:c r="V47" s="39" t="n">
        <x:v>-0.018357066</x:v>
      </x:c>
      <x:c r="W47" s="39" t="n">
        <x:v>-0.0089365822</x:v>
      </x:c>
      <x:c r="X47" s="39" t="n">
        <x:v>0.0914166148</x:v>
      </x:c>
      <x:c r="Y47" s="39" t="n">
        <x:v>0.0626210874</x:v>
      </x:c>
      <x:c r="Z47" s="39" t="n">
        <x:v>0.034197248</x:v>
      </x:c>
      <x:c r="AA47" s="39" t="n">
        <x:v>-0.0094096014</x:v>
      </x:c>
      <x:c r="AB47" s="39" t="n">
        <x:v>-0.076972317</x:v>
      </x:c>
      <x:c r="AC47" s="39" t="n">
        <x:v>0.0058910193</x:v>
      </x:c>
      <x:c r="AD47" s="39" t="n">
        <x:v>0.0512916356</x:v>
      </x:c>
      <x:c r="AE47" s="39" t="n">
        <x:v>0.0108158397</x:v>
      </x:c>
      <x:c r="AF47" s="39" t="n">
        <x:v>-0.0827103554</x:v>
      </x:c>
      <x:c r="AG47" s="39" t="n">
        <x:v>-0.0295584818</x:v>
      </x:c>
      <x:c r="AH47" s="39" t="n">
        <x:v>-0.0370971113</x:v>
      </x:c>
      <x:c r="AI47" s="39" t="n">
        <x:v>0.050505083</x:v>
      </x:c>
      <x:c r="AJ47" s="39" t="n">
        <x:v>0.0371163216</x:v>
      </x:c>
      <x:c r="AK47" s="39" t="n">
        <x:v>0.030054625</x:v>
      </x:c>
      <x:c r="AL47" s="39" t="n">
        <x:v>0.0411891841</x:v>
      </x:c>
      <x:c r="AM47" s="39" t="n">
        <x:v>0.0727797891</x:v>
      </x:c>
      <x:c r="AN47" s="39" t="n">
        <x:v>0.0219301287</x:v>
      </x:c>
      <x:c r="AO47" s="39" t="n">
        <x:v>-0.0116682049</x:v>
      </x:c>
      <x:c r="AP47" s="39" t="n">
        <x:v>-0.0414261842</x:v>
      </x:c>
      <x:c r="AQ47" s="39" t="n">
        <x:v>-0.0570945169</x:v>
      </x:c>
      <x:c r="AR47" s="39" t="n">
        <x:v>0.0411724834</x:v>
      </x:c>
    </x:row>
    <x:row r="48" ht="19" customHeight="1">
      <x:c r="A48" s="40" t="d">
        <x:v>2023-10-09T00:00:00.000Z</x:v>
      </x:c>
      <x:c r="B48" s="39" t="n">
        <x:v>-0.0326184849</x:v>
      </x:c>
      <x:c r="C48" s="39" t="n">
        <x:v>0.1311636607</x:v>
      </x:c>
      <x:c r="D48" s="39" t="n">
        <x:v>-0.0708998808</x:v>
      </x:c>
      <x:c r="E48" s="39" t="n">
        <x:v>-0.0496828386</x:v>
      </x:c>
      <x:c r="F48" s="39" t="n">
        <x:v>-0.0142299478</x:v>
      </x:c>
      <x:c r="G48" s="39" t="n">
        <x:v>-0.0697565011</x:v>
      </x:c>
      <x:c r="H48" s="39" t="n">
        <x:v>-0.0771676747</x:v>
      </x:c>
      <x:c r="I48" s="39" t="n">
        <x:v>-0.1639957788</x:v>
      </x:c>
      <x:c r="J48" s="39" t="n">
        <x:v>0.0801309893</x:v>
      </x:c>
      <x:c r="K48" s="39" t="n">
        <x:v>-0.1286773126</x:v>
      </x:c>
      <x:c r="L48" s="39" t="n">
        <x:v>0.0289036437</x:v>
      </x:c>
      <x:c r="M48" s="39" t="n">
        <x:v>-0.0488376009</x:v>
      </x:c>
      <x:c r="N48" s="39" t="n">
        <x:v>-0.0275846409</x:v>
      </x:c>
      <x:c r="O48" s="39" t="n">
        <x:v>0.0462387485</x:v>
      </x:c>
      <x:c r="P48" s="39" t="n">
        <x:v>-0.0911316221</x:v>
      </x:c>
      <x:c r="Q48" s="39" t="n">
        <x:v>-0.057420648</x:v>
      </x:c>
      <x:c r="R48" s="39" t="n">
        <x:v>0.0579510634</x:v>
      </x:c>
      <x:c r="S48" s="39" t="n">
        <x:v>-0.0253841025</x:v>
      </x:c>
      <x:c r="T48" s="39" t="n">
        <x:v>-0.1507213991</x:v>
      </x:c>
      <x:c r="U48" s="39" t="n">
        <x:v>0.0429949253</x:v>
      </x:c>
      <x:c r="V48" s="39" t="n">
        <x:v>-0.1078818936</x:v>
      </x:c>
      <x:c r="W48" s="39" t="n">
        <x:v>-0.0273140221</x:v>
      </x:c>
      <x:c r="X48" s="39" t="n">
        <x:v>-0.0078312335</x:v>
      </x:c>
      <x:c r="Y48" s="39" t="n">
        <x:v>-0.0221838679</x:v>
      </x:c>
      <x:c r="Z48" s="39" t="n">
        <x:v>0.1093214261</x:v>
      </x:c>
      <x:c r="AA48" s="39" t="n">
        <x:v>-0.00480661</x:v>
      </x:c>
      <x:c r="AB48" s="39" t="n">
        <x:v>-0.0869756367</x:v>
      </x:c>
      <x:c r="AC48" s="39" t="n">
        <x:v>-0.057906758</x:v>
      </x:c>
      <x:c r="AD48" s="39" t="n">
        <x:v>-0.064425687</x:v>
      </x:c>
      <x:c r="AE48" s="39" t="n">
        <x:v>-0.0345750715</x:v>
      </x:c>
      <x:c r="AF48" s="39" t="n">
        <x:v>-0.1161817684</x:v>
      </x:c>
      <x:c r="AG48" s="39" t="n">
        <x:v>0.0593803543</x:v>
      </x:c>
      <x:c r="AH48" s="39" t="n">
        <x:v>0.0342623804</x:v>
      </x:c>
      <x:c r="AI48" s="39" t="n">
        <x:v>0.0556638512</x:v>
      </x:c>
      <x:c r="AJ48" s="39" t="n">
        <x:v>0.0090455279</x:v>
      </x:c>
      <x:c r="AK48" s="39" t="n">
        <x:v>-0.1110958338</x:v>
      </x:c>
      <x:c r="AL48" s="39" t="n">
        <x:v>-0.0074396328</x:v>
      </x:c>
      <x:c r="AM48" s="39" t="n">
        <x:v>-0.0002862273</x:v>
      </x:c>
      <x:c r="AN48" s="39" t="n">
        <x:v>0.0183433833</x:v>
      </x:c>
      <x:c r="AO48" s="39" t="n">
        <x:v>-0.0945659267</x:v>
      </x:c>
      <x:c r="AP48" s="39" t="n">
        <x:v>-0.0896385268</x:v>
      </x:c>
      <x:c r="AQ48" s="39" t="n">
        <x:v>-0.0284123986</x:v>
      </x:c>
      <x:c r="AR48" s="39" t="n">
        <x:v>-0.0628074259</x:v>
      </x:c>
    </x:row>
    <x:row r="49" ht="19" customHeight="1">
      <x:c r="A49" s="40" t="d">
        <x:v>2023-11-06T00:00:00.000Z</x:v>
      </x:c>
      <x:c r="B49" s="39" t="n">
        <x:v>0.0856909679</x:v>
      </x:c>
      <x:c r="C49" s="39" t="n">
        <x:v>-0.1485509601</x:v>
      </x:c>
      <x:c r="D49" s="39" t="n">
        <x:v>0.0536164057</x:v>
      </x:c>
      <x:c r="E49" s="39" t="n">
        <x:v>0.0320864805</x:v>
      </x:c>
      <x:c r="F49" s="39" t="n">
        <x:v>0.0452847104</x:v>
      </x:c>
      <x:c r="G49" s="39" t="n">
        <x:v>0.1737053401</x:v>
      </x:c>
      <x:c r="H49" s="39" t="n">
        <x:v>0.1005229834</x:v>
      </x:c>
      <x:c r="I49" s="39" t="n">
        <x:v>0.1663243193</x:v>
      </x:c>
      <x:c r="J49" s="39" t="n">
        <x:v>0.0564955117</x:v>
      </x:c>
      <x:c r="K49" s="39" t="n">
        <x:v>-0.0270965872</x:v>
      </x:c>
      <x:c r="L49" s="39" t="n">
        <x:v>-0.0610191961</x:v>
      </x:c>
      <x:c r="M49" s="39" t="n">
        <x:v>-0.1201655278</x:v>
      </x:c>
      <x:c r="N49" s="39" t="n">
        <x:v>0.101418101</x:v>
      </x:c>
      <x:c r="O49" s="39" t="n">
        <x:v>-0.015387983</x:v>
      </x:c>
      <x:c r="P49" s="39" t="n">
        <x:v>-0.0356829988</x:v>
      </x:c>
      <x:c r="Q49" s="39" t="n">
        <x:v>0.0936708238</x:v>
      </x:c>
      <x:c r="R49" s="39" t="n">
        <x:v>-0.0103690052</x:v>
      </x:c>
      <x:c r="S49" s="39" t="n">
        <x:v>0.0308146613</x:v>
      </x:c>
      <x:c r="T49" s="39" t="n">
        <x:v>-0.3377651946</x:v>
      </x:c>
      <x:c r="U49" s="39" t="n">
        <x:v>0.0115479268</x:v>
      </x:c>
      <x:c r="V49" s="39" t="n">
        <x:v>0.2283542972</x:v>
      </x:c>
      <x:c r="W49" s="39" t="n">
        <x:v>-0.044200441</x:v>
      </x:c>
      <x:c r="X49" s="39" t="n">
        <x:v>0.0848675662</x:v>
      </x:c>
      <x:c r="Y49" s="39" t="n">
        <x:v>-0.1418602926</x:v>
      </x:c>
      <x:c r="Z49" s="39" t="n">
        <x:v>0.0343989553</x:v>
      </x:c>
      <x:c r="AA49" s="39" t="n">
        <x:v>-0.1303292213</x:v>
      </x:c>
      <x:c r="AB49" s="39" t="n">
        <x:v>-0.2615147224</x:v>
      </x:c>
      <x:c r="AC49" s="39" t="n">
        <x:v>0.0515296508</x:v>
      </x:c>
      <x:c r="AD49" s="39" t="n">
        <x:v>-0.1644773465</x:v>
      </x:c>
      <x:c r="AE49" s="39" t="n">
        <x:v>-0.0319626099</x:v>
      </x:c>
      <x:c r="AF49" s="39" t="n">
        <x:v>0.0613655449</x:v>
      </x:c>
      <x:c r="AG49" s="39" t="n">
        <x:v>0.0223607943</x:v>
      </x:c>
      <x:c r="AH49" s="39" t="n">
        <x:v>0.1204806711</x:v>
      </x:c>
      <x:c r="AI49" s="39" t="n">
        <x:v>-0.0189819033</x:v>
      </x:c>
      <x:c r="AJ49" s="39" t="n">
        <x:v>0.0096704075</x:v>
      </x:c>
      <x:c r="AK49" s="39" t="n">
        <x:v>0.0043858467</x:v>
      </x:c>
      <x:c r="AL49" s="39" t="n">
        <x:v>0.1200472748</x:v>
      </x:c>
      <x:c r="AM49" s="39" t="n">
        <x:v>-0.0352341776</x:v>
      </x:c>
      <x:c r="AN49" s="39" t="n">
        <x:v>0.0197451655</x:v>
      </x:c>
      <x:c r="AO49" s="39" t="n">
        <x:v>-0.0011274576</x:v>
      </x:c>
      <x:c r="AP49" s="39" t="n">
        <x:v>0.0696961974</x:v>
      </x:c>
      <x:c r="AQ49" s="39" t="n">
        <x:v>-0.0629624557</x:v>
      </x:c>
      <x:c r="AR49" s="39" t="n">
        <x:v>0.0156779105</x:v>
      </x:c>
    </x:row>
    <x:row r="50" ht="19" customHeight="1">
      <x:c r="A50" s="40" t="d">
        <x:v>2023-12-04T00:00:00.000Z</x:v>
      </x:c>
      <x:c r="B50" s="39" t="n">
        <x:v>0.070224845</x:v>
      </x:c>
      <x:c r="C50" s="39" t="n">
        <x:v>0.1286118648</x:v>
      </x:c>
      <x:c r="D50" s="39" t="n">
        <x:v>0.024933994</x:v>
      </x:c>
      <x:c r="E50" s="39" t="n">
        <x:v>0.0668856684</x:v>
      </x:c>
      <x:c r="F50" s="39" t="n">
        <x:v>0.0541074118</x:v>
      </x:c>
      <x:c r="G50" s="39" t="n">
        <x:v>0.0567227253</x:v>
      </x:c>
      <x:c r="H50" s="39" t="n">
        <x:v>0.0268259675</x:v>
      </x:c>
      <x:c r="I50" s="39" t="n">
        <x:v>0.034792373</x:v>
      </x:c>
      <x:c r="J50" s="39" t="n">
        <x:v>0.1080738546</x:v>
      </x:c>
      <x:c r="K50" s="39" t="n">
        <x:v>0.0087493159</x:v>
      </x:c>
      <x:c r="L50" s="39" t="n">
        <x:v>-0.0334029035</x:v>
      </x:c>
      <x:c r="M50" s="39" t="n">
        <x:v>0.0162940898</x:v>
      </x:c>
      <x:c r="N50" s="39" t="n">
        <x:v>-0.0169317414</x:v>
      </x:c>
      <x:c r="O50" s="39" t="n">
        <x:v>0.0622990134</x:v>
      </x:c>
      <x:c r="P50" s="39" t="n">
        <x:v>0.178290631</x:v>
      </x:c>
      <x:c r="Q50" s="39" t="n">
        <x:v>0.2110629806</x:v>
      </x:c>
      <x:c r="R50" s="39" t="n">
        <x:v>-0.0206907894</x:v>
      </x:c>
      <x:c r="S50" s="39" t="n">
        <x:v>0.2084113561</x:v>
      </x:c>
      <x:c r="T50" s="39" t="n">
        <x:v>0.1383220499</x:v>
      </x:c>
      <x:c r="U50" s="39" t="n">
        <x:v>0.0821189608</x:v>
      </x:c>
      <x:c r="V50" s="39" t="n">
        <x:v>0.0146331005</x:v>
      </x:c>
      <x:c r="W50" s="39" t="n">
        <x:v>0.0045732543</x:v>
      </x:c>
      <x:c r="X50" s="39" t="n">
        <x:v>-0.005380956</x:v>
      </x:c>
      <x:c r="Y50" s="39" t="n">
        <x:v>0.1448778465</x:v>
      </x:c>
      <x:c r="Z50" s="39" t="n">
        <x:v>0.0049049774</x:v>
      </x:c>
      <x:c r="AA50" s="39" t="n">
        <x:v>0.0112340478</x:v>
      </x:c>
      <x:c r="AB50" s="39" t="n">
        <x:v>0.5767480157</x:v>
      </x:c>
      <x:c r="AC50" s="39" t="n">
        <x:v>-0.0426906692</x:v>
      </x:c>
      <x:c r="AD50" s="39" t="n">
        <x:v>0.1115375963</x:v>
      </x:c>
      <x:c r="AE50" s="39" t="n">
        <x:v>0.0163381312</x:v>
      </x:c>
      <x:c r="AF50" s="39" t="n">
        <x:v>0.2210246543</x:v>
      </x:c>
      <x:c r="AG50" s="39" t="n">
        <x:v>0.0774630249</x:v>
      </x:c>
      <x:c r="AH50" s="39" t="n">
        <x:v>0.0844433954</x:v>
      </x:c>
      <x:c r="AI50" s="39" t="n">
        <x:v>0.0024410136</x:v>
      </x:c>
      <x:c r="AJ50" s="39" t="n">
        <x:v>0.0274552923</x:v>
      </x:c>
      <x:c r="AK50" s="39" t="n">
        <x:v>-0.0940488047</x:v>
      </x:c>
      <x:c r="AL50" s="39" t="n">
        <x:v>0.0144455233</x:v>
      </x:c>
      <x:c r="AM50" s="39" t="n">
        <x:v>0.0181374178</x:v>
      </x:c>
      <x:c r="AN50" s="39" t="n">
        <x:v>0.057313608</x:v>
      </x:c>
      <x:c r="AO50" s="39" t="n">
        <x:v>0.1210049706</x:v>
      </x:c>
      <x:c r="AP50" s="39" t="n">
        <x:v>0.0411596164</x:v>
      </x:c>
      <x:c r="AQ50" s="39" t="n">
        <x:v>0.0561343948</x:v>
      </x:c>
      <x:c r="AR50" s="39" t="n">
        <x:v>0.0072419525</x:v>
      </x:c>
    </x:row>
    <x:row r="51" ht="19" customHeight="1">
      <x:c r="A51" s="40" t="d">
        <x:v>2024-01-01T00:00:00.000Z</x:v>
      </x:c>
      <x:c r="B51" s="39" t="n">
        <x:v>0.0500542537</x:v>
      </x:c>
      <x:c r="C51" s="39" t="n">
        <x:v>-0.0204475422</x:v>
      </x:c>
      <x:c r="D51" s="39" t="n">
        <x:v>0.0555089208</x:v>
      </x:c>
      <x:c r="E51" s="39" t="n">
        <x:v>0.0192192332</x:v>
      </x:c>
      <x:c r="F51" s="39" t="n">
        <x:v>-0.0214334245</x:v>
      </x:c>
      <x:c r="G51" s="39" t="n">
        <x:v>-0.0138772159</x:v>
      </x:c>
      <x:c r="H51" s="39" t="n">
        <x:v>-0.0152766615</x:v>
      </x:c>
      <x:c r="I51" s="39" t="n">
        <x:v>0.0098888076</x:v>
      </x:c>
      <x:c r="J51" s="39" t="n">
        <x:v>0.0046393071</x:v>
      </x:c>
      <x:c r="K51" s="39" t="n">
        <x:v>0.051008153</x:v>
      </x:c>
      <x:c r="L51" s="39" t="n">
        <x:v>0.0595779647</x:v>
      </x:c>
      <x:c r="M51" s="39" t="n">
        <x:v>0.0421351303</x:v>
      </x:c>
      <x:c r="N51" s="39" t="n">
        <x:v>0.1007821487</x:v>
      </x:c>
      <x:c r="O51" s="39" t="n">
        <x:v>0.045879326</x:v>
      </x:c>
      <x:c r="P51" s="39" t="n">
        <x:v>0.1908514226</x:v>
      </x:c>
      <x:c r="Q51" s="39" t="n">
        <x:v>0.1327055378</x:v>
      </x:c>
      <x:c r="R51" s="39" t="n">
        <x:v>-0.0366974994</x:v>
      </x:c>
      <x:c r="S51" s="39" t="n">
        <x:v>-0.0165349462</x:v>
      </x:c>
      <x:c r="T51" s="39" t="n">
        <x:v>0.3328408895</x:v>
      </x:c>
      <x:c r="U51" s="39" t="n">
        <x:v>0.0334159889</x:v>
      </x:c>
      <x:c r="V51" s="39" t="n">
        <x:v>0.0448776528</x:v>
      </x:c>
      <x:c r="W51" s="39" t="n">
        <x:v>0.0294475337</x:v>
      </x:c>
      <x:c r="X51" s="39" t="n">
        <x:v>0.1113915724</x:v>
      </x:c>
      <x:c r="Y51" s="39" t="n">
        <x:v>0.0325391108</x:v>
      </x:c>
      <x:c r="Z51" s="39" t="n">
        <x:v>0.0097517463</x:v>
      </x:c>
      <x:c r="AA51" s="39" t="n">
        <x:v>-0.1074087647</x:v>
      </x:c>
      <x:c r="AB51" s="39" t="n">
        <x:v>-0.1076676749</x:v>
      </x:c>
      <x:c r="AC51" s="39" t="n">
        <x:v>0.015912244</x:v>
      </x:c>
      <x:c r="AD51" s="39" t="n">
        <x:v>0.0753922783</x:v>
      </x:c>
      <x:c r="AE51" s="39" t="n">
        <x:v>0.0663978833</x:v>
      </x:c>
      <x:c r="AF51" s="39" t="n">
        <x:v>0.0178626292</x:v>
      </x:c>
      <x:c r="AG51" s="39" t="n">
        <x:v>0.0230392192</x:v>
      </x:c>
      <x:c r="AH51" s="39" t="n">
        <x:v>0.0740919731</x:v>
      </x:c>
      <x:c r="AI51" s="39" t="n">
        <x:v>0.0345602786</x:v>
      </x:c>
      <x:c r="AJ51" s="39" t="n">
        <x:v>0.0093091659</x:v>
      </x:c>
      <x:c r="AK51" s="39" t="n">
        <x:v>0.0805873158</x:v>
      </x:c>
      <x:c r="AL51" s="39" t="n">
        <x:v>-0.0179110895</x:v>
      </x:c>
      <x:c r="AM51" s="39" t="n">
        <x:v>0.0056056714</x:v>
      </x:c>
      <x:c r="AN51" s="39" t="n">
        <x:v>0.0963116802</x:v>
      </x:c>
      <x:c r="AO51" s="39" t="n">
        <x:v>0.0504684391</x:v>
      </x:c>
      <x:c r="AP51" s="39" t="n">
        <x:v>0.0183794135</x:v>
      </x:c>
      <x:c r="AQ51" s="39" t="n">
        <x:v>0.0436164418</x:v>
      </x:c>
      <x:c r="AR51" s="39" t="n">
        <x:v>0.0357026766</x:v>
      </x:c>
    </x:row>
    <x:row r="52" ht="19" customHeight="1">
      <x:c r="A52" s="40" t="d">
        <x:v>2024-01-29T00:00:00.000Z</x:v>
      </x:c>
      <x:c r="B52" s="39" t="n">
        <x:v>0.1493598033</x:v>
      </x:c>
      <x:c r="C52" s="39" t="n">
        <x:v>0.0815490459</x:v>
      </x:c>
      <x:c r="D52" s="39" t="n">
        <x:v>-0.0695704987</x:v>
      </x:c>
      <x:c r="E52" s="39" t="n">
        <x:v>-0.0340705619</x:v>
      </x:c>
      <x:c r="F52" s="39" t="n">
        <x:v>0.0689401822</x:v>
      </x:c>
      <x:c r="G52" s="39" t="n">
        <x:v>0.1195123765</x:v>
      </x:c>
      <x:c r="H52" s="39" t="n">
        <x:v>0.1747170598</x:v>
      </x:c>
      <x:c r="I52" s="39" t="n">
        <x:v>0.1727592495</x:v>
      </x:c>
      <x:c r="J52" s="39" t="n">
        <x:v>0.0897981558</x:v>
      </x:c>
      <x:c r="K52" s="39" t="n">
        <x:v>0.076878274</x:v>
      </x:c>
      <x:c r="L52" s="39" t="n">
        <x:v>-0.0609674662</x:v>
      </x:c>
      <x:c r="M52" s="39" t="n">
        <x:v>-0.100805943</x:v>
      </x:c>
      <x:c r="N52" s="39" t="n">
        <x:v>-0.0102151968</x:v>
      </x:c>
      <x:c r="O52" s="39" t="n">
        <x:v>0.1561784271</x:v>
      </x:c>
      <x:c r="P52" s="39" t="n">
        <x:v>0.0776026997</x:v>
      </x:c>
      <x:c r="Q52" s="39" t="n">
        <x:v>0.0117049793</x:v>
      </x:c>
      <x:c r="R52" s="39" t="n">
        <x:v>0.0377336791</x:v>
      </x:c>
      <x:c r="S52" s="39" t="n">
        <x:v>0.0834100349</x:v>
      </x:c>
      <x:c r="T52" s="39" t="n">
        <x:v>-0.1359850821</x:v>
      </x:c>
      <x:c r="U52" s="39" t="n">
        <x:v>0.053047538</x:v>
      </x:c>
      <x:c r="V52" s="39" t="n">
        <x:v>0.1818438844</x:v>
      </x:c>
      <x:c r="W52" s="39" t="n">
        <x:v>0.0483905239</x:v>
      </x:c>
      <x:c r="X52" s="39" t="n">
        <x:v>0.0370914546</x:v>
      </x:c>
      <x:c r="Y52" s="39" t="n">
        <x:v>-0.1653516673</x:v>
      </x:c>
      <x:c r="Z52" s="39" t="n">
        <x:v>0.1142191277</x:v>
      </x:c>
      <x:c r="AA52" s="39" t="n">
        <x:v>-0.0063997834</x:v>
      </x:c>
      <x:c r="AB52" s="39" t="n">
        <x:v>-0.0170336255</x:v>
      </x:c>
      <x:c r="AC52" s="39" t="n">
        <x:v>0.0792193342</x:v>
      </x:c>
      <x:c r="AD52" s="39" t="n">
        <x:v>0.0251446143</x:v>
      </x:c>
      <x:c r="AE52" s="39" t="n">
        <x:v>-0.1124698408</x:v>
      </x:c>
      <x:c r="AF52" s="39" t="n">
        <x:v>-0.1802294067</x:v>
      </x:c>
      <x:c r="AG52" s="39" t="n">
        <x:v>0.0638957211</x:v>
      </x:c>
      <x:c r="AH52" s="39" t="n">
        <x:v>0.2583539626</x:v>
      </x:c>
      <x:c r="AI52" s="39" t="n">
        <x:v>0.0794396391</x:v>
      </x:c>
      <x:c r="AJ52" s="39" t="n">
        <x:v>-0.0069547531</x:v>
      </x:c>
      <x:c r="AK52" s="39" t="n">
        <x:v>0.0414827863</x:v>
      </x:c>
      <x:c r="AL52" s="39" t="n">
        <x:v>0.1161909925</x:v>
      </x:c>
      <x:c r="AM52" s="39" t="n">
        <x:v>0.0497440726</x:v>
      </x:c>
      <x:c r="AN52" s="39" t="n">
        <x:v>0.083015994</x:v>
      </x:c>
      <x:c r="AO52" s="39" t="n">
        <x:v>0.0424559912</x:v>
      </x:c>
      <x:c r="AP52" s="39" t="n">
        <x:v>0.0150535744</x:v>
      </x:c>
      <x:c r="AQ52" s="39" t="n">
        <x:v>-0.0295901973</x:v>
      </x:c>
      <x:c r="AR52" s="39" t="n">
        <x:v>0.0692158813</x:v>
      </x:c>
    </x:row>
    <x:row r="53" ht="19" customHeight="1">
      <x:c r="A53" s="40" t="d">
        <x:v>2024-02-26T00:00:00.000Z</x:v>
      </x:c>
      <x:c r="B53" s="39" t="n">
        <x:v>0.2126232411</x:v>
      </x:c>
      <x:c r="C53" s="39" t="n">
        <x:v>0.1609037476</x:v>
      </x:c>
      <x:c r="D53" s="39" t="n">
        <x:v>0.0941091895</x:v>
      </x:c>
      <x:c r="E53" s="39" t="n">
        <x:v>0.010878826</x:v>
      </x:c>
      <x:c r="F53" s="39" t="n">
        <x:v>0.1497751613</x:v>
      </x:c>
      <x:c r="G53" s="39" t="n">
        <x:v>0.0842842725</x:v>
      </x:c>
      <x:c r="H53" s="39" t="n">
        <x:v>0.038634607</x:v>
      </x:c>
      <x:c r="I53" s="39" t="n">
        <x:v>0.323898729</x:v>
      </x:c>
      <x:c r="J53" s="39" t="n">
        <x:v>0.1102116844</x:v>
      </x:c>
      <x:c r="K53" s="39" t="n">
        <x:v>0.0407493017</x:v>
      </x:c>
      <x:c r="L53" s="39" t="n">
        <x:v>0.0862345196</x:v>
      </x:c>
      <x:c r="M53" s="39" t="n">
        <x:v>0.0255447762</x:v>
      </x:c>
      <x:c r="N53" s="39" t="n">
        <x:v>-0.0907818911</x:v>
      </x:c>
      <x:c r="O53" s="39" t="n">
        <x:v>0.105855349</x:v>
      </x:c>
      <x:c r="P53" s="39" t="n">
        <x:v>0.091730234</x:v>
      </x:c>
      <x:c r="Q53" s="39" t="n">
        <x:v>0.0757164763</x:v>
      </x:c>
      <x:c r="R53" s="39" t="n">
        <x:v>0.0627438087</x:v>
      </x:c>
      <x:c r="S53" s="39" t="n">
        <x:v>0.2001419728</x:v>
      </x:c>
      <x:c r="T53" s="39" t="n">
        <x:v>-0.0267314408</x:v>
      </x:c>
      <x:c r="U53" s="39" t="n">
        <x:v>0.2121625224</x:v>
      </x:c>
      <x:c r="V53" s="39" t="n">
        <x:v>0.0975274728</x:v>
      </x:c>
      <x:c r="W53" s="39" t="n">
        <x:v>-0.0549757039</x:v>
      </x:c>
      <x:c r="X53" s="39" t="n">
        <x:v>0.1007710592</x:v>
      </x:c>
      <x:c r="Y53" s="39" t="n">
        <x:v>-0.078565411</x:v>
      </x:c>
      <x:c r="Z53" s="39" t="n">
        <x:v>0.0408758442</x:v>
      </x:c>
      <x:c r="AA53" s="39" t="n">
        <x:v>0.0320614389</x:v>
      </x:c>
      <x:c r="AB53" s="39" t="n">
        <x:v>-0.2289268521</x:v>
      </x:c>
      <x:c r="AC53" s="39" t="n">
        <x:v>0.0050585847</x:v>
      </x:c>
      <x:c r="AD53" s="39" t="n">
        <x:v>0.0546775343</x:v>
      </x:c>
      <x:c r="AE53" s="39" t="n">
        <x:v>0.010217095</x:v>
      </x:c>
      <x:c r="AF53" s="39" t="n">
        <x:v>-0.0483423088</x:v>
      </x:c>
      <x:c r="AG53" s="39" t="n">
        <x:v>0.0949253071</x:v>
      </x:c>
      <x:c r="AH53" s="39" t="n">
        <x:v>0.1387607775</x:v>
      </x:c>
      <x:c r="AI53" s="39" t="n">
        <x:v>0.168753042</x:v>
      </x:c>
      <x:c r="AJ53" s="39" t="n">
        <x:v>0.0627953708</x:v>
      </x:c>
      <x:c r="AK53" s="39" t="n">
        <x:v>0.0029669086</x:v>
      </x:c>
      <x:c r="AL53" s="39" t="n">
        <x:v>0.0128696385</x:v>
      </x:c>
      <x:c r="AM53" s="39" t="n">
        <x:v>-0.0395497159</x:v>
      </x:c>
      <x:c r="AN53" s="39" t="n">
        <x:v>0.0577932485</x:v>
      </x:c>
      <x:c r="AO53" s="39" t="n">
        <x:v>0.0774536267</x:v>
      </x:c>
      <x:c r="AP53" s="39" t="n">
        <x:v>-0.0177447593</x:v>
      </x:c>
      <x:c r="AQ53" s="39" t="n">
        <x:v>0.0444488204</x:v>
      </x:c>
      <x:c r="AR53" s="39" t="n">
        <x:v>0.0432605499</x:v>
      </x:c>
    </x:row>
    <x:row r="54" ht="19" customHeight="1">
      <x:c r="A54" s="40" t="d">
        <x:v>2024-03-25T00:00:00.000Z</x:v>
      </x:c>
      <x:c r="B54" s="39" t="n">
        <x:v>0.2660690986</x:v>
      </x:c>
      <x:c r="C54" s="39" t="n">
        <x:v>0.1044652682</x:v>
      </x:c>
      <x:c r="D54" s="39" t="n">
        <x:v>0.0138807898</x:v>
      </x:c>
      <x:c r="E54" s="39" t="n">
        <x:v>0.0540811076</x:v>
      </x:c>
      <x:c r="F54" s="39" t="n">
        <x:v>0.0951137921</x:v>
      </x:c>
      <x:c r="G54" s="39" t="n">
        <x:v>0.0833895269</x:v>
      </x:c>
      <x:c r="H54" s="39" t="n">
        <x:v>0.0128868705</x:v>
      </x:c>
      <x:c r="I54" s="39" t="n">
        <x:v>0.0119544127</x:v>
      </x:c>
      <x:c r="J54" s="39" t="n">
        <x:v>-0.0375505302</x:v>
      </x:c>
      <x:c r="K54" s="39" t="n">
        <x:v>0.1872518943</x:v>
      </x:c>
      <x:c r="L54" s="39" t="n">
        <x:v>0.0091668954</x:v>
      </x:c>
      <x:c r="M54" s="39" t="n">
        <x:v>0.0525113517</x:v>
      </x:c>
      <x:c r="N54" s="39" t="n">
        <x:v>-0.0255134646</x:v>
      </x:c>
      <x:c r="O54" s="39" t="n">
        <x:v>0.063617344</x:v>
      </x:c>
      <x:c r="P54" s="39" t="n">
        <x:v>-0.0091598015</x:v>
      </x:c>
      <x:c r="Q54" s="39" t="n">
        <x:v>-0.0061462317</x:v>
      </x:c>
      <x:c r="R54" s="39" t="n">
        <x:v>-0.0136878189</x:v>
      </x:c>
      <x:c r="S54" s="39" t="n">
        <x:v>-0.0336029149</x:v>
      </x:c>
      <x:c r="T54" s="39" t="n">
        <x:v>0.1221613692</x:v>
      </x:c>
      <x:c r="U54" s="39" t="n">
        <x:v>-0.0046736926</x:v>
      </x:c>
      <x:c r="V54" s="39" t="n">
        <x:v>-0.0209471941</x:v>
      </x:c>
      <x:c r="W54" s="39" t="n">
        <x:v>0.0136591512</x:v>
      </x:c>
      <x:c r="X54" s="39" t="n">
        <x:v>0.2302692484</x:v>
      </x:c>
      <x:c r="Y54" s="39" t="n">
        <x:v>0.131642665</x:v>
      </x:c>
      <x:c r="Z54" s="39" t="n">
        <x:v>0.1030258522</x:v>
      </x:c>
      <x:c r="AA54" s="39" t="n">
        <x:v>0.0561494855</x:v>
      </x:c>
      <x:c r="AB54" s="39" t="n">
        <x:v>0.0229190178</x:v>
      </x:c>
      <x:c r="AC54" s="39" t="n">
        <x:v>0.0226543714</x:v>
      </x:c>
      <x:c r="AD54" s="39" t="n">
        <x:v>0.0690379267</x:v>
      </x:c>
      <x:c r="AE54" s="39" t="n">
        <x:v>0.1474532937</x:v>
      </x:c>
      <x:c r="AF54" s="39" t="n">
        <x:v>-0.0381663174</x:v>
      </x:c>
      <x:c r="AG54" s="39" t="n">
        <x:v>-0.0036273133</x:v>
      </x:c>
      <x:c r="AH54" s="39" t="n">
        <x:v>-0.1238254811</x:v>
      </x:c>
      <x:c r="AI54" s="39" t="n">
        <x:v>-0.0057047625</x:v>
      </x:c>
      <x:c r="AJ54" s="39" t="n">
        <x:v>0.0082745514</x:v>
      </x:c>
      <x:c r="AK54" s="39" t="n">
        <x:v>-0.0060265583</x:v>
      </x:c>
      <x:c r="AL54" s="39" t="n">
        <x:v>0.013355194</x:v>
      </x:c>
      <x:c r="AM54" s="39" t="n">
        <x:v>0.1024935222</x:v>
      </x:c>
      <x:c r="AN54" s="39" t="n">
        <x:v>-0.0242668657</x:v>
      </x:c>
      <x:c r="AO54" s="39" t="n">
        <x:v>0.0040111787</x:v>
      </x:c>
      <x:c r="AP54" s="39" t="n">
        <x:v>0.0377681372</x:v>
      </x:c>
      <x:c r="AQ54" s="39" t="n">
        <x:v>-0.0262506287</x:v>
      </x:c>
      <x:c r="AR54" s="39" t="n">
        <x:v>0.034667994</x:v>
      </x:c>
    </x:row>
    <x:row r="55" ht="19" customHeight="1">
      <x:c r="A55" s="40" t="d">
        <x:v>2024-04-22T00:00:00.000Z</x:v>
      </x:c>
      <x:c r="B55" s="39" t="n">
        <x:v>0.0464974329</x:v>
      </x:c>
      <x:c r="C55" s="39" t="n">
        <x:v>0.0426716835</x:v>
      </x:c>
      <x:c r="D55" s="39" t="n">
        <x:v>-0.0106364089</x:v>
      </x:c>
      <x:c r="E55" s="39" t="n">
        <x:v>0.0083854272</x:v>
      </x:c>
      <x:c r="F55" s="39" t="n">
        <x:v>-0.0889315117</x:v>
      </x:c>
      <x:c r="G55" s="39" t="n">
        <x:v>0.0998416355</x:v>
      </x:c>
      <x:c r="H55" s="39" t="n">
        <x:v>-0.0045807693</x:v>
      </x:c>
      <x:c r="I55" s="39" t="n">
        <x:v>-0.0550176325</x:v>
      </x:c>
      <x:c r="J55" s="39" t="n">
        <x:v>-0.0849745459</x:v>
      </x:c>
      <x:c r="K55" s="39" t="n">
        <x:v>-0.0315346227</x:v>
      </x:c>
      <x:c r="L55" s="39" t="n">
        <x:v>-0.0426811382</x:v>
      </x:c>
      <x:c r="M55" s="39" t="n">
        <x:v>-0.0357404415</x:v>
      </x:c>
      <x:c r="N55" s="39" t="n">
        <x:v>-0.0131729999</x:v>
      </x:c>
      <x:c r="O55" s="39" t="n">
        <x:v>0.048502243</x:v>
      </x:c>
      <x:c r="P55" s="39" t="n">
        <x:v>-0.1155267545</x:v>
      </x:c>
      <x:c r="Q55" s="39" t="n">
        <x:v>-0.1415451613</x:v>
      </x:c>
      <x:c r="R55" s="39" t="n">
        <x:v>-0.0221452522</x:v>
      </x:c>
      <x:c r="S55" s="39" t="n">
        <x:v>-0.103615242</x:v>
      </x:c>
      <x:c r="T55" s="39" t="n">
        <x:v>0.0142613148</x:v>
      </x:c>
      <x:c r="U55" s="39" t="n">
        <x:v>-0.0162447513</x:v>
      </x:c>
      <x:c r="V55" s="39" t="n">
        <x:v>-0.0856439151</x:v>
      </x:c>
      <x:c r="W55" s="39" t="n">
        <x:v>-0.1187677588</x:v>
      </x:c>
      <x:c r="X55" s="39" t="n">
        <x:v>-0.0284376356</x:v>
      </x:c>
      <x:c r="Y55" s="39" t="n">
        <x:v>0.1907658647</x:v>
      </x:c>
      <x:c r="Z55" s="39" t="n">
        <x:v>0.0068455064</x:v>
      </x:c>
      <x:c r="AA55" s="39" t="n">
        <x:v>0.7703346173</x:v>
      </x:c>
      <x:c r="AB55" s="39" t="n">
        <x:v>-0.1480433739</x:v>
      </x:c>
      <x:c r="AC55" s="39" t="n">
        <x:v>0.0005445917</x:v>
      </x:c>
      <x:c r="AD55" s="39" t="n">
        <x:v>-0.0407873906</x:v>
      </x:c>
      <x:c r="AE55" s="39" t="n">
        <x:v>-0.0348193352</x:v>
      </x:c>
      <x:c r="AF55" s="39" t="n">
        <x:v>-0.1554971395</x:v>
      </x:c>
      <x:c r="AG55" s="39" t="n">
        <x:v>-0.0553601665</x:v>
      </x:c>
      <x:c r="AH55" s="39" t="n">
        <x:v>-0.1485071315</x:v>
      </x:c>
      <x:c r="AI55" s="39" t="n">
        <x:v>-0.0638290467</x:v>
      </x:c>
      <x:c r="AJ55" s="39" t="n">
        <x:v>0.0103996709</x:v>
      </x:c>
      <x:c r="AK55" s="39" t="n">
        <x:v>0.0465332262</x:v>
      </x:c>
      <x:c r="AL55" s="39" t="n">
        <x:v>-0.0377833523</x:v>
      </x:c>
      <x:c r="AM55" s="39" t="n">
        <x:v>0.1414578645</x:v>
      </x:c>
      <x:c r="AN55" s="39" t="n">
        <x:v>-0.0033811469</x:v>
      </x:c>
      <x:c r="AO55" s="39" t="n">
        <x:v>-0.1466802957</x:v>
      </x:c>
      <x:c r="AP55" s="39" t="n">
        <x:v>0.0098852966</x:v>
      </x:c>
      <x:c r="AQ55" s="39" t="n">
        <x:v>-0.0859588803</x:v>
      </x:c>
      <x:c r="AR55" s="39" t="n">
        <x:v>-0.0485941136</x:v>
      </x:c>
    </x:row>
    <x:row r="56" ht="19" customHeight="1">
      <x:c r="A56" s="40" t="d">
        <x:v>2024-05-20T00:00:00.000Z</x:v>
      </x:c>
      <x:c r="B56" s="39" t="n">
        <x:v>0.3736769925</x:v>
      </x:c>
      <x:c r="C56" s="39" t="n">
        <x:v>0.0322457287</x:v>
      </x:c>
      <x:c r="D56" s="39" t="n">
        <x:v>0.0576081839</x:v>
      </x:c>
      <x:c r="E56" s="39" t="n">
        <x:v>0.038660798</x:v>
      </x:c>
      <x:c r="F56" s="39" t="n">
        <x:v>-0.1126479602</x:v>
      </x:c>
      <x:c r="G56" s="39" t="n">
        <x:v>-0.0122693343</x:v>
      </x:c>
      <x:c r="H56" s="39" t="n">
        <x:v>0.0069004483</x:v>
      </x:c>
      <x:c r="I56" s="39" t="n">
        <x:v>0.138840749</x:v>
      </x:c>
      <x:c r="J56" s="39" t="n">
        <x:v>0.0995794635</x:v>
      </x:c>
      <x:c r="K56" s="39" t="n">
        <x:v>-0.0226628078</x:v>
      </x:c>
      <x:c r="L56" s="39" t="n">
        <x:v>-0.0273578483</x:v>
      </x:c>
      <x:c r="M56" s="39" t="n">
        <x:v>0.1247713951</x:v>
      </x:c>
      <x:c r="N56" s="39" t="n">
        <x:v>-0.018429839</x:v>
      </x:c>
      <x:c r="O56" s="39" t="n">
        <x:v>0.0519501237</x:v>
      </x:c>
      <x:c r="P56" s="39" t="n">
        <x:v>-0.0453721984</x:v>
      </x:c>
      <x:c r="Q56" s="39" t="n">
        <x:v>0.0846565247</x:v>
      </x:c>
      <x:c r="R56" s="39" t="n">
        <x:v>0.0205671709</x:v>
      </x:c>
      <x:c r="S56" s="39" t="n">
        <x:v>-0.1879557511</x:v>
      </x:c>
      <x:c r="T56" s="39" t="n">
        <x:v>0.477316092</x:v>
      </x:c>
      <x:c r="U56" s="39" t="n">
        <x:v>-0.0837873488</x:v>
      </x:c>
      <x:c r="V56" s="39" t="n">
        <x:v>0.1560556047</x:v>
      </x:c>
      <x:c r="W56" s="39" t="n">
        <x:v>-0.0008560548</x:v>
      </x:c>
      <x:c r="X56" s="39" t="n">
        <x:v>0.1321071794</x:v>
      </x:c>
      <x:c r="Y56" s="39" t="n">
        <x:v>-0.0194842118</x:v>
      </x:c>
      <x:c r="Z56" s="39" t="n">
        <x:v>-0.0220102734</x:v>
      </x:c>
      <x:c r="AA56" s="39" t="n">
        <x:v>-0.0600029241</x:v>
      </x:c>
      <x:c r="AB56" s="39" t="n">
        <x:v>-0.0051712307</x:v>
      </x:c>
      <x:c r="AC56" s="39" t="n">
        <x:v>0.0272210292</x:v>
      </x:c>
      <x:c r="AD56" s="39" t="n">
        <x:v>-0.042294986</x:v>
      </x:c>
      <x:c r="AE56" s="39" t="n">
        <x:v>0.0767250558</x:v>
      </x:c>
      <x:c r="AF56" s="39" t="n">
        <x:v>0.0470151123</x:v>
      </x:c>
      <x:c r="AG56" s="39" t="n">
        <x:v>-0.0857700076</x:v>
      </x:c>
      <x:c r="AH56" s="39" t="n">
        <x:v>0.0609172445</x:v>
      </x:c>
      <x:c r="AI56" s="39" t="n">
        <x:v>0.1075201435</x:v>
      </x:c>
      <x:c r="AJ56" s="39" t="n">
        <x:v>0.0804302776</x:v>
      </x:c>
      <x:c r="AK56" s="39" t="n">
        <x:v>0.0586969238</x:v>
      </x:c>
      <x:c r="AL56" s="39" t="n">
        <x:v>0.0647182623</x:v>
      </x:c>
      <x:c r="AM56" s="39" t="n">
        <x:v>0.0192830449</x:v>
      </x:c>
      <x:c r="AN56" s="39" t="n">
        <x:v>0.1152906041</x:v>
      </x:c>
      <x:c r="AO56" s="39" t="n">
        <x:v>-0.0333022724</x:v>
      </x:c>
      <x:c r="AP56" s="39" t="n">
        <x:v>0.0046238844</x:v>
      </x:c>
      <x:c r="AQ56" s="39" t="n">
        <x:v>0.0150899549</x:v>
      </x:c>
      <x:c r="AR56" s="39" t="n">
        <x:v>0.0144351903</x:v>
      </x:c>
    </x:row>
    <x:row r="57" ht="19" customHeight="1">
      <x:c r="A57" s="40" t="d">
        <x:v>2024-06-17T00:00:00.000Z</x:v>
      </x:c>
      <x:c r="B57" s="39" t="n">
        <x:v>-0.1774972405</x:v>
      </x:c>
      <x:c r="C57" s="39" t="n">
        <x:v>-0.0425999075</x:v>
      </x:c>
      <x:c r="D57" s="39" t="n">
        <x:v>-0.0243458011</x:v>
      </x:c>
      <x:c r="E57" s="39" t="n">
        <x:v>-0.0345786786</x:v>
      </x:c>
      <x:c r="F57" s="39" t="n">
        <x:v>0.0055788157</x:v>
      </x:c>
      <x:c r="G57" s="39" t="n">
        <x:v>0.0206489598</x:v>
      </x:c>
      <x:c r="H57" s="39" t="n">
        <x:v>0.0502786594</x:v>
      </x:c>
      <x:c r="I57" s="39" t="n">
        <x:v>-0.0881848248</x:v>
      </x:c>
      <x:c r="J57" s="39" t="n">
        <x:v>0.1080418907</x:v>
      </x:c>
      <x:c r="K57" s="39" t="n">
        <x:v>-0.0795153878</x:v>
      </x:c>
      <x:c r="L57" s="39" t="n">
        <x:v>-0.0652171628</x:v>
      </x:c>
      <x:c r="M57" s="39" t="n">
        <x:v>-0.14755019</x:v>
      </x:c>
      <x:c r="N57" s="39" t="n">
        <x:v>0.0013699584</x:v>
      </x:c>
      <x:c r="O57" s="39" t="n">
        <x:v>0.014229149</x:v>
      </x:c>
      <x:c r="P57" s="39" t="n">
        <x:v>-0.0221240786</x:v>
      </x:c>
      <x:c r="Q57" s="39" t="n">
        <x:v>-0.0742634169</x:v>
      </x:c>
      <x:c r="R57" s="39" t="n">
        <x:v>-0.1051349246</x:v>
      </x:c>
      <x:c r="S57" s="39" t="n">
        <x:v>0.0550264692</x:v>
      </x:c>
      <x:c r="T57" s="39" t="n">
        <x:v>-0.2480755174</x:v>
      </x:c>
      <x:c r="U57" s="39" t="n">
        <x:v>0.0213603593</x:v>
      </x:c>
      <x:c r="V57" s="39" t="n">
        <x:v>0.065943326</x:v>
      </x:c>
      <x:c r="W57" s="39" t="n">
        <x:v>-0.0017387066</x:v>
      </x:c>
      <x:c r="X57" s="39" t="n">
        <x:v>0.0834131341</x:v>
      </x:c>
      <x:c r="Y57" s="39" t="n">
        <x:v>0.0140982018</x:v>
      </x:c>
      <x:c r="Z57" s="39" t="n">
        <x:v>0.0285280319</x:v>
      </x:c>
      <x:c r="AA57" s="39" t="n">
        <x:v>0.0356350302</x:v>
      </x:c>
      <x:c r="AB57" s="39" t="n">
        <x:v>-0.084870529</x:v>
      </x:c>
      <x:c r="AC57" s="39" t="n">
        <x:v>0.0196033496</x:v>
      </x:c>
      <x:c r="AD57" s="39" t="n">
        <x:v>-0.0297598191</x:v>
      </x:c>
      <x:c r="AE57" s="39" t="n">
        <x:v>0.1493465005</x:v>
      </x:c>
      <x:c r="AF57" s="39" t="n">
        <x:v>0.0129686511</x:v>
      </x:c>
      <x:c r="AG57" s="39" t="n">
        <x:v>-0.0264237956</x:v>
      </x:c>
      <x:c r="AH57" s="39" t="n">
        <x:v>-0.0349534401</x:v>
      </x:c>
      <x:c r="AI57" s="39" t="n">
        <x:v>0.1009525119</x:v>
      </x:c>
      <x:c r="AJ57" s="39" t="n">
        <x:v>0.0159272682</x:v>
      </x:c>
      <x:c r="AK57" s="39" t="n">
        <x:v>-0.0503957729</x:v>
      </x:c>
      <x:c r="AL57" s="39" t="n">
        <x:v>0.0497722173</x:v>
      </x:c>
      <x:c r="AM57" s="39" t="n">
        <x:v>0.0304842865</x:v>
      </x:c>
      <x:c r="AN57" s="39" t="n">
        <x:v>0.0519414086</x:v>
      </x:c>
      <x:c r="AO57" s="39" t="n">
        <x:v>0.1084277952</x:v>
      </x:c>
      <x:c r="AP57" s="39" t="n">
        <x:v>0.0223992991</x:v>
      </x:c>
      <x:c r="AQ57" s="39" t="n">
        <x:v>0.0134342839</x:v>
      </x:c>
      <x:c r="AR57" s="39" t="n">
        <x:v>0.0060369965</x:v>
      </x:c>
    </x:row>
    <x:row r="58" ht="19" customHeight="1">
      <x:c r="A58" s="40" t="d">
        <x:v>2024-07-15T00:00:00.000Z</x:v>
      </x:c>
      <x:c r="B58" s="39" t="n">
        <x:v>-0.1441872539</x:v>
      </x:c>
      <x:c r="C58" s="39" t="n">
        <x:v>0.1381867874</x:v>
      </x:c>
      <x:c r="D58" s="39" t="n">
        <x:v>0.0765317938</x:v>
      </x:c>
      <x:c r="E58" s="39" t="n">
        <x:v>0.0488808641</x:v>
      </x:c>
      <x:c r="F58" s="39" t="n">
        <x:v>-0.0694653429</x:v>
      </x:c>
      <x:c r="G58" s="39" t="n">
        <x:v>-0.2056739785</x:v>
      </x:c>
      <x:c r="H58" s="39" t="n">
        <x:v>-0.0361872894</x:v>
      </x:c>
      <x:c r="I58" s="39" t="n">
        <x:v>-0.0438836679</x:v>
      </x:c>
      <x:c r="J58" s="39" t="n">
        <x:v>-0.0049516625</x:v>
      </x:c>
      <x:c r="K58" s="39" t="n">
        <x:v>-0.0142544013</x:v>
      </x:c>
      <x:c r="L58" s="39" t="n">
        <x:v>-0.021409393</x:v>
      </x:c>
      <x:c r="M58" s="39" t="n">
        <x:v>-0.0112361014</x:v>
      </x:c>
      <x:c r="N58" s="39" t="n">
        <x:v>0.048250689</x:v>
      </x:c>
      <x:c r="O58" s="39" t="n">
        <x:v>-0.0925589752</x:v>
      </x:c>
      <x:c r="P58" s="39" t="n">
        <x:v>0.0633471665</x:v>
      </x:c>
      <x:c r="Q58" s="39" t="n">
        <x:v>-0.0353072348</x:v>
      </x:c>
      <x:c r="R58" s="39" t="n">
        <x:v>0.0308270724</x:v>
      </x:c>
      <x:c r="S58" s="39" t="n">
        <x:v>0.0104072234</x:v>
      </x:c>
      <x:c r="T58" s="39" t="n">
        <x:v>-0.1091090521</x:v>
      </x:c>
      <x:c r="U58" s="39" t="n">
        <x:v>0.0653274714</x:v>
      </x:c>
      <x:c r="V58" s="39" t="n">
        <x:v>-0.0905931387</x:v>
      </x:c>
      <x:c r="W58" s="39" t="n">
        <x:v>0.0553387752</x:v>
      </x:c>
      <x:c r="X58" s="39" t="n">
        <x:v>-0.2252238926</x:v>
      </x:c>
      <x:c r="Y58" s="39" t="n">
        <x:v>0.1203151329</x:v>
      </x:c>
      <x:c r="Z58" s="39" t="n">
        <x:v>0.0542114729</x:v>
      </x:c>
      <x:c r="AA58" s="39" t="n">
        <x:v>-0.0700290779</x:v>
      </x:c>
      <x:c r="AB58" s="39" t="n">
        <x:v>0.2830942807</x:v>
      </x:c>
      <x:c r="AC58" s="39" t="n">
        <x:v>0.0047669604</x:v>
      </x:c>
      <x:c r="AD58" s="39" t="n">
        <x:v>0.1880378843</x:v>
      </x:c>
      <x:c r="AE58" s="39" t="n">
        <x:v>-0.0240579117</x:v>
      </x:c>
      <x:c r="AF58" s="39" t="n">
        <x:v>0.0197620221</x:v>
      </x:c>
      <x:c r="AG58" s="39" t="n">
        <x:v>0.0641244756</x:v>
      </x:c>
      <x:c r="AH58" s="39" t="n">
        <x:v>-0.069851317</x:v>
      </x:c>
      <x:c r="AI58" s="39" t="n">
        <x:v>-0.0343325686</x:v>
      </x:c>
      <x:c r="AJ58" s="39" t="n">
        <x:v>0.0549455621</x:v>
      </x:c>
      <x:c r="AK58" s="39" t="n">
        <x:v>-0.0092642756</x:v>
      </x:c>
      <x:c r="AL58" s="39" t="n">
        <x:v>-0.0323391886</x:v>
      </x:c>
      <x:c r="AM58" s="39" t="n">
        <x:v>-0.0124806611</x:v>
      </x:c>
      <x:c r="AN58" s="39" t="n">
        <x:v>-0.0136638752</x:v>
      </x:c>
      <x:c r="AO58" s="39" t="n">
        <x:v>0.023795895</x:v>
      </x:c>
      <x:c r="AP58" s="39" t="n">
        <x:v>0.0445483571</x:v>
      </x:c>
      <x:c r="AQ58" s="39" t="n">
        <x:v>0.0443157468</x:v>
      </x:c>
      <x:c r="AR58" s="39" t="n">
        <x:v>0.066658206</x:v>
      </x:c>
    </x:row>
    <x:row r="59" ht="19" customHeight="1">
      <x:c r="A59" s="40" t="d">
        <x:v>2024-08-12T00:00:00.000Z</x:v>
      </x:c>
      <x:c r="B59" s="39" t="n">
        <x:v>0.0424356674</x:v>
      </x:c>
      <x:c r="C59" s="39" t="n">
        <x:v>0.036792312</x:v>
      </x:c>
      <x:c r="D59" s="39" t="n">
        <x:v>0.0562501133</x:v>
      </x:c>
      <x:c r="E59" s="39" t="n">
        <x:v>0.082778378</x:v>
      </x:c>
      <x:c r="F59" s="39" t="n">
        <x:v>-0.0799297605</x:v>
      </x:c>
      <x:c r="G59" s="39" t="n">
        <x:v>-0.0231720791</x:v>
      </x:c>
      <x:c r="H59" s="39" t="n">
        <x:v>-0.0386911931</x:v>
      </x:c>
      <x:c r="I59" s="39" t="n">
        <x:v>0.0964291007</x:v>
      </x:c>
      <x:c r="J59" s="39" t="n">
        <x:v>-0.0101102506</x:v>
      </x:c>
      <x:c r="K59" s="39" t="n">
        <x:v>0.0190924039</x:v>
      </x:c>
      <x:c r="L59" s="39" t="n">
        <x:v>0.1460713242</x:v>
      </x:c>
      <x:c r="M59" s="39" t="n">
        <x:v>-0.0885121476</x:v>
      </x:c>
      <x:c r="N59" s="39" t="n">
        <x:v>0.0237722918</x:v>
      </x:c>
      <x:c r="O59" s="39" t="n">
        <x:v>-0.0990091212</x:v>
      </x:c>
      <x:c r="P59" s="39" t="n">
        <x:v>0.0304098597</x:v>
      </x:c>
      <x:c r="Q59" s="39" t="n">
        <x:v>0.1545405061</x:v>
      </x:c>
      <x:c r="R59" s="39" t="n">
        <x:v>0.0452180847</x:v>
      </x:c>
      <x:c r="S59" s="39" t="n">
        <x:v>0.053039465</x:v>
      </x:c>
      <x:c r="T59" s="39" t="n">
        <x:v>-0.3820943538</x:v>
      </x:c>
      <x:c r="U59" s="39" t="n">
        <x:v>0.2202334351</x:v>
      </x:c>
      <x:c r="V59" s="39" t="n">
        <x:v>0.0715412309</x:v>
      </x:c>
      <x:c r="W59" s="39" t="n">
        <x:v>-0.0132498801</x:v>
      </x:c>
      <x:c r="X59" s="39" t="n">
        <x:v>-0.0647821626</x:v>
      </x:c>
      <x:c r="Y59" s="39" t="n">
        <x:v>0.0758343427</x:v>
      </x:c>
      <x:c r="Z59" s="39" t="n">
        <x:v>0.0833961913</x:v>
      </x:c>
      <x:c r="AA59" s="39" t="n">
        <x:v>-0.1252097225</x:v>
      </x:c>
      <x:c r="AB59" s="39" t="n">
        <x:v>0.3226516972</x:v>
      </x:c>
      <x:c r="AC59" s="39" t="n">
        <x:v>-0.0004784203</x:v>
      </x:c>
      <x:c r="AD59" s="39" t="n">
        <x:v>-0.3097397541</x:v>
      </x:c>
      <x:c r="AE59" s="39" t="n">
        <x:v>-0.1062110854</x:v>
      </x:c>
      <x:c r="AF59" s="39" t="n">
        <x:v>0.0020425906</x:v>
      </x:c>
      <x:c r="AG59" s="39" t="n">
        <x:v>0.0307405952</x:v>
      </x:c>
      <x:c r="AH59" s="39" t="n">
        <x:v>-0.0230999894</x:v>
      </x:c>
      <x:c r="AI59" s="39" t="n">
        <x:v>0.0850387321</x:v>
      </x:c>
      <x:c r="AJ59" s="39" t="n">
        <x:v>0.0940892737</x:v>
      </x:c>
      <x:c r="AK59" s="39" t="n">
        <x:v>0.1263898277</x:v>
      </x:c>
      <x:c r="AL59" s="39" t="n">
        <x:v>-0.0479557355</x:v>
      </x:c>
      <x:c r="AM59" s="39" t="n">
        <x:v>-0.0991358257</x:v>
      </x:c>
      <x:c r="AN59" s="39" t="n">
        <x:v>0.0452486747</x:v>
      </x:c>
      <x:c r="AO59" s="39" t="n">
        <x:v>-0.0041138645</x:v>
      </x:c>
      <x:c r="AP59" s="39" t="n">
        <x:v>0.0664293378</x:v>
      </x:c>
      <x:c r="AQ59" s="39" t="n">
        <x:v>0.0343560634</x:v>
      </x:c>
      <x:c r="AR59" s="39" t="n">
        <x:v>0.0262233043</x:v>
      </x:c>
    </x:row>
    <x:row r="60" ht="19" customHeight="1">
      <x:c r="A60" s="40" t="d">
        <x:v>2024-09-09T00:00:00.000Z</x:v>
      </x:c>
      <x:c r="B60" s="39" t="n">
        <x:v>0.0875815923</x:v>
      </x:c>
      <x:c r="C60" s="39" t="n">
        <x:v>-0.0572900424</x:v>
      </x:c>
      <x:c r="D60" s="39" t="n">
        <x:v>0.0837391279</x:v>
      </x:c>
      <x:c r="E60" s="39" t="n">
        <x:v>0.0903451188</x:v>
      </x:c>
      <x:c r="F60" s="39" t="n">
        <x:v>0.0161823844</x:v>
      </x:c>
      <x:c r="G60" s="39" t="n">
        <x:v>0.0782893926</x:v>
      </x:c>
      <x:c r="H60" s="39" t="n">
        <x:v>0.0604062481</x:v>
      </x:c>
      <x:c r="I60" s="39" t="n">
        <x:v>0.0587034623</x:v>
      </x:c>
      <x:c r="J60" s="39" t="n">
        <x:v>0.00456846</x:v>
      </x:c>
      <x:c r="K60" s="39" t="n">
        <x:v>-0.1276557691</x:v>
      </x:c>
      <x:c r="L60" s="39" t="n">
        <x:v>-0.0264655831</x:v>
      </x:c>
      <x:c r="M60" s="39" t="n">
        <x:v>-0.0009958363</x:v>
      </x:c>
      <x:c r="N60" s="39" t="n">
        <x:v>-0.0077088614</x:v>
      </x:c>
      <x:c r="O60" s="39" t="n">
        <x:v>0.0174982956</x:v>
      </x:c>
      <x:c r="P60" s="39" t="n">
        <x:v>-0.1773591642</x:v>
      </x:c>
      <x:c r="Q60" s="39" t="n">
        <x:v>0.083145805</x:v>
      </x:c>
      <x:c r="R60" s="39" t="n">
        <x:v>0.0560177484</x:v>
      </x:c>
      <x:c r="S60" s="39" t="n">
        <x:v>-0.0548291088</x:v>
      </x:c>
      <x:c r="T60" s="39" t="n">
        <x:v>-0.2799188064</x:v>
      </x:c>
      <x:c r="U60" s="39" t="n">
        <x:v>0.0182977615</x:v>
      </x:c>
      <x:c r="V60" s="39" t="n">
        <x:v>0.0390425571</x:v>
      </x:c>
      <x:c r="W60" s="39" t="n">
        <x:v>-0.0020584718</x:v>
      </x:c>
      <x:c r="X60" s="39" t="n">
        <x:v>-0.1964659928</x:v>
      </x:c>
      <x:c r="Y60" s="39" t="n">
        <x:v>0.0840986319</x:v>
      </x:c>
      <x:c r="Z60" s="39" t="n">
        <x:v>0.0928319164</x:v>
      </x:c>
      <x:c r="AA60" s="39" t="n">
        <x:v>0.311968602</x:v>
      </x:c>
      <x:c r="AB60" s="39" t="n">
        <x:v>0.037957721</x:v>
      </x:c>
      <x:c r="AC60" s="39" t="n">
        <x:v>0.0421489722</x:v>
      </x:c>
      <x:c r="AD60" s="39" t="n">
        <x:v>0.0197689307</x:v>
      </x:c>
      <x:c r="AE60" s="39" t="n">
        <x:v>-0.0988588814</x:v>
      </x:c>
      <x:c r="AF60" s="39" t="n">
        <x:v>-0.1607932915</x:v>
      </x:c>
      <x:c r="AG60" s="39" t="n">
        <x:v>-0.0341080449</x:v>
      </x:c>
      <x:c r="AH60" s="39" t="n">
        <x:v>0.0290209355</x:v>
      </x:c>
      <x:c r="AI60" s="39" t="n">
        <x:v>0.0020056816</x:v>
      </x:c>
      <x:c r="AJ60" s="39" t="n">
        <x:v>0.1312096277</x:v>
      </x:c>
      <x:c r="AK60" s="39" t="n">
        <x:v>0.0452150768</x:v>
      </x:c>
      <x:c r="AL60" s="39" t="n">
        <x:v>0.0332377336</x:v>
      </x:c>
      <x:c r="AM60" s="39" t="n">
        <x:v>-0.0384251106</x:v>
      </x:c>
      <x:c r="AN60" s="39" t="n">
        <x:v>0.059191121</x:v>
      </x:c>
      <x:c r="AO60" s="39" t="n">
        <x:v>0.0633179919</x:v>
      </x:c>
      <x:c r="AP60" s="39" t="n">
        <x:v>0.0448874711</x:v>
      </x:c>
      <x:c r="AQ60" s="39" t="n">
        <x:v>0.0527353193</x:v>
      </x:c>
      <x:c r="AR60" s="39" t="n">
        <x:v>0.0080904611</x:v>
      </x:c>
    </x:row>
    <x:row r="61" ht="19" customHeight="1">
      <x:c r="A61" s="40" t="d">
        <x:v>2024-10-07T00:00:00.000Z</x:v>
      </x:c>
      <x:c r="B61" s="39" t="n">
        <x:v>0.4532663342</x:v>
      </x:c>
      <x:c r="C61" s="39" t="n">
        <x:v>0.0478584521</x:v>
      </x:c>
      <x:c r="D61" s="39" t="n">
        <x:v>-0.069079886</x:v>
      </x:c>
      <x:c r="E61" s="39" t="n">
        <x:v>0.0325275596</x:v>
      </x:c>
      <x:c r="F61" s="39" t="n">
        <x:v>0.0457800302</x:v>
      </x:c>
      <x:c r="G61" s="39" t="n">
        <x:v>0.0520622051</x:v>
      </x:c>
      <x:c r="H61" s="39" t="n">
        <x:v>0.01465991</x:v>
      </x:c>
      <x:c r="I61" s="39" t="n">
        <x:v>0.2107092553</x:v>
      </x:c>
      <x:c r="J61" s="39" t="n">
        <x:v>0.0935219972</x:v>
      </x:c>
      <x:c r="K61" s="39" t="n">
        <x:v>0.0689989253</x:v>
      </x:c>
      <x:c r="L61" s="39" t="n">
        <x:v>0.1225899876</x:v>
      </x:c>
      <x:c r="M61" s="39" t="n">
        <x:v>0.0701311523</x:v>
      </x:c>
      <x:c r="N61" s="39" t="n">
        <x:v>0.0166493824</x:v>
      </x:c>
      <x:c r="O61" s="39" t="n">
        <x:v>-0.002544963</x:v>
      </x:c>
      <x:c r="P61" s="39" t="n">
        <x:v>0.091895992</x:v>
      </x:c>
      <x:c r="Q61" s="39" t="n">
        <x:v>0.101755655</x:v>
      </x:c>
      <x:c r="R61" s="39" t="n">
        <x:v>0.0254601056</x:v>
      </x:c>
      <x:c r="S61" s="39" t="n">
        <x:v>0.2047241152</x:v>
      </x:c>
      <x:c r="T61" s="39" t="n">
        <x:v>-0.1867663018</x:v>
      </x:c>
      <x:c r="U61" s="39" t="n">
        <x:v>0.1607553618</x:v>
      </x:c>
      <x:c r="V61" s="39" t="n">
        <x:v>0.0427960956</x:v>
      </x:c>
      <x:c r="W61" s="39" t="n">
        <x:v>0.0587851142</x:v>
      </x:c>
      <x:c r="X61" s="39" t="n">
        <x:v>0.1888274378</x:v>
      </x:c>
      <x:c r="Y61" s="39" t="n">
        <x:v>0.0128988831</x:v>
      </x:c>
      <x:c r="Z61" s="39" t="n">
        <x:v>-0.005884793</x:v>
      </x:c>
      <x:c r="AA61" s="39" t="n">
        <x:v>0.0533283537</x:v>
      </x:c>
      <x:c r="AB61" s="39" t="n">
        <x:v>0.2505361613</x:v>
      </x:c>
      <x:c r="AC61" s="39" t="n">
        <x:v>-0.0204555989</x:v>
      </x:c>
      <x:c r="AD61" s="39" t="n">
        <x:v>0.0033089085</x:v>
      </x:c>
      <x:c r="AE61" s="39" t="n">
        <x:v>0.2288314718</x:v>
      </x:c>
      <x:c r="AF61" s="39" t="n">
        <x:v>-0.0441187776</x:v>
      </x:c>
      <x:c r="AG61" s="39" t="n">
        <x:v>-0.0097909316</x:v>
      </x:c>
      <x:c r="AH61" s="39" t="n">
        <x:v>0.1149870359</x:v>
      </x:c>
      <x:c r="AI61" s="39" t="n">
        <x:v>0.0106247272</x:v>
      </x:c>
      <x:c r="AJ61" s="39" t="n">
        <x:v>-0.0423350847</x:v>
      </x:c>
      <x:c r="AK61" s="39" t="n">
        <x:v>0.0441425881</x:v>
      </x:c>
      <x:c r="AL61" s="39" t="n">
        <x:v>-0.0397911846</x:v>
      </x:c>
      <x:c r="AM61" s="39" t="n">
        <x:v>0.042563358</x:v>
      </x:c>
      <x:c r="AN61" s="39" t="n">
        <x:v>-0.035284921</x:v>
      </x:c>
      <x:c r="AO61" s="39" t="n">
        <x:v>0.0952045258</x:v>
      </x:c>
      <x:c r="AP61" s="39" t="n">
        <x:v>-0.030821026</x:v>
      </x:c>
      <x:c r="AQ61" s="39" t="n">
        <x:v>-0.0293216618</x:v>
      </x:c>
      <x:c r="AR61" s="39" t="n">
        <x:v>0.0327761941</x:v>
      </x:c>
    </x:row>
    <x:row r="62" ht="19" customHeight="1">
      <x:c r="A62" s="40" t="d">
        <x:v>2024-11-04T00:00:00.000Z</x:v>
      </x:c>
      <x:c r="B62" s="39" t="n">
        <x:v>0.1490706633</x:v>
      </x:c>
      <x:c r="C62" s="39" t="n">
        <x:v>-0.0422363323</x:v>
      </x:c>
      <x:c r="D62" s="39" t="n">
        <x:v>-0.0111455082</x:v>
      </x:c>
      <x:c r="E62" s="39" t="n">
        <x:v>0.1573032157</x:v>
      </x:c>
      <x:c r="F62" s="39" t="n">
        <x:v>0.0606442126</x:v>
      </x:c>
      <x:c r="G62" s="39" t="n">
        <x:v>0.0032622146</x:v>
      </x:c>
      <x:c r="H62" s="39" t="n">
        <x:v>0.1168804394</x:v>
      </x:c>
      <x:c r="I62" s="39" t="n">
        <x:v>0.1266926021</x:v>
      </x:c>
      <x:c r="J62" s="39" t="n">
        <x:v>-0.0561462968</x:v>
      </x:c>
      <x:c r="K62" s="39" t="n">
        <x:v>-0.0484996258</x:v>
      </x:c>
      <x:c r="L62" s="39" t="n">
        <x:v>-0.0572578386</x:v>
      </x:c>
      <x:c r="M62" s="39" t="n">
        <x:v>-0.0179551</x:v>
      </x:c>
      <x:c r="N62" s="39" t="n">
        <x:v>0.0409640637</x:v>
      </x:c>
      <x:c r="O62" s="39" t="n">
        <x:v>0.0842621001</x:v>
      </x:c>
      <x:c r="P62" s="39" t="n">
        <x:v>-0.0429458063</x:v>
      </x:c>
      <x:c r="Q62" s="39" t="n">
        <x:v>-0.1588063417</x:v>
      </x:c>
      <x:c r="R62" s="39" t="n">
        <x:v>0.021091818</x:v>
      </x:c>
      <x:c r="S62" s="39" t="n">
        <x:v>-0.0287834534</x:v>
      </x:c>
      <x:c r="T62" s="39" t="n">
        <x:v>-0.2621267668</x:v>
      </x:c>
      <x:c r="U62" s="39" t="n">
        <x:v>0.3914608248</x:v>
      </x:c>
      <x:c r="V62" s="39" t="n">
        <x:v>0.1140842444</x:v>
      </x:c>
      <x:c r="W62" s="39" t="n">
        <x:v>0.0745386502</x:v>
      </x:c>
      <x:c r="X62" s="39" t="n">
        <x:v>0.0545130426</x:v>
      </x:c>
      <x:c r="Y62" s="39" t="n">
        <x:v>-0.2238886542</x:v>
      </x:c>
      <x:c r="Z62" s="39" t="n">
        <x:v>0.0345130241</x:v>
      </x:c>
      <x:c r="AA62" s="39" t="n">
        <x:v>0.0290742273</x:v>
      </x:c>
      <x:c r="AB62" s="39" t="n">
        <x:v>0.6512574116</x:v>
      </x:c>
      <x:c r="AC62" s="39" t="n">
        <x:v>-0.0168732248</x:v>
      </x:c>
      <x:c r="AD62" s="39" t="n">
        <x:v>0.0437644624</x:v>
      </x:c>
      <x:c r="AE62" s="39" t="n">
        <x:v>0.0768461422</x:v>
      </x:c>
      <x:c r="AF62" s="39" t="n">
        <x:v>0.0052216442</x:v>
      </x:c>
      <x:c r="AG62" s="39" t="n">
        <x:v>-0.2955311892</x:v>
      </x:c>
      <x:c r="AH62" s="39" t="n">
        <x:v>-0.1513975276</x:v>
      </x:c>
      <x:c r="AI62" s="39" t="n">
        <x:v>-0.1366488016</x:v>
      </x:c>
      <x:c r="AJ62" s="39" t="n">
        <x:v>0.118485499</x:v>
      </x:c>
      <x:c r="AK62" s="39" t="n">
        <x:v>0.059354992</x:v>
      </x:c>
      <x:c r="AL62" s="39" t="n">
        <x:v>0.0177578671</x:v>
      </x:c>
      <x:c r="AM62" s="39" t="n">
        <x:v>0.1060047048</x:v>
      </x:c>
      <x:c r="AN62" s="39" t="n">
        <x:v>0.0731768811</x:v>
      </x:c>
      <x:c r="AO62" s="39" t="n">
        <x:v>-0.0175709363</x:v>
      </x:c>
      <x:c r="AP62" s="39" t="n">
        <x:v>-0.1014241351</x:v>
      </x:c>
      <x:c r="AQ62" s="39" t="n">
        <x:v>-0.0452687556</x:v>
      </x:c>
      <x:c r="AR62" s="39" t="n">
        <x:v>0.0082974137</x:v>
      </x:c>
    </x:row>
    <x:row r="63" ht="19" customHeight="1">
      <x:c r="A63" s="40" t="d">
        <x:v>2024-12-02T00:00:00.000Z</x:v>
      </x:c>
      <x:c r="B63" s="39" t="n">
        <x:v>0.145643113</x:v>
      </x:c>
      <x:c r="C63" s="39" t="n">
        <x:v>0.1828642773</x:v>
      </x:c>
      <x:c r="D63" s="39" t="n">
        <x:v>-0.0069486324</x:v>
      </x:c>
      <x:c r="E63" s="39" t="n">
        <x:v>0.0306564655</x:v>
      </x:c>
      <x:c r="F63" s="39" t="n">
        <x:v>0.199826129</x:v>
      </x:c>
      <x:c r="G63" s="39" t="n">
        <x:v>0.1289860156</x:v>
      </x:c>
      <x:c r="H63" s="39" t="n">
        <x:v>0.105266508</x:v>
      </x:c>
      <x:c r="I63" s="39" t="n">
        <x:v>0.0894795271</x:v>
      </x:c>
      <x:c r="J63" s="39" t="n">
        <x:v>-0.0749366343</x:v>
      </x:c>
      <x:c r="K63" s="39" t="n">
        <x:v>-0.0376396998</x:v>
      </x:c>
      <x:c r="L63" s="39" t="n">
        <x:v>0.0738556799</x:v>
      </x:c>
      <x:c r="M63" s="39" t="n">
        <x:v>-0.0098417118</x:v>
      </x:c>
      <x:c r="N63" s="39" t="n">
        <x:v>0.0352941855</x:v>
      </x:c>
      <x:c r="O63" s="39" t="n">
        <x:v>0.0252083045</x:v>
      </x:c>
      <x:c r="P63" s="39" t="n">
        <x:v>0.0818650965</x:v>
      </x:c>
      <x:c r="Q63" s="39" t="n">
        <x:v>0.0515677147</x:v>
      </x:c>
      <x:c r="R63" s="39" t="n">
        <x:v>0.0716797275</x:v>
      </x:c>
      <x:c r="S63" s="39" t="n">
        <x:v>0.2591987038</x:v>
      </x:c>
      <x:c r="T63" s="39" t="n">
        <x:v>-0.0636173406</x:v>
      </x:c>
      <x:c r="U63" s="39" t="n">
        <x:v>0.1592403213</x:v>
      </x:c>
      <x:c r="V63" s="39" t="n">
        <x:v>0.196588571</x:v>
      </x:c>
      <x:c r="W63" s="39" t="n">
        <x:v>-0.021203712</x:v>
      </x:c>
      <x:c r="X63" s="39" t="n">
        <x:v>-0.1224195885</x:v>
      </x:c>
      <x:c r="Y63" s="39" t="n">
        <x:v>-0.1036705042</x:v>
      </x:c>
      <x:c r="Z63" s="39" t="n">
        <x:v>-0.0327586547</x:v>
      </x:c>
      <x:c r="AA63" s="39" t="n">
        <x:v>-0.2792153847</x:v>
      </x:c>
      <x:c r="AB63" s="39" t="n">
        <x:v>-0.0589827864</x:v>
      </x:c>
      <x:c r="AC63" s="39" t="n">
        <x:v>0.0434573879</x:v>
      </x:c>
      <x:c r="AD63" s="39" t="n">
        <x:v>-0.0520229978</x:v>
      </x:c>
      <x:c r="AE63" s="39" t="n">
        <x:v>0.1009314758</x:v>
      </x:c>
      <x:c r="AF63" s="39" t="n">
        <x:v>0.0178825154</x:v>
      </x:c>
      <x:c r="AG63" s="39" t="n">
        <x:v>-0.0832611508</x:v>
      </x:c>
      <x:c r="AH63" s="39" t="n">
        <x:v>-0.0793690086</x:v>
      </x:c>
      <x:c r="AI63" s="39" t="n">
        <x:v>-0.0050648751</x:v>
      </x:c>
      <x:c r="AJ63" s="39" t="n">
        <x:v>-0.0555536002</x:v>
      </x:c>
      <x:c r="AK63" s="39" t="n">
        <x:v>-0.0856959732</x:v>
      </x:c>
      <x:c r="AL63" s="39" t="n">
        <x:v>0.0614155274</x:v>
      </x:c>
      <x:c r="AM63" s="39" t="n">
        <x:v>-0.0250421203</x:v>
      </x:c>
      <x:c r="AN63" s="39" t="n">
        <x:v>0.0612363493</x:v>
      </x:c>
      <x:c r="AO63" s="39" t="n">
        <x:v>0.0802884988</x:v>
      </x:c>
      <x:c r="AP63" s="39" t="n">
        <x:v>-0.0175241795</x:v>
      </x:c>
      <x:c r="AQ63" s="39" t="n">
        <x:v>-0.0393917829</x:v>
      </x:c>
      <x:c r="AR63" s="39" t="n">
        <x:v>0.0184397535</x:v>
      </x:c>
    </x:row>
    <x:row r="64" ht="19" customHeight="1">
      <x:c r="A64" s="40" t="d">
        <x:v>2024-12-30T00:00:00.000Z</x:v>
      </x:c>
      <x:c r="B64" s="39" t="n">
        <x:v>0.0201833873</x:v>
      </x:c>
      <x:c r="C64" s="39" t="n">
        <x:v>-0.0269870268</x:v>
      </x:c>
      <x:c r="D64" s="39" t="n">
        <x:v>-0.0498247688</x:v>
      </x:c>
      <x:c r="E64" s="39" t="n">
        <x:v>0.0145417574</x:v>
      </x:c>
      <x:c r="F64" s="39" t="n">
        <x:v>-0.0547750951</x:v>
      </x:c>
      <x:c r="G64" s="39" t="n">
        <x:v>-0.1123174597</x:v>
      </x:c>
      <x:c r="H64" s="39" t="n">
        <x:v>-0.015504724</x:v>
      </x:c>
      <x:c r="I64" s="39" t="n">
        <x:v>-0.1263334547</x:v>
      </x:c>
      <x:c r="J64" s="39" t="n">
        <x:v>-0.1138524532</x:v>
      </x:c>
      <x:c r="K64" s="39" t="n">
        <x:v>-0.0699383844</x:v>
      </x:c>
      <x:c r="L64" s="39" t="n">
        <x:v>0.0009745108</x:v>
      </x:c>
      <x:c r="M64" s="39" t="n">
        <x:v>-0.0134493932</x:v>
      </x:c>
      <x:c r="N64" s="39" t="n">
        <x:v>-0.1137133124</x:v>
      </x:c>
      <x:c r="O64" s="39" t="n">
        <x:v>-0.1277122364</x:v>
      </x:c>
      <x:c r="P64" s="39" t="n">
        <x:v>0.0666910903</x:v>
      </x:c>
      <x:c r="Q64" s="39" t="n">
        <x:v>-0.1446113991</x:v>
      </x:c>
      <x:c r="R64" s="39" t="n">
        <x:v>0.0002448284</x:v>
      </x:c>
      <x:c r="S64" s="39" t="n">
        <x:v>0.0191499644</x:v>
      </x:c>
      <x:c r="T64" s="39" t="n">
        <x:v>-0.0642861455</x:v>
      </x:c>
      <x:c r="U64" s="39" t="n">
        <x:v>-0.1658379577</x:v>
      </x:c>
      <x:c r="V64" s="39" t="n">
        <x:v>-0.0728589504</x:v>
      </x:c>
      <x:c r="W64" s="39" t="n">
        <x:v>-0.167285017</x:v>
      </x:c>
      <x:c r="X64" s="39" t="n">
        <x:v>-0.1442788074</x:v>
      </x:c>
      <x:c r="Y64" s="39" t="n">
        <x:v>-0.0933303113</x:v>
      </x:c>
      <x:c r="Z64" s="39" t="n">
        <x:v>-0.0612025311</x:v>
      </x:c>
      <x:c r="AA64" s="39" t="n">
        <x:v>-0.022869397</x:v>
      </x:c>
      <x:c r="AB64" s="39" t="n">
        <x:v>-0.2287837283</x:v>
      </x:c>
      <x:c r="AC64" s="39" t="n">
        <x:v>-0.0631696519</x:v>
      </x:c>
      <x:c r="AD64" s="39" t="n">
        <x:v>-0.0761358315</x:v>
      </x:c>
      <x:c r="AE64" s="39" t="n">
        <x:v>-0.1070318533</x:v>
      </x:c>
      <x:c r="AF64" s="39" t="n">
        <x:v>0.1215819783</x:v>
      </x:c>
      <x:c r="AG64" s="39" t="n">
        <x:v>0.0008516519</x:v>
      </x:c>
      <x:c r="AH64" s="39" t="n">
        <x:v>-0.1234768408</x:v>
      </x:c>
      <x:c r="AI64" s="39" t="n">
        <x:v>-0.0685121992</x:v>
      </x:c>
      <x:c r="AJ64" s="39" t="n">
        <x:v>-0.0531659616</x:v>
      </x:c>
      <x:c r="AK64" s="39" t="n">
        <x:v>0.0678163629</x:v>
      </x:c>
      <x:c r="AL64" s="39" t="n">
        <x:v>-0.057465775</x:v>
      </x:c>
      <x:c r="AM64" s="39" t="n">
        <x:v>0.1162940085</x:v>
      </x:c>
      <x:c r="AN64" s="39" t="n">
        <x:v>-0.0981509447</x:v>
      </x:c>
      <x:c r="AO64" s="39" t="n">
        <x:v>-0.1267699825</x:v>
      </x:c>
      <x:c r="AP64" s="39" t="n">
        <x:v>-0.015460551</x:v>
      </x:c>
      <x:c r="AQ64" s="39" t="n">
        <x:v>-0.0429768267</x:v>
      </x:c>
      <x:c r="AR64" s="39" t="n">
        <x:v>-0.0451638363</x:v>
      </x:c>
    </x:row>
    <x:row r="65" ht="19" customHeight="1">
      <x:c r="A65" s="40" t="d">
        <x:v>2025-01-27T00:00:00.000Z</x:v>
      </x:c>
      <x:c r="B65" s="39" t="n">
        <x:v>0.0428795193</x:v>
      </x:c>
      <x:c r="C65" s="39" t="n">
        <x:v>-0.0050835147</x:v>
      </x:c>
      <x:c r="D65" s="39" t="n">
        <x:v>0.0828228407</x:v>
      </x:c>
      <x:c r="E65" s="39" t="n">
        <x:v>0.0696980512</x:v>
      </x:c>
      <x:c r="F65" s="39" t="n">
        <x:v>0.0211710296</x:v>
      </x:c>
      <x:c r="G65" s="39" t="n">
        <x:v>-0.0285719185</x:v>
      </x:c>
      <x:c r="H65" s="39" t="n">
        <x:v>0.0729906749</x:v>
      </x:c>
      <x:c r="I65" s="39" t="n">
        <x:v>-0.0333020262</x:v>
      </x:c>
      <x:c r="J65" s="39" t="n">
        <x:v>0.0971491499</x:v>
      </x:c>
      <x:c r="K65" s="39" t="n">
        <x:v>0.0950712859</x:v>
      </x:c>
      <x:c r="L65" s="39" t="n">
        <x:v>0.0511574144</x:v>
      </x:c>
      <x:c r="M65" s="39" t="n">
        <x:v>0.1218927545</x:v>
      </x:c>
      <x:c r="N65" s="39" t="n">
        <x:v>0.1576476641</x:v>
      </x:c>
      <x:c r="O65" s="39" t="n">
        <x:v>0.0204979009</x:v>
      </x:c>
      <x:c r="P65" s="39" t="n">
        <x:v>-0.0898115242</x:v>
      </x:c>
      <x:c r="Q65" s="39" t="n">
        <x:v>0.1867518194</x:v>
      </x:c>
      <x:c r="R65" s="39" t="n">
        <x:v>0.021414035</x:v>
      </x:c>
      <x:c r="S65" s="39" t="n">
        <x:v>0.2343025772</x:v>
      </x:c>
      <x:c r="T65" s="39" t="n">
        <x:v>-0.0845350705</x:v>
      </x:c>
      <x:c r="U65" s="39" t="n">
        <x:v>0.1019646312</x:v>
      </x:c>
      <x:c r="V65" s="39" t="n">
        <x:v>0.128822754</x:v>
      </x:c>
      <x:c r="W65" s="39" t="n">
        <x:v>-0.1301399023</x:v>
      </x:c>
      <x:c r="X65" s="39" t="n">
        <x:v>0.0188989376</x:v>
      </x:c>
      <x:c r="Y65" s="39" t="n">
        <x:v>0.142643389</x:v>
      </x:c>
      <x:c r="Z65" s="39" t="n">
        <x:v>0.0453909945</x:v>
      </x:c>
      <x:c r="AA65" s="39" t="n">
        <x:v>-0.5452064138</x:v>
      </x:c>
      <x:c r="AB65" s="39" t="n">
        <x:v>0.0128966789</x:v>
      </x:c>
      <x:c r="AC65" s="39" t="n">
        <x:v>0.0140827853</x:v>
      </x:c>
      <x:c r="AD65" s="39" t="n">
        <x:v>0.0250342509</x:v>
      </x:c>
      <x:c r="AE65" s="39" t="n">
        <x:v>-0.0365979481</x:v>
      </x:c>
      <x:c r="AF65" s="39" t="n">
        <x:v>0.047748589</x:v>
      </x:c>
      <x:c r="AG65" s="39" t="n">
        <x:v>0.0595295672</x:v>
      </x:c>
      <x:c r="AH65" s="39" t="n">
        <x:v>-0.0975731981</x:v>
      </x:c>
      <x:c r="AI65" s="39" t="n">
        <x:v>0.0456417036</x:v>
      </x:c>
      <x:c r="AJ65" s="39" t="n">
        <x:v>0.1015897426</x:v>
      </x:c>
      <x:c r="AK65" s="39" t="n">
        <x:v>0.0330197486</x:v>
      </x:c>
      <x:c r="AL65" s="39" t="n">
        <x:v>-0.024703866</x:v>
      </x:c>
      <x:c r="AM65" s="39" t="n">
        <x:v>0.0772201712</x:v>
      </x:c>
      <x:c r="AN65" s="39" t="n">
        <x:v>0.0834206066</x:v>
      </x:c>
      <x:c r="AO65" s="39" t="n">
        <x:v>0.0711189905</x:v>
      </x:c>
      <x:c r="AP65" s="39" t="n">
        <x:v>0.0345155712</x:v>
      </x:c>
      <x:c r="AQ65" s="39" t="n">
        <x:v>0.0671241245</x:v>
      </x:c>
      <x:c r="AR65" s="39" t="n">
        <x:v>0.0409370448</x:v>
      </x:c>
    </x:row>
    <x:row r="66" ht="19" customHeight="1">
      <x:c r="A66" s="40" t="d">
        <x:v>2025-02-24T00:00:00.000Z</x:v>
      </x:c>
      <x:c r="B66" s="39" t="n">
        <x:v>-0.2899232366</x:v>
      </x:c>
      <x:c r="C66" s="39" t="n">
        <x:v>-0.0767178023</x:v>
      </x:c>
      <x:c r="D66" s="39" t="n">
        <x:v>0.1071643417</x:v>
      </x:c>
      <x:c r="E66" s="39" t="n">
        <x:v>0.1030463009</x:v>
      </x:c>
      <x:c r="F66" s="39" t="n">
        <x:v>0.0082651546</x:v>
      </x:c>
      <x:c r="G66" s="39" t="n">
        <x:v>-0.0988580563</x:v>
      </x:c>
      <x:c r="H66" s="39" t="n">
        <x:v>-0.1431847245</x:v>
      </x:c>
      <x:c r="I66" s="39" t="n">
        <x:v>-0.2331734418</x:v>
      </x:c>
      <x:c r="J66" s="39" t="n">
        <x:v>0.0709454702</x:v>
      </x:c>
      <x:c r="K66" s="39" t="n">
        <x:v>-0.0218098367</x:v>
      </x:c>
      <x:c r="L66" s="39" t="n">
        <x:v>-0.1561028139</x:v>
      </x:c>
      <x:c r="M66" s="39" t="n">
        <x:v>0.0177874384</x:v>
      </x:c>
      <x:c r="N66" s="39" t="n">
        <x:v>-0.0161941939</x:v>
      </x:c>
      <x:c r="O66" s="39" t="n">
        <x:v>-0.0077188365</x:v>
      </x:c>
      <x:c r="P66" s="39" t="n">
        <x:v>0.2292704415</x:v>
      </x:c>
      <x:c r="Q66" s="39" t="n">
        <x:v>0.0411672056</x:v>
      </x:c>
      <x:c r="R66" s="39" t="n">
        <x:v>0.0891846746</x:v>
      </x:c>
      <x:c r="S66" s="39" t="n">
        <x:v>0.0616383536</x:v>
      </x:c>
      <x:c r="T66" s="39" t="n">
        <x:v>-0.306056108</x:v>
      </x:c>
      <x:c r="U66" s="39" t="n">
        <x:v>-0.2665224162</x:v>
      </x:c>
      <x:c r="V66" s="39" t="n">
        <x:v>0.0049191969</x:v>
      </x:c>
      <x:c r="W66" s="39" t="n">
        <x:v>0.0809171361</x:v>
      </x:c>
      <x:c r="X66" s="39" t="n">
        <x:v>0.0327589334</x:v>
      </x:c>
      <x:c r="Y66" s="39" t="n">
        <x:v>0.003553688</x:v>
      </x:c>
      <x:c r="Z66" s="39" t="n">
        <x:v>0.170764625</x:v>
      </x:c>
      <x:c r="AA66" s="39" t="n">
        <x:v>-0.3566414444</x:v>
      </x:c>
      <x:c r="AB66" s="39" t="n">
        <x:v>0.037118538</x:v>
      </x:c>
      <x:c r="AC66" s="39" t="n">
        <x:v>0.0585410271</x:v>
      </x:c>
      <x:c r="AD66" s="39" t="n">
        <x:v>-0.0276882779</x:v>
      </x:c>
      <x:c r="AE66" s="39" t="n">
        <x:v>-0.0853166164</x:v>
      </x:c>
      <x:c r="AF66" s="39" t="n">
        <x:v>-0.0136379223</x:v>
      </x:c>
      <x:c r="AG66" s="39" t="n">
        <x:v>-0.1376515257</x:v>
      </x:c>
      <x:c r="AH66" s="39" t="n">
        <x:v>-0.1892631504</x:v>
      </x:c>
      <x:c r="AI66" s="39" t="n">
        <x:v>0.1626880389</x:v>
      </x:c>
      <x:c r="AJ66" s="39" t="n">
        <x:v>0.1546200799</x:v>
      </x:c>
      <x:c r="AK66" s="39" t="n">
        <x:v>0.0624486422</x:v>
      </x:c>
      <x:c r="AL66" s="39" t="n">
        <x:v>-0.0538548579</x:v>
      </x:c>
      <x:c r="AM66" s="39" t="n">
        <x:v>-0.2290240495</x:v>
      </x:c>
      <x:c r="AN66" s="39" t="n">
        <x:v>0.0872834199</x:v>
      </x:c>
      <x:c r="AO66" s="39" t="n">
        <x:v>-0.04820159</x:v>
      </x:c>
      <x:c r="AP66" s="39" t="n">
        <x:v>0.1455784897</x:v>
      </x:c>
      <x:c r="AQ66" s="39" t="n">
        <x:v>0.1129733314</x:v>
      </x:c>
      <x:c r="AR66" s="39" t="n">
        <x:v>0.1165473929</x:v>
      </x:c>
    </x:row>
    <x:row r="67" ht="19" customHeight="1">
      <x:c r="A67" s="40" t="d">
        <x:v>2025-03-24T00:00:00.000Z</x:v>
      </x:c>
      <x:c r="B67" s="39" t="n">
        <x:v>-0.1465156714</x:v>
      </x:c>
      <x:c r="C67" s="39" t="n">
        <x:v>-0.0857961864</x:v>
      </x:c>
      <x:c r="D67" s="39" t="n">
        <x:v>0.0109784565</x:v>
      </x:c>
      <x:c r="E67" s="39" t="n">
        <x:v>-0.0434024164</x:v>
      </x:c>
      <x:c r="F67" s="39" t="n">
        <x:v>-0.1911425805</x:v>
      </x:c>
      <x:c r="G67" s="39" t="n">
        <x:v>-0.1004878692</x:v>
      </x:c>
      <x:c r="H67" s="39" t="n">
        <x:v>-0.1242080967</x:v>
      </x:c>
      <x:c r="I67" s="39" t="n">
        <x:v>-0.1451858668</x:v>
      </x:c>
      <x:c r="J67" s="39" t="n">
        <x:v>-0.22386043</x:v>
      </x:c>
      <x:c r="K67" s="39" t="n">
        <x:v>0.0073502252</x:v>
      </x:c>
      <x:c r="L67" s="39" t="n">
        <x:v>-0.0588977273</x:v>
      </x:c>
      <x:c r="M67" s="39" t="n">
        <x:v>-0.05669227</x:v>
      </x:c>
      <x:c r="N67" s="39" t="n">
        <x:v>-0.0537209707</x:v>
      </x:c>
      <x:c r="O67" s="39" t="n">
        <x:v>-0.2391581092</x:v>
      </x:c>
      <x:c r="P67" s="39" t="n">
        <x:v>-0.0156868559</x:v>
      </x:c>
      <x:c r="Q67" s="39" t="n">
        <x:v>-0.2908460718</x:v>
      </x:c>
      <x:c r="R67" s="39" t="n">
        <x:v>0.048425377</x:v>
      </x:c>
      <x:c r="S67" s="39" t="n">
        <x:v>-0.3013909298</x:v>
      </x:c>
      <x:c r="T67" s="39" t="n">
        <x:v>0.0066232649</x:v>
      </x:c>
      <x:c r="U67" s="39" t="n">
        <x:v>0.0157079758</x:v>
      </x:c>
      <x:c r="V67" s="39" t="n">
        <x:v>-0.0627132076</x:v>
      </x:c>
      <x:c r="W67" s="39" t="n">
        <x:v>0.0262304711</x:v>
      </x:c>
      <x:c r="X67" s="39" t="n">
        <x:v>-0.0732730679</x:v>
      </x:c>
      <x:c r="Y67" s="39" t="n">
        <x:v>0.155875248</x:v>
      </x:c>
      <x:c r="Z67" s="39" t="n">
        <x:v>-0.0143872488</x:v>
      </x:c>
      <x:c r="AA67" s="39" t="n">
        <x:v>0.2675860791</x:v>
      </x:c>
      <x:c r="AB67" s="39" t="n">
        <x:v>-0.4413056163</x:v>
      </x:c>
      <x:c r="AC67" s="39" t="n">
        <x:v>-0.0436771268</x:v>
      </x:c>
      <x:c r="AD67" s="39" t="n">
        <x:v>0.0226712659</x:v>
      </x:c>
      <x:c r="AE67" s="39" t="n">
        <x:v>-0.2810942217</x:v>
      </x:c>
      <x:c r="AF67" s="39" t="n">
        <x:v>-0.009749272</x:v>
      </x:c>
      <x:c r="AG67" s="39" t="n">
        <x:v>0.2010542091</x:v>
      </x:c>
      <x:c r="AH67" s="39" t="n">
        <x:v>0.0425216349</x:v>
      </x:c>
      <x:c r="AI67" s="39" t="n">
        <x:v>-0.1448046283</x:v>
      </x:c>
      <x:c r="AJ67" s="39" t="n">
        <x:v>-0.0007534821</x:v>
      </x:c>
      <x:c r="AK67" s="39" t="n">
        <x:v>0.1053151107</x:v>
      </x:c>
      <x:c r="AL67" s="39" t="n">
        <x:v>-0.060265151</x:v>
      </x:c>
      <x:c r="AM67" s="39" t="n">
        <x:v>-0.1248916986</x:v>
      </x:c>
      <x:c r="AN67" s="39" t="n">
        <x:v>-0.1547038444</x:v>
      </x:c>
      <x:c r="AO67" s="39" t="n">
        <x:v>-0.1229008596</x:v>
      </x:c>
      <x:c r="AP67" s="39" t="n">
        <x:v>-0.0057998194</x:v>
      </x:c>
      <x:c r="AQ67" s="39" t="n">
        <x:v>-0.01024054</x:v>
      </x:c>
      <x:c r="AR67" s="39" t="n">
        <x:v>0.0308347951</x:v>
      </x:c>
    </x:row>
    <x:row r="68" ht="19" customHeight="1">
      <x:c r="A68" s="40" t="d">
        <x:v>2025-04-21T00:00:00.000Z</x:v>
      </x:c>
      <x:c r="B68" s="39" t="n">
        <x:v>0.080540274</x:v>
      </x:c>
      <x:c r="C68" s="39" t="n">
        <x:v>0.0144597492</x:v>
      </x:c>
      <x:c r="D68" s="39" t="n">
        <x:v>-0.0026830917</x:v>
      </x:c>
      <x:c r="E68" s="39" t="n">
        <x:v>0.0030837883</x:v>
      </x:c>
      <x:c r="F68" s="39" t="n">
        <x:v>-0.1078551336</x:v>
      </x:c>
      <x:c r="G68" s="39" t="n">
        <x:v>0.0479328538</x:v>
      </x:c>
      <x:c r="H68" s="39" t="n">
        <x:v>-0.0254688785</x:v>
      </x:c>
      <x:c r="I68" s="39" t="n">
        <x:v>0.2657570686</x:v>
      </x:c>
      <x:c r="J68" s="39" t="n">
        <x:v>-0.0345205228</x:v>
      </x:c>
      <x:c r="K68" s="39" t="n">
        <x:v>-0.1873878546</x:v>
      </x:c>
      <x:c r="L68" s="39" t="n">
        <x:v>0.0180599246</x:v>
      </x:c>
      <x:c r="M68" s="39" t="n">
        <x:v>0.1131470556</x:v>
      </x:c>
      <x:c r="N68" s="39" t="n">
        <x:v>0.0200032758</x:v>
      </x:c>
      <x:c r="O68" s="39" t="n">
        <x:v>0.0051229803</x:v>
      </x:c>
      <x:c r="P68" s="39" t="n">
        <x:v>0.0774354537</x:v>
      </x:c>
      <x:c r="Q68" s="39" t="n">
        <x:v>-0.1374266054</x:v>
      </x:c>
      <x:c r="R68" s="39" t="n">
        <x:v>0.0201198209</x:v>
      </x:c>
      <x:c r="S68" s="39" t="n">
        <x:v>0.0671825275</x:v>
      </x:c>
      <x:c r="T68" s="39" t="n">
        <x:v>-0.1744888778</x:v>
      </x:c>
      <x:c r="U68" s="39" t="n">
        <x:v>0.1577277295</x:v>
      </x:c>
      <x:c r="V68" s="39" t="n">
        <x:v>0.2152000235</x:v>
      </x:c>
      <x:c r="W68" s="39" t="n">
        <x:v>-0.0888117054</x:v>
      </x:c>
      <x:c r="X68" s="39" t="n">
        <x:v>-0.1325951182</x:v>
      </x:c>
      <x:c r="Y68" s="39" t="n">
        <x:v>0.1498689352</x:v>
      </x:c>
      <x:c r="Z68" s="39" t="n">
        <x:v>-0.0659216889</x:v>
      </x:c>
      <x:c r="AA68" s="39" t="n">
        <x:v>-0.2791115586</x:v>
      </x:c>
      <x:c r="AB68" s="39" t="n">
        <x:v>0.0377511937</x:v>
      </x:c>
      <x:c r="AC68" s="39" t="n">
        <x:v>-0.0474341591</x:v>
      </x:c>
      <x:c r="AD68" s="39" t="n">
        <x:v>0.0422106436</x:v>
      </x:c>
      <x:c r="AE68" s="39" t="n">
        <x:v>0.0366189572</x:v>
      </x:c>
      <x:c r="AF68" s="39" t="n">
        <x:v>0.0344298955</x:v>
      </x:c>
      <x:c r="AG68" s="39" t="n">
        <x:v>0.1253443443</x:v>
      </x:c>
      <x:c r="AH68" s="39" t="n">
        <x:v>-0.0857028837</x:v>
      </x:c>
      <x:c r="AI68" s="39" t="n">
        <x:v>0.094747337</x:v>
      </x:c>
      <x:c r="AJ68" s="39" t="n">
        <x:v>-0.0560594225</x:v>
      </x:c>
      <x:c r="AK68" s="39" t="n">
        <x:v>-0.0562227298</x:v>
      </x:c>
      <x:c r="AL68" s="39" t="n">
        <x:v>0.0441382706</x:v>
      </x:c>
      <x:c r="AM68" s="39" t="n">
        <x:v>0.0628844542</x:v>
      </x:c>
      <x:c r="AN68" s="39" t="n">
        <x:v>0.0649373481</x:v>
      </x:c>
      <x:c r="AO68" s="39" t="n">
        <x:v>-0.0020755714</x:v>
      </x:c>
      <x:c r="AP68" s="39" t="n">
        <x:v>0.0282109438</x:v>
      </x:c>
      <x:c r="AQ68" s="39" t="n">
        <x:v>-0.0747805456</x:v>
      </x:c>
      <x:c r="AR68" s="39" t="n">
        <x:v>0.0114628689</x:v>
      </x:c>
    </x:row>
    <x:row r="69" ht="19" customHeight="1">
      <x:c r="A69" s="40" t="d">
        <x:v>2025-05-19T00:00:00.000Z</x:v>
      </x:c>
      <x:c r="B69" s="39" t="n">
        <x:v>0.293747019</x:v>
      </x:c>
      <x:c r="C69" s="39" t="n">
        <x:v>0.0472982903</x:v>
      </x:c>
      <x:c r="D69" s="39" t="n">
        <x:v>-0.0369429239</x:v>
      </x:c>
      <x:c r="E69" s="39" t="n">
        <x:v>-0.0187145081</x:v>
      </x:c>
      <x:c r="F69" s="39" t="n">
        <x:v>0.2577412466</x:v>
      </x:c>
      <x:c r="G69" s="39" t="n">
        <x:v>-0.0296836403</x:v>
      </x:c>
      <x:c r="H69" s="39" t="n">
        <x:v>0.081361757</x:v>
      </x:c>
      <x:c r="I69" s="39" t="n">
        <x:v>0.2271533367</x:v>
      </x:c>
      <x:c r="J69" s="39" t="n">
        <x:v>0.4095307648</x:v>
      </x:c>
      <x:c r="K69" s="39" t="n">
        <x:v>0.1714280134</x:v>
      </x:c>
      <x:c r="L69" s="39" t="n">
        <x:v>0.172495835</x:v>
      </x:c>
      <x:c r="M69" s="39" t="n">
        <x:v>0.1307365912</x:v>
      </x:c>
      <x:c r="N69" s="39" t="n">
        <x:v>0.0956950607</x:v>
      </x:c>
      <x:c r="O69" s="39" t="n">
        <x:v>0.2741415759</x:v>
      </x:c>
      <x:c r="P69" s="39" t="n">
        <x:v>-0.0174249057</x:v>
      </x:c>
      <x:c r="Q69" s="39" t="n">
        <x:v>-0.1242909142</x:v>
      </x:c>
      <x:c r="R69" s="39" t="n">
        <x:v>0.0853746288</x:v>
      </x:c>
      <x:c r="S69" s="39" t="n">
        <x:v>0.35295489</x:v>
      </x:c>
      <x:c r="T69" s="39" t="n">
        <x:v>-0.0474537318</x:v>
      </x:c>
      <x:c r="U69" s="39" t="n">
        <x:v>0.2533716511</x:v>
      </x:c>
      <x:c r="V69" s="39" t="n">
        <x:v>0.096971258</x:v>
      </x:c>
      <x:c r="W69" s="39" t="n">
        <x:v>0.0239533188</x:v>
      </x:c>
      <x:c r="X69" s="39" t="n">
        <x:v>0.207891027</x:v>
      </x:c>
      <x:c r="Y69" s="39" t="n">
        <x:v>-0.0071247884</x:v>
      </x:c>
      <x:c r="Z69" s="39" t="n">
        <x:v>0.0599133428</x:v>
      </x:c>
      <x:c r="AA69" s="39" t="n">
        <x:v>0.1081032808</x:v>
      </x:c>
      <x:c r="AB69" s="39" t="n">
        <x:v>-0.0962746805</x:v>
      </x:c>
      <x:c r="AC69" s="39" t="n">
        <x:v>0.0391408264</x:v>
      </x:c>
      <x:c r="AD69" s="39" t="n">
        <x:v>0.0606120069</x:v>
      </x:c>
      <x:c r="AE69" s="39" t="n">
        <x:v>0.0927023056</x:v>
      </x:c>
      <x:c r="AF69" s="39" t="n">
        <x:v>0.1698915754</x:v>
      </x:c>
      <x:c r="AG69" s="39" t="n">
        <x:v>-0.0076814064</x:v>
      </x:c>
      <x:c r="AH69" s="39" t="n">
        <x:v>0.1747190667</x:v>
      </x:c>
      <x:c r="AI69" s="39" t="n">
        <x:v>-0.2809064427</x:v>
      </x:c>
      <x:c r="AJ69" s="39" t="n">
        <x:v>0.0258362473</x:v>
      </x:c>
      <x:c r="AK69" s="39" t="n">
        <x:v>0.1016638988</x:v>
      </x:c>
      <x:c r="AL69" s="39" t="n">
        <x:v>0.1858265044</x:v>
      </x:c>
      <x:c r="AM69" s="39" t="n">
        <x:v>0.0520838008</x:v>
      </x:c>
      <x:c r="AN69" s="39" t="n">
        <x:v>0.0434438886</x:v>
      </x:c>
      <x:c r="AO69" s="39" t="n">
        <x:v>0.0188262189</x:v>
      </x:c>
      <x:c r="AP69" s="39" t="n">
        <x:v>-0.002575788</x:v>
      </x:c>
      <x:c r="AQ69" s="39" t="n">
        <x:v>-0.0140968183</x:v>
      </x:c>
      <x:c r="AR69" s="39" t="n">
        <x:v>-0.0702882775</x:v>
      </x:c>
    </x:row>
    <x:row r="70" ht="19" customHeight="1">
      <x:c r="A70" s="40" t="d">
        <x:v>2025-06-16T00:00:00.000Z</x:v>
      </x:c>
      <x:c r="B70" s="39" t="n">
        <x:v>0.2125294656</x:v>
      </x:c>
      <x:c r="C70" s="39" t="n">
        <x:v>0.0348178165</x:v>
      </x:c>
      <x:c r="D70" s="39" t="n">
        <x:v>-0.0148040454</x:v>
      </x:c>
      <x:c r="E70" s="39" t="n">
        <x:v>-0.0302808818</x:v>
      </x:c>
      <x:c r="F70" s="39" t="n">
        <x:v>0.0933091147</x:v>
      </x:c>
      <x:c r="G70" s="39" t="n">
        <x:v>0.0557449368</x:v>
      </x:c>
      <x:c r="H70" s="39" t="n">
        <x:v>0.0567999426</x:v>
      </x:c>
      <x:c r="I70" s="39" t="n">
        <x:v>0.0787208482</x:v>
      </x:c>
      <x:c r="J70" s="39" t="n">
        <x:v>0.2008038839</x:v>
      </x:c>
      <x:c r="K70" s="39" t="n">
        <x:v>0.1248603276</x:v>
      </x:c>
      <x:c r="L70" s="39" t="n">
        <x:v>0.162677732</x:v>
      </x:c>
      <x:c r="M70" s="39" t="n">
        <x:v>0.0282296787</x:v>
      </x:c>
      <x:c r="N70" s="39" t="n">
        <x:v>-0.0215440434</x:v>
      </x:c>
      <x:c r="O70" s="39" t="n">
        <x:v>0.2261078117</x:v>
      </x:c>
      <x:c r="P70" s="39" t="n">
        <x:v>0.1179402303</x:v>
      </x:c>
      <x:c r="Q70" s="39" t="n">
        <x:v>-0.0305146559</x:v>
      </x:c>
      <x:c r="R70" s="39" t="n">
        <x:v>-0.0423042285</x:v>
      </x:c>
      <x:c r="S70" s="39" t="n">
        <x:v>0.1691760874</x:v>
      </x:c>
      <x:c r="T70" s="39" t="n">
        <x:v>-0.0185029055</x:v>
      </x:c>
      <x:c r="U70" s="39" t="n">
        <x:v>0.0816746606</x:v>
      </x:c>
      <x:c r="V70" s="39" t="n">
        <x:v>0.0510535012</x:v>
      </x:c>
      <x:c r="W70" s="39" t="n">
        <x:v>0.000388322</x:v>
      </x:c>
      <x:c r="X70" s="39" t="n">
        <x:v>0.3759585418</x:v>
      </x:c>
      <x:c r="Y70" s="39" t="n">
        <x:v>0.1160660183</x:v>
      </x:c>
      <x:c r="Z70" s="39" t="n">
        <x:v>-0.0760243785</x:v>
      </x:c>
      <x:c r="AA70" s="39" t="n">
        <x:v>0.0865080825</x:v>
      </x:c>
      <x:c r="AB70" s="39" t="n">
        <x:v>0.3326785289</x:v>
      </x:c>
      <x:c r="AC70" s="39" t="n">
        <x:v>-0.0559442943</x:v>
      </x:c>
      <x:c r="AD70" s="39" t="n">
        <x:v>0.029432643</x:v>
      </x:c>
      <x:c r="AE70" s="39" t="n">
        <x:v>0.050690276</x:v>
      </x:c>
      <x:c r="AF70" s="39" t="n">
        <x:v>-0.024128087</x:v>
      </x:c>
      <x:c r="AG70" s="39" t="n">
        <x:v>0.0653255426</x:v>
      </x:c>
      <x:c r="AH70" s="39" t="n">
        <x:v>0.201877667</x:v>
      </x:c>
      <x:c r="AI70" s="39" t="n">
        <x:v>0.0890398801</x:v>
      </x:c>
      <x:c r="AJ70" s="39" t="n">
        <x:v>0.0184726243</x:v>
      </x:c>
      <x:c r="AK70" s="39" t="n">
        <x:v>-0.0537772032</x:v>
      </x:c>
      <x:c r="AL70" s="39" t="n">
        <x:v>0.0786916599</x:v>
      </x:c>
      <x:c r="AM70" s="39" t="n">
        <x:v>-0.0130180251</x:v>
      </x:c>
      <x:c r="AN70" s="39" t="n">
        <x:v>-0.0380286406</x:v>
      </x:c>
      <x:c r="AO70" s="39" t="n">
        <x:v>-0.040964916</x:v>
      </x:c>
      <x:c r="AP70" s="39" t="n">
        <x:v>-0.0463737736</x:v>
      </x:c>
      <x:c r="AQ70" s="39" t="n">
        <x:v>-0.0164536919</x:v>
      </x:c>
      <x:c r="AR70" s="39" t="n">
        <x:v>-0.0504860693</x:v>
      </x:c>
    </x:row>
    <x:row r="71" ht="19" customHeight="1">
      <x:c r="A71" s="40" t="d">
        <x:v>2025-07-14T00:00:00.000Z</x:v>
      </x:c>
      <x:c r="B71" s="39" t="n">
        <x:v>0.056886716</x:v>
      </x:c>
      <x:c r="C71" s="39" t="n">
        <x:v>-0.1859065377</x:v>
      </x:c>
      <x:c r="D71" s="39" t="n">
        <x:v>0.0734660686</x:v>
      </x:c>
      <x:c r="E71" s="39" t="n">
        <x:v>0.0882399685</x:v>
      </x:c>
      <x:c r="F71" s="39" t="n">
        <x:v>0.0488947918</x:v>
      </x:c>
      <x:c r="G71" s="39" t="n">
        <x:v>0.0293022236</x:v>
      </x:c>
      <x:c r="H71" s="39" t="n">
        <x:v>0.1026103805</x:v>
      </x:c>
      <x:c r="I71" s="39" t="n">
        <x:v>0.139806996</x:v>
      </x:c>
      <x:c r="J71" s="39" t="n">
        <x:v>0.1832799797</x:v>
      </x:c>
      <x:c r="K71" s="39" t="n">
        <x:v>0.0478041218</x:v>
      </x:c>
      <x:c r="L71" s="39" t="n">
        <x:v>-0.1089604003</x:v>
      </x:c>
      <x:c r="M71" s="39" t="n">
        <x:v>-0.008098458</x:v>
      </x:c>
      <x:c r="N71" s="39" t="n">
        <x:v>0.0139449151</x:v>
      </x:c>
      <x:c r="O71" s="39" t="n">
        <x:v>0.1863346448</x:v>
      </x:c>
      <x:c r="P71" s="39" t="n">
        <x:v>-0.0548868643</x:v>
      </x:c>
      <x:c r="Q71" s="39" t="n">
        <x:v>0.1032983729</x:v>
      </x:c>
      <x:c r="R71" s="39" t="n">
        <x:v>0.0035183049</x:v>
      </x:c>
      <x:c r="S71" s="39" t="n">
        <x:v>0.1303954851</x:v>
      </x:c>
      <x:c r="T71" s="39" t="n">
        <x:v>0.2557059901</x:v>
      </x:c>
      <x:c r="U71" s="39" t="n">
        <x:v>-0.0376451913</x:v>
      </x:c>
      <x:c r="V71" s="39" t="n">
        <x:v>-0.0246979929</x:v>
      </x:c>
      <x:c r="W71" s="39" t="n">
        <x:v>0.0127984531</x:v>
      </x:c>
      <x:c r="X71" s="39" t="n">
        <x:v>-0.1039919499</x:v>
      </x:c>
      <x:c r="Y71" s="39" t="n">
        <x:v>-0.0009341734</x:v>
      </x:c>
      <x:c r="Z71" s="39" t="n">
        <x:v>-0.0829228749</x:v>
      </x:c>
      <x:c r="AA71" s="39" t="n">
        <x:v>0.29775227</x:v>
      </x:c>
      <x:c r="AB71" s="39" t="n">
        <x:v>0.4087815875</x:v>
      </x:c>
      <x:c r="AC71" s="39" t="n">
        <x:v>-0.0251793885</x:v>
      </x:c>
      <x:c r="AD71" s="39" t="n">
        <x:v>0.071269889</x:v>
      </x:c>
      <x:c r="AE71" s="39" t="n">
        <x:v>0.2196857047</x:v>
      </x:c>
      <x:c r="AF71" s="39" t="n">
        <x:v>0.1946146963</x:v>
      </x:c>
      <x:c r="AG71" s="39" t="n">
        <x:v>0.1109786688</x:v>
      </x:c>
      <x:c r="AH71" s="39" t="n">
        <x:v>0.2749858787</x:v>
      </x:c>
      <x:c r="AI71" s="39" t="n">
        <x:v>0.0159120243</x:v>
      </x:c>
      <x:c r="AJ71" s="39" t="n">
        <x:v>0.0684486561</x:v>
      </x:c>
      <x:c r="AK71" s="39" t="n">
        <x:v>-0.1046240914</x:v>
      </x:c>
      <x:c r="AL71" s="39" t="n">
        <x:v>0.0899325576</x:v>
      </x:c>
      <x:c r="AM71" s="39" t="n">
        <x:v>0.1425296808</x:v>
      </x:c>
      <x:c r="AN71" s="39" t="n">
        <x:v>-0.0413092105</x:v>
      </x:c>
      <x:c r="AO71" s="39" t="n">
        <x:v>0.0375059705</x:v>
      </x:c>
      <x:c r="AP71" s="39" t="n">
        <x:v>0.0198002399</x:v>
      </x:c>
      <x:c r="AQ71" s="39" t="n">
        <x:v>0.1207200377</x:v>
      </x:c>
      <x:c r="AR71" s="39" t="n">
        <x:v>-0.0313409836</x:v>
      </x:c>
    </x:row>
    <x:row r="72" ht="19" customHeight="1">
      <x:c r="A72" s="40" t="d">
        <x:v>2025-08-11T00:00:00.000Z</x:v>
      </x:c>
      <x:c r="B72" s="39" t="n">
        <x:v>0.0305192617</x:v>
      </x:c>
      <x:c r="C72" s="39" t="n">
        <x:v>-0.0980882405</x:v>
      </x:c>
      <x:c r="D72" s="39" t="n">
        <x:v>0.0690202664</x:v>
      </x:c>
      <x:c r="E72" s="39" t="n">
        <x:v>0.0518674874</x:v>
      </x:c>
      <x:c r="F72" s="39" t="n">
        <x:v>-0.0702302518</x:v>
      </x:c>
      <x:c r="G72" s="39" t="n">
        <x:v>-0.2793177395</x:v>
      </x:c>
      <x:c r="H72" s="39" t="n">
        <x:v>0.0295568054</x:v>
      </x:c>
      <x:c r="I72" s="39" t="n">
        <x:v>0.2848201961</x:v>
      </x:c>
      <x:c r="J72" s="39" t="n">
        <x:v>0.0487037013</x:v>
      </x:c>
      <x:c r="K72" s="39" t="n">
        <x:v>-0.0799291632</x:v>
      </x:c>
      <x:c r="L72" s="39" t="n">
        <x:v>-0.0958890351</x:v>
      </x:c>
      <x:c r="M72" s="39" t="n">
        <x:v>-0.0678091458</x:v>
      </x:c>
      <x:c r="N72" s="39" t="n">
        <x:v>0.0165346306</x:v>
      </x:c>
      <x:c r="O72" s="39" t="n">
        <x:v>0.1361922585</x:v>
      </x:c>
      <x:c r="P72" s="39" t="n">
        <x:v>0.2132529577</x:v>
      </x:c>
      <x:c r="Q72" s="39" t="n">
        <x:v>0.069224944</x:v>
      </x:c>
      <x:c r="R72" s="39" t="n">
        <x:v>-0.0039204644</x:v>
      </x:c>
      <x:c r="S72" s="39" t="n">
        <x:v>0.0246495001</x:v>
      </x:c>
      <x:c r="T72" s="39" t="n">
        <x:v>-0.1508632085</x:v>
      </x:c>
      <x:c r="U72" s="39" t="n">
        <x:v>-0.0033777091</x:v>
      </x:c>
      <x:c r="V72" s="39" t="n">
        <x:v>0.0334650428</x:v>
      </x:c>
      <x:c r="W72" s="39" t="n">
        <x:v>-0.0442112592</x:v>
      </x:c>
      <x:c r="X72" s="39" t="n">
        <x:v>0.075971389</x:v>
      </x:c>
      <x:c r="Y72" s="39" t="n">
        <x:v>0.2415066541</x:v>
      </x:c>
      <x:c r="Z72" s="39" t="n">
        <x:v>0.0041341501</x:v>
      </x:c>
      <x:c r="AA72" s="39" t="n">
        <x:v>0.0765396911</x:v>
      </x:c>
      <x:c r="AB72" s="39" t="n">
        <x:v>-0.277162391</x:v>
      </x:c>
      <x:c r="AC72" s="39" t="n">
        <x:v>-0.006593713</x:v>
      </x:c>
      <x:c r="AD72" s="39" t="n">
        <x:v>0.0525569946</x:v>
      </x:c>
      <x:c r="AE72" s="39" t="n">
        <x:v>0.0032616649</x:v>
      </x:c>
      <x:c r="AF72" s="39" t="n">
        <x:v>0.0351381935</x:v>
      </x:c>
      <x:c r="AG72" s="39" t="n">
        <x:v>0.0622834264</x:v>
      </x:c>
      <x:c r="AH72" s="39" t="n">
        <x:v>0.169371458</x:v>
      </x:c>
      <x:c r="AI72" s="39" t="n">
        <x:v>-0.1290214338</x:v>
      </x:c>
      <x:c r="AJ72" s="39" t="n">
        <x:v>0.0390620624</x:v>
      </x:c>
      <x:c r="AK72" s="39" t="n">
        <x:v>-0.1543723066</x:v>
      </x:c>
      <x:c r="AL72" s="39" t="n">
        <x:v>0.0270880521</x:v>
      </x:c>
      <x:c r="AM72" s="39" t="n">
        <x:v>0.1336686132</x:v>
      </x:c>
      <x:c r="AN72" s="39" t="n">
        <x:v>0.032152153</x:v>
      </x:c>
      <x:c r="AO72" s="39" t="n">
        <x:v>0.1454261421</x:v>
      </x:c>
      <x:c r="AP72" s="39" t="n">
        <x:v>0.001381102</x:v>
      </x:c>
      <x:c r="AQ72" s="39" t="n">
        <x:v>0.1048927304</x:v>
      </x:c>
      <x:c r="AR72" s="39" t="n">
        <x:v>0.009858638</x:v>
      </x:c>
    </x:row>
    <x:row r="73" ht="19" customHeight="1">
      <x:c r="A73" s="40" t="d">
        <x:v>2025-09-08T00:00:00.000Z</x:v>
      </x:c>
      <x:c r="B73" s="39" t="n">
        <x:v>0.0850183949</x:v>
      </x:c>
      <x:c r="C73" s="39" t="n">
        <x:v>-0.2101153598</x:v>
      </x:c>
      <x:c r="D73" s="39" t="n">
        <x:v>-0.0319520334</x:v>
      </x:c>
      <x:c r="E73" s="39" t="n">
        <x:v>0.0182381207</x:v>
      </x:c>
      <x:c r="F73" s="39" t="n">
        <x:v>0.0068903142</x:v>
      </x:c>
      <x:c r="G73" s="39" t="n">
        <x:v>-0.1832766126</x:v>
      </x:c>
      <x:c r="H73" s="39" t="n">
        <x:v>-0.0175409292</x:v>
      </x:c>
      <x:c r="I73" s="39" t="n">
        <x:v>0.1421035906</x:v>
      </x:c>
      <x:c r="J73" s="39" t="n">
        <x:v>0.3332516422</x:v>
      </x:c>
      <x:c r="K73" s="39" t="n">
        <x:v>0.1900885677</x:v>
      </x:c>
      <x:c r="L73" s="39" t="n">
        <x:v>-0.0044021232</x:v>
      </x:c>
      <x:c r="M73" s="39" t="n">
        <x:v>-0.0044126544</x:v>
      </x:c>
      <x:c r="N73" s="39" t="n">
        <x:v>0.0105632774</x:v>
      </x:c>
      <x:c r="O73" s="39" t="n">
        <x:v>0.3696709112</x:v>
      </x:c>
      <x:c r="P73" s="39" t="n">
        <x:v>-0.0194540076</x:v>
      </x:c>
      <x:c r="Q73" s="39" t="n">
        <x:v>0.1951967974</x:v>
      </x:c>
      <x:c r="R73" s="39" t="n">
        <x:v>-0.0539408535</x:v>
      </x:c>
      <x:c r="S73" s="39" t="n">
        <x:v>0.135291098</x:v>
      </x:c>
      <x:c r="T73" s="39" t="n">
        <x:v>-0.2453949702</x:v>
      </x:c>
      <x:c r="U73" s="39" t="n">
        <x:v>0.0034996022</x:v>
      </x:c>
      <x:c r="V73" s="39" t="n">
        <x:v>-0.0582018379</x:v>
      </x:c>
      <x:c r="W73" s="39" t="n">
        <x:v>-0.0163991258</x:v>
      </x:c>
      <x:c r="X73" s="39" t="n">
        <x:v>0.3677499986</x:v>
      </x:c>
      <x:c r="Y73" s="39" t="n">
        <x:v>0.1916396712</x:v>
      </x:c>
      <x:c r="Z73" s="39" t="n">
        <x:v>0.0063788839</x:v>
      </x:c>
      <x:c r="AA73" s="39" t="n">
        <x:v>0.0027266329</x:v>
      </x:c>
      <x:c r="AB73" s="39" t="n">
        <x:v>-0.0222116137</x:v>
      </x:c>
      <x:c r="AC73" s="39" t="n">
        <x:v>0.0317060429</x:v>
      </x:c>
      <x:c r="AD73" s="39" t="n">
        <x:v>0.0290319442</x:v>
      </x:c>
      <x:c r="AE73" s="39" t="n">
        <x:v>0.2180044066</x:v>
      </x:c>
      <x:c r="AF73" s="39" t="n">
        <x:v>-0.1198229821</x:v>
      </x:c>
      <x:c r="AG73" s="39" t="n">
        <x:v>0.0506147505</x:v>
      </x:c>
      <x:c r="AH73" s="39" t="n">
        <x:v>-0.1577734943</x:v>
      </x:c>
      <x:c r="AI73" s="39" t="n">
        <x:v>0.1040326654</x:v>
      </x:c>
      <x:c r="AJ73" s="39" t="n">
        <x:v>0.0524806098</x:v>
      </x:c>
      <x:c r="AK73" s="39" t="n">
        <x:v>0.0995781926</x:v>
      </x:c>
      <x:c r="AL73" s="39" t="n">
        <x:v>-0.0255870645</x:v>
      </x:c>
      <x:c r="AM73" s="39" t="n">
        <x:v>0.2338425644</x:v>
      </x:c>
      <x:c r="AN73" s="39" t="n">
        <x:v>-0.0059681667</x:v>
      </x:c>
      <x:c r="AO73" s="39" t="n">
        <x:v>0.0872313568</x:v>
      </x:c>
      <x:c r="AP73" s="39" t="n">
        <x:v>-0.0594421251</x:v>
      </x:c>
      <x:c r="AQ73" s="39" t="n">
        <x:v>0.0214221609</x:v>
      </x:c>
      <x:c r="AR73" s="39" t="n">
        <x:v>0.0476454225</x:v>
      </x:c>
    </x:row>
    <x:row r="74" ht="19" customHeight="1">
      <x:c r="A74" s="40" t="d">
        <x:v>2025-10-06T00:00:00.000Z</x:v>
      </x:c>
      <x:c r="B74" s="39" t="n">
        <x:v>-0.0880816772</x:v>
      </x:c>
      <x:c r="C74" s="39" t="n">
        <x:v>0.0564464347</x:v>
      </x:c>
      <x:c r="D74" s="39" t="n">
        <x:v>0.0949559307</x:v>
      </x:c>
      <x:c r="E74" s="39" t="n">
        <x:v>0.0759904748</x:v>
      </x:c>
      <x:c r="F74" s="39" t="n">
        <x:v>-0.085311389</x:v>
      </x:c>
      <x:c r="G74" s="39" t="n">
        <x:v>0.0430275423</x:v>
      </x:c>
      <x:c r="H74" s="39" t="n">
        <x:v>-0.0751822581</x:v>
      </x:c>
      <x:c r="I74" s="39" t="n">
        <x:v>0.1127717782</x:v>
      </x:c>
      <x:c r="J74" s="39" t="n">
        <x:v>0.131654336</x:v>
      </x:c>
      <x:c r="K74" s="39" t="n">
        <x:v>0.011715451</x:v>
      </x:c>
      <x:c r="L74" s="39" t="n">
        <x:v>0.0280412966</x:v>
      </x:c>
      <x:c r="M74" s="39" t="n">
        <x:v>0.0702005936</x:v>
      </x:c>
      <x:c r="N74" s="39" t="n">
        <x:v>-0.0698994719</x:v>
      </x:c>
      <x:c r="O74" s="39" t="n">
        <x:v>0.2369564485</x:v>
      </x:c>
      <x:c r="P74" s="39" t="n">
        <x:v>0.0978439499</x:v>
      </x:c>
      <x:c r="Q74" s="39" t="n">
        <x:v>0.0621936525</x:v>
      </x:c>
      <x:c r="R74" s="39" t="n">
        <x:v>0.048628088</x:v>
      </x:c>
      <x:c r="S74" s="39" t="n">
        <x:v>-0.0488916813</x:v>
      </x:c>
      <x:c r="T74" s="39" t="n">
        <x:v>0.1873334839</x:v>
      </x:c>
      <x:c r="U74" s="39" t="n">
        <x:v>-0.1032625713</x:v>
      </x:c>
      <x:c r="V74" s="39" t="n">
        <x:v>0.0372624249</x:v>
      </x:c>
      <x:c r="W74" s="39" t="n">
        <x:v>-0.1485285483</x:v>
      </x:c>
      <x:c r="X74" s="39" t="n">
        <x:v>0.2052423242</x:v>
      </x:c>
      <x:c r="Y74" s="39" t="n">
        <x:v>0.1016682403</x:v>
      </x:c>
      <x:c r="Z74" s="39" t="n">
        <x:v>-0.0475264707</x:v>
      </x:c>
      <x:c r="AA74" s="39" t="n">
        <x:v>0.6578875083</x:v>
      </x:c>
      <x:c r="AB74" s="39" t="n">
        <x:v>-0.3704156364</x:v>
      </x:c>
      <x:c r="AC74" s="39" t="n">
        <x:v>-0.0757241589</x:v>
      </x:c>
      <x:c r="AD74" s="39" t="n">
        <x:v>-0.0331681651</x:v>
      </x:c>
      <x:c r="AE74" s="39" t="n">
        <x:v>-0.0115770774</x:v>
      </x:c>
      <x:c r="AF74" s="39" t="n">
        <x:v>-0.0346359802</x:v>
      </x:c>
      <x:c r="AG74" s="39" t="n">
        <x:v>0.0421132421</x:v>
      </x:c>
      <x:c r="AH74" s="39" t="n">
        <x:v>0.4310919035</x:v>
      </x:c>
      <x:c r="AI74" s="39" t="n">
        <x:v>0.1395306169</x:v>
      </x:c>
      <x:c r="AJ74" s="39" t="n">
        <x:v>-0.0270041725</x:v>
      </x:c>
      <x:c r="AK74" s="39" t="n">
        <x:v>0.2342486051</x:v>
      </x:c>
      <x:c r="AL74" s="39" t="n">
        <x:v>0.0029450427</x:v>
      </x:c>
      <x:c r="AM74" s="39" t="n">
        <x:v>-0.0251338578</x:v>
      </x:c>
      <x:c r="AN74" s="39" t="n">
        <x:v>-0.0566326083</x:v>
      </x:c>
      <x:c r="AO74" s="39" t="n">
        <x:v>-0.1669405149</x:v>
      </x:c>
      <x:c r="AP74" s="39" t="n">
        <x:v>0.0114693276</x:v>
      </x:c>
      <x:c r="AQ74" s="39" t="n">
        <x:v>0.0974085706</x:v>
      </x:c>
      <x:c r="AR74" s="39" t="n">
        <x:v>-0.013303514</x:v>
      </x:c>
    </x:row>
    <x:row r="75" ht="19" customHeight="1">
      <x:c r="A75" s="40" t="d">
        <x:v>2025-11-03T00:00:00.000Z</x:v>
      </x:c>
      <x:c r="B75" s="39" t="n">
        <x:v>-0.0434647777</x:v>
      </x:c>
      <x:c r="C75" s="39" t="n">
        <x:v>0.3711550596</x:v>
      </x:c>
      <x:c r="D75" s="39" t="n">
        <x:v>0.0529618985</x:v>
      </x:c>
      <x:c r="E75" s="39" t="n">
        <x:v>0.0288493178</x:v>
      </x:c>
      <x:c r="F75" s="39" t="n">
        <x:v>0.0202738184</x:v>
      </x:c>
      <x:c r="G75" s="39" t="n">
        <x:v>-0.379277047</x:v>
      </x:c>
      <x:c r="H75" s="39" t="n">
        <x:v>0.1752686622</x:v>
      </x:c>
      <x:c r="I75" s="39" t="n">
        <x:v>0.22651007</x:v>
      </x:c>
      <x:c r="J75" s="39" t="n">
        <x:v>0.3807428495</x:v>
      </x:c>
      <x:c r="K75" s="39" t="n">
        <x:v>0.1518871187</x:v>
      </x:c>
      <x:c r="L75" s="39" t="n">
        <x:v>-0.0902158889</x:v>
      </x:c>
      <x:c r="M75" s="39" t="n">
        <x:v>-0.0729663907</x:v>
      </x:c>
      <x:c r="N75" s="39" t="n">
        <x:v>-0.259573691</x:v>
      </x:c>
      <x:c r="O75" s="39" t="n">
        <x:v>0.4961125826</x:v>
      </x:c>
      <x:c r="P75" s="39" t="n">
        <x:v>-0.0834354511</x:v>
      </x:c>
      <x:c r="Q75" s="39" t="n">
        <x:v>0.4068166639</x:v>
      </x:c>
      <x:c r="R75" s="39" t="n">
        <x:v>0.0265120717</x:v>
      </x:c>
      <x:c r="S75" s="39" t="n">
        <x:v>0.1223831318</x:v>
      </x:c>
      <x:c r="T75" s="39" t="n">
        <x:v>-0.1283206222</x:v>
      </x:c>
      <x:c r="U75" s="39" t="n">
        <x:v>-0.2219246707</x:v>
      </x:c>
      <x:c r="V75" s="39" t="n">
        <x:v>-0.1442403762</x:v>
      </x:c>
      <x:c r="W75" s="39" t="n">
        <x:v>-0.1068908623</x:v>
      </x:c>
      <x:c r="X75" s="39" t="n">
        <x:v>0.3885280289</x:v>
      </x:c>
      <x:c r="Y75" s="39" t="n">
        <x:v>-0.0298718364</x:v>
      </x:c>
      <x:c r="Z75" s="39" t="n">
        <x:v>-0.143109129</x:v>
      </x:c>
      <x:c r="AA75" s="39" t="n">
        <x:v>0.1797471359</x:v>
      </x:c>
      <x:c r="AB75" s="39" t="n">
        <x:v>-0.330753606</x:v>
      </x:c>
      <x:c r="AC75" s="39" t="n">
        <x:v>-0.0162548886</x:v>
      </x:c>
      <x:c r="AD75" s="39" t="n">
        <x:v>0.2272284794</x:v>
      </x:c>
      <x:c r="AE75" s="39" t="n">
        <x:v>-0.0571189479</x:v>
      </x:c>
      <x:c r="AF75" s="39" t="n">
        <x:v>-0.1144609549</x:v>
      </x:c>
      <x:c r="AG75" s="39" t="n">
        <x:v>0.1290748963</x:v>
      </x:c>
      <x:c r="AH75" s="39" t="n">
        <x:v>0.1196395229</x:v>
      </x:c>
      <x:c r="AI75" s="39" t="n">
        <x:v>0.148851844</x:v>
      </x:c>
      <x:c r="AJ75" s="39" t="n">
        <x:v>0.1966355423</x:v>
      </x:c>
      <x:c r="AK75" s="39" t="n">
        <x:v>0.3614682978</x:v>
      </x:c>
      <x:c r="AL75" s="39" t="n">
        <x:v>-0.0403639469</x:v>
      </x:c>
      <x:c r="AM75" s="39" t="n">
        <x:v>0.2363979339</x:v>
      </x:c>
      <x:c r="AN75" s="39" t="n">
        <x:v>-0.0092543677</x:v>
      </x:c>
      <x:c r="AO75" s="39" t="n">
        <x:v>-0.017871826</x:v>
      </x:c>
      <x:c r="AP75" s="39" t="n">
        <x:v>0.073400176</x:v>
      </x:c>
      <x:c r="AQ75" s="39" t="n">
        <x:v>-0.0316426295</x:v>
      </x:c>
      <x:c r="AR75" s="39" t="n">
        <x:v>0.0289071912</x:v>
      </x:c>
    </x:row>
    <x:row r="76" ht="19" customHeight="1">
      <x:c r="A76" s="40" t="d">
        <x:v>2025-12-01T00:00:00.000Z</x:v>
      </x:c>
      <x:c r="B76" s="39" t="n">
        <x:v>-0.1943939573</x:v>
      </x:c>
      <x:c r="C76" s="39" t="n">
        <x:v>0.0819630064</x:v>
      </x:c>
      <x:c r="D76" s="39" t="n">
        <x:v>-0.0360381877</x:v>
      </x:c>
      <x:c r="E76" s="39" t="n">
        <x:v>-0.035569581</x:v>
      </x:c>
      <x:c r="F76" s="39" t="n">
        <x:v>-0.0734787367</x:v>
      </x:c>
      <x:c r="G76" s="39" t="n">
        <x:v>0.151593104</x:v>
      </x:c>
      <x:c r="H76" s="39" t="n">
        <x:v>-0.0916280316</x:v>
      </x:c>
      <x:c r="I76" s="39" t="n">
        <x:v>0.0698257255</x:v>
      </x:c>
      <x:c r="J76" s="39" t="n">
        <x:v>-0.0029271015</x:v>
      </x:c>
      <x:c r="K76" s="39" t="n">
        <x:v>-0.0031757738</x:v>
      </x:c>
      <x:c r="L76" s="39" t="n">
        <x:v>-0.0670567345</x:v>
      </x:c>
      <x:c r="M76" s="39" t="n">
        <x:v>0.0861403017</x:v>
      </x:c>
      <x:c r="N76" s="39" t="n">
        <x:v>0.1064564067</x:v>
      </x:c>
      <x:c r="O76" s="39" t="n">
        <x:v>0.0533115963</x:v>
      </x:c>
      <x:c r="P76" s="39" t="n">
        <x:v>0.0557250238</x:v>
      </x:c>
      <x:c r="Q76" s="39" t="n">
        <x:v>-0.0352094358</x:v>
      </x:c>
      <x:c r="R76" s="39" t="n">
        <x:v>-0.0300087935</x:v>
      </x:c>
      <x:c r="S76" s="39" t="n">
        <x:v>-0.2146767513</x:v>
      </x:c>
      <x:c r="T76" s="39" t="n">
        <x:v>0.1766933934</x:v>
      </x:c>
      <x:c r="U76" s="39" t="n">
        <x:v>-0.1304985656</x:v>
      </x:c>
      <x:c r="V76" s="39" t="n">
        <x:v>-0.1403809088</x:v>
      </x:c>
      <x:c r="W76" s="39" t="n">
        <x:v>-0.0021349378</x:v>
      </x:c>
      <x:c r="X76" s="39" t="n">
        <x:v>-0.004298126</x:v>
      </x:c>
      <x:c r="Y76" s="39" t="n">
        <x:v>0.1116124672</x:v>
      </x:c>
      <x:c r="Z76" s="39" t="n">
        <x:v>0.0372524666</x:v>
      </x:c>
      <x:c r="AA76" s="39" t="n">
        <x:v>0.1540082663</x:v>
      </x:c>
      <x:c r="AB76" s="39" t="n">
        <x:v>0.2794378935</x:v>
      </x:c>
      <x:c r="AC76" s="39" t="n">
        <x:v>-0.0354617872</x:v>
      </x:c>
      <x:c r="AD76" s="39" t="n">
        <x:v>-0.0200135981</x:v>
      </x:c>
      <x:c r="AE76" s="39" t="n">
        <x:v>-0.0074838746</x:v>
      </x:c>
      <x:c r="AF76" s="39" t="n">
        <x:v>0.053572611</x:v>
      </x:c>
      <x:c r="AG76" s="39" t="n">
        <x:v>-0.0172394491</x:v>
      </x:c>
      <x:c r="AH76" s="39" t="n">
        <x:v>-0.1006466097</x:v>
      </x:c>
      <x:c r="AI76" s="39" t="n">
        <x:v>0.1318222539</x:v>
      </x:c>
      <x:c r="AJ76" s="39" t="n">
        <x:v>0.1096917877</x:v>
      </x:c>
      <x:c r="AK76" s="39" t="n">
        <x:v>-0.1742152337</x:v>
      </x:c>
      <x:c r="AL76" s="39" t="n">
        <x:v>-0.037941813</x:v>
      </x:c>
      <x:c r="AM76" s="39" t="n">
        <x:v>0.2066729935</x:v>
      </x:c>
      <x:c r="AN76" s="39" t="n">
        <x:v>-0.0450476273</x:v>
      </x:c>
      <x:c r="AO76" s="39" t="n">
        <x:v>-0.0569386325</x:v>
      </x:c>
      <x:c r="AP76" s="39" t="n">
        <x:v>-0.0012068158</x:v>
      </x:c>
      <x:c r="AQ76" s="39" t="n">
        <x:v>0.1246395819</x:v>
      </x:c>
      <x:c r="AR76" s="39" t="n">
        <x:v>0.0153521649</x:v>
      </x:c>
    </x:row>
    <x:row r="77" ht="19" customHeight="1">
      <x:c r="A77" s="40" t="d">
        <x:v>2025-12-29T00:00:00.000Z</x:v>
      </x:c>
      <x:c r="B77" s="39" t="n">
        <x:v>-0.0152080045</x:v>
      </x:c>
      <x:c r="C77" s="39" t="n">
        <x:v>-0.061448329</x:v>
      </x:c>
      <x:c r="D77" s="39" t="n">
        <x:v>-0.0219368003</x:v>
      </x:c>
      <x:c r="E77" s="39" t="n">
        <x:v>-0.0056636164</x:v>
      </x:c>
      <x:c r="F77" s="39" t="n">
        <x:v>0.0992535516</x:v>
      </x:c>
      <x:c r="G77" s="39" t="n">
        <x:v>0.1471753239</x:v>
      </x:c>
      <x:c r="H77" s="39" t="n">
        <x:v>-0.0196600404</x:v>
      </x:c>
      <x:c r="I77" s="39" t="n">
        <x:v>0.0031874521</x:v>
      </x:c>
      <x:c r="J77" s="39" t="n">
        <x:v>0.0495959688</x:v>
      </x:c>
      <x:c r="K77" s="39" t="n">
        <x:v>-0.0769860592</x:v>
      </x:c>
      <x:c r="L77" s="39" t="n">
        <x:v>0.0421363419</x:v>
      </x:c>
      <x:c r="M77" s="39" t="n">
        <x:v>0.0675752627</x:v>
      </x:c>
      <x:c r="N77" s="39" t="n">
        <x:v>0.0279835723</x:v>
      </x:c>
      <x:c r="O77" s="39" t="n">
        <x:v>0.1562254996</x:v>
      </x:c>
      <x:c r="P77" s="39" t="n">
        <x:v>0.0554772516</x:v>
      </x:c>
      <x:c r="Q77" s="39" t="n">
        <x:v>0.0203813531</x:v>
      </x:c>
      <x:c r="R77" s="39" t="n">
        <x:v>0.0002905191</x:v>
      </x:c>
      <x:c r="S77" s="39" t="n">
        <x:v>-0.036748523</x:v>
      </x:c>
      <x:c r="T77" s="39" t="n">
        <x:v>0.1598221714</x:v>
      </x:c>
      <x:c r="U77" s="39" t="n">
        <x:v>0.0331906753</x:v>
      </x:c>
      <x:c r="V77" s="39" t="n">
        <x:v>-0.1432365165</x:v>
      </x:c>
      <x:c r="W77" s="39" t="n">
        <x:v>0.1161251649</x:v>
      </x:c>
      <x:c r="X77" s="39" t="n">
        <x:v>0.4221168928</x:v>
      </x:c>
      <x:c r="Y77" s="39" t="n">
        <x:v>0.1777655617</x:v>
      </x:c>
      <x:c r="Z77" s="39" t="n">
        <x:v>0.0178330825</x:v>
      </x:c>
      <x:c r="AA77" s="39" t="n">
        <x:v>-0.1287285757</x:v>
      </x:c>
      <x:c r="AB77" s="39" t="n">
        <x:v>-0.029081727</x:v>
      </x:c>
      <x:c r="AC77" s="39" t="n">
        <x:v>-0.0172197701</x:v>
      </x:c>
      <x:c r="AD77" s="39" t="n">
        <x:v>0.0347857738</x:v>
      </x:c>
      <x:c r="AE77" s="39" t="n">
        <x:v>0.0612020618</x:v>
      </x:c>
      <x:c r="AF77" s="39" t="n">
        <x:v>0.178440918</x:v>
      </x:c>
      <x:c r="AG77" s="39" t="n">
        <x:v>0.2045848148</x:v>
      </x:c>
      <x:c r="AH77" s="39" t="n">
        <x:v>0.036867395</x:v>
      </x:c>
      <x:c r="AI77" s="39" t="n">
        <x:v>0.0991778149</x:v>
      </x:c>
      <x:c r="AJ77" s="39" t="n">
        <x:v>-0.1314498761</x:v>
      </x:c>
      <x:c r="AK77" s="39" t="n">
        <x:v>0.1035328672</x:v>
      </x:c>
      <x:c r="AL77" s="39" t="n">
        <x:v>-0.0316295788</x:v>
      </x:c>
      <x:c r="AM77" s="39" t="n">
        <x:v>-0.0274870876</x:v>
      </x:c>
      <x:c r="AN77" s="39" t="n">
        <x:v>-0.067980006</x:v>
      </x:c>
      <x:c r="AO77" s="39" t="n">
        <x:v>-0.0371343199</x:v>
      </x:c>
      <x:c r="AP77" s="39" t="n">
        <x:v>-0.0187163649</x:v>
      </x:c>
      <x:c r="AQ77" s="39" t="n">
        <x:v>0.0391861651</x:v>
      </x:c>
      <x:c r="AR77" s="39" t="n">
        <x:v>-0.0221361365</x:v>
      </x:c>
    </x:row>
    <x:row r="78" ht="19" customHeight="1">
      <x:c r="A78" s="40" t="d">
        <x:v>2026-01-26T00:00:00.000Z</x:v>
      </x:c>
      <x:c r="B78" s="39" t="n">
        <x:v>-0.0638151392</x:v>
      </x:c>
      <x:c r="C78" s="39" t="n">
        <x:v>0.3219112191</x:v>
      </x:c>
      <x:c r="D78" s="39" t="n">
        <x:v>0.050573981</x:v>
      </x:c>
      <x:c r="E78" s="39" t="n">
        <x:v>0.0321057662</x:v>
      </x:c>
      <x:c r="F78" s="39" t="n">
        <x:v>0.0126903452</x:v>
      </x:c>
      <x:c r="G78" s="39" t="n">
        <x:v>0.0542389965</x:v>
      </x:c>
      <x:c r="H78" s="39" t="n">
        <x:v>0.0824844337</x:v>
      </x:c>
      <x:c r="I78" s="39" t="n">
        <x:v>0.1939113642</x:v>
      </x:c>
      <x:c r="J78" s="39" t="n">
        <x:v>0.5238753567</x:v>
      </x:c>
      <x:c r="K78" s="39" t="n">
        <x:v>0.1396131378</x:v>
      </x:c>
      <x:c r="L78" s="39" t="n">
        <x:v>0.2271974453</x:v>
      </x:c>
      <x:c r="M78" s="39" t="n">
        <x:v>0.1302990107</x:v>
      </x:c>
      <x:c r="N78" s="39" t="n">
        <x:v>0.0501780291</x:v>
      </x:c>
      <x:c r="O78" s="39" t="n">
        <x:v>0.4314331684</x:v>
      </x:c>
      <x:c r="P78" s="39" t="n">
        <x:v>0.0875133976</x:v>
      </x:c>
      <x:c r="Q78" s="39" t="n">
        <x:v>0.1810451952</x:v>
      </x:c>
      <x:c r="R78" s="39" t="n">
        <x:v>0.1041285043</x:v>
      </x:c>
      <x:c r="S78" s="39" t="n">
        <x:v>-0.1501824779</x:v>
      </x:c>
      <x:c r="T78" s="39" t="n">
        <x:v>0.5346386106</x:v>
      </x:c>
      <x:c r="U78" s="39" t="n">
        <x:v>-0.2293619004</x:v>
      </x:c>
      <x:c r="V78" s="39" t="n">
        <x:v>-0.1290729919</x:v>
      </x:c>
      <x:c r="W78" s="39" t="n">
        <x:v>0.1254220633</x:v>
      </x:c>
      <x:c r="X78" s="39" t="n">
        <x:v>0.4112501076</x:v>
      </x:c>
      <x:c r="Y78" s="39" t="n">
        <x:v>0.1565310765</x:v>
      </x:c>
      <x:c r="Z78" s="39" t="n">
        <x:v>-0.0294298891</x:v>
      </x:c>
      <x:c r="AA78" s="39" t="n">
        <x:v>0.2870383166</x:v>
      </x:c>
      <x:c r="AB78" s="39" t="n">
        <x:v>-0.2328785771</x:v>
      </x:c>
      <x:c r="AC78" s="39" t="n">
        <x:v>0.1126749654</x:v>
      </x:c>
      <x:c r="AD78" s="39" t="n">
        <x:v>0.059540886</x:v>
      </x:c>
      <x:c r="AE78" s="39" t="n">
        <x:v>-0.1742466422</x:v>
      </x:c>
      <x:c r="AF78" s="39" t="n">
        <x:v>0.0386928365</x:v>
      </x:c>
      <x:c r="AG78" s="39" t="n">
        <x:v>0.2764578433</x:v>
      </x:c>
      <x:c r="AH78" s="39" t="n">
        <x:v>0.0864906223</x:v>
      </x:c>
      <x:c r="AI78" s="39" t="n">
        <x:v>-0.0612451696</x:v>
      </x:c>
      <x:c r="AJ78" s="39" t="n">
        <x:v>0.0113545131</x:v>
      </x:c>
      <x:c r="AK78" s="39" t="n">
        <x:v>-0.0185530569</x:v>
      </x:c>
      <x:c r="AL78" s="39" t="n">
        <x:v>-0.1418063201</x:v>
      </x:c>
      <x:c r="AM78" s="39" t="n">
        <x:v>0.1050275256</x:v>
      </x:c>
      <x:c r="AN78" s="39" t="n">
        <x:v>0.1455356308</x:v>
      </x:c>
      <x:c r="AO78" s="39" t="n">
        <x:v>0.1199066443</x:v>
      </x:c>
      <x:c r="AP78" s="39" t="n">
        <x:v>0.1186966558</x:v>
      </x:c>
      <x:c r="AQ78" s="39" t="n">
        <x:v>0.1375051579</x:v>
      </x:c>
      <x:c r="AR78" s="39" t="n">
        <x:v>-0.0501128758</x:v>
      </x:c>
    </x:row>
    <x:row r="79" ht="19" customHeight="1">
      <x:c r="A79" s="40" t="d">
        <x:v>2026-02-23T00:00:00.000Z</x:v>
      </x:c>
      <x:c r="B79" s="39" t="n">
        <x:v>0.1424594139</x:v>
      </x:c>
      <x:c r="C79" s="39" t="n">
        <x:v>-0.0708041111</x:v>
      </x:c>
      <x:c r="D79" s="39" t="n">
        <x:v>0.1806547237</x:v>
      </x:c>
      <x:c r="E79" s="39" t="n">
        <x:v>0.1783640917</x:v>
      </x:c>
      <x:c r="F79" s="39" t="n">
        <x:v>-0.0940445832</x:v>
      </x:c>
      <x:c r="G79" s="39" t="n">
        <x:v>-0.0660083669</x:v>
      </x:c>
      <x:c r="H79" s="39" t="n">
        <x:v>-0.1987573346</x:v>
      </x:c>
      <x:c r="I79" s="39" t="n">
        <x:v>0.3414289766</x:v>
      </x:c>
      <x:c r="J79" s="39" t="n">
        <x:v>0.0005596526</x:v>
      </x:c>
      <x:c r="K79" s="39" t="n">
        <x:v>0.1924712913</x:v>
      </x:c>
      <x:c r="L79" s="39" t="n">
        <x:v>0.1077619836</x:v>
      </x:c>
      <x:c r="M79" s="39" t="n">
        <x:v>0.1307339573</x:v>
      </x:c>
      <x:c r="N79" s="39" t="n">
        <x:v>0.1146338313</x:v>
      </x:c>
      <x:c r="O79" s="39" t="n">
        <x:v>0.1694281758</x:v>
      </x:c>
      <x:c r="P79" s="39" t="n">
        <x:v>0.0490076653</x:v>
      </x:c>
      <x:c r="Q79" s="39" t="n">
        <x:v>0.022147993</x:v>
      </x:c>
      <x:c r="R79" s="39" t="n">
        <x:v>0.1523628883</x:v>
      </x:c>
      <x:c r="S79" s="39" t="n">
        <x:v>-0.0449324203</x:v>
      </x:c>
      <x:c r="T79" s="39" t="n">
        <x:v>0.2970619718</x:v>
      </x:c>
      <x:c r="U79" s="39" t="n">
        <x:v>0.1746779297</x:v>
      </x:c>
      <x:c r="V79" s="39" t="n">
        <x:v>0.2162693028</x:v>
      </x:c>
      <x:c r="W79" s="39" t="n">
        <x:v>0.0606676196</x:v>
      </x:c>
      <x:c r="X79" s="39" t="n">
        <x:v>-0.0092344447</x:v>
      </x:c>
      <x:c r="Y79" s="39" t="n">
        <x:v>0.2220478519</x:v>
      </x:c>
      <x:c r="Z79" s="39" t="n">
        <x:v>0.0408559892</x:v>
      </x:c>
      <x:c r="AA79" s="39" t="n">
        <x:v>0.007981272</x:v>
      </x:c>
      <x:c r="AB79" s="39" t="n">
        <x:v>-0.556403086</x:v>
      </x:c>
      <x:c r="AC79" s="39" t="n">
        <x:v>0.1473431337</x:v>
      </x:c>
      <x:c r="AD79" s="39" t="n">
        <x:v>0.0392436538</x:v>
      </x:c>
      <x:c r="AE79" s="39" t="n">
        <x:v>-0.0035398006</x:v>
      </x:c>
      <x:c r="AF79" s="39" t="n">
        <x:v>-0.0408465762</x:v>
      </x:c>
      <x:c r="AG79" s="39" t="n">
        <x:v>0.0892461033</x:v>
      </x:c>
      <x:c r="AH79" s="39" t="n">
        <x:v>-0.2549754412</x:v>
      </x:c>
      <x:c r="AI79" s="39" t="n">
        <x:v>0.024157368</x:v>
      </x:c>
      <x:c r="AJ79" s="39" t="n">
        <x:v>0.1498704505</x:v>
      </x:c>
      <x:c r="AK79" s="39" t="n">
        <x:v>0.2782376819</x:v>
      </x:c>
      <x:c r="AL79" s="39" t="n">
        <x:v>-0.1354847145</x:v>
      </x:c>
      <x:c r="AM79" s="39" t="n">
        <x:v>-0.1229765421</x:v>
      </x:c>
      <x:c r="AN79" s="39" t="n">
        <x:v>0.1100864362</x:v>
      </x:c>
      <x:c r="AO79" s="39" t="n">
        <x:v>0.0247013621</x:v>
      </x:c>
      <x:c r="AP79" s="39" t="n">
        <x:v>0.1314606147</x:v>
      </x:c>
      <x:c r="AQ79" s="39" t="n">
        <x:v>0.143672804</x:v>
      </x:c>
      <x:c r="AR79" s="39" t="n">
        <x:v>0.0754331316</x:v>
      </x:c>
    </x:row>
    <x:row r="80" ht="19" customHeight="1">
      <x:c r="A80" s="40" t="d">
        <x:v>2026-03-23T00:00:00.000Z</x:v>
      </x:c>
      <x:c r="B80" s="39" t="n">
        <x:v>-0.170607414</x:v>
      </x:c>
      <x:c r="C80" s="39" t="n">
        <x:v>0.387305066</x:v>
      </x:c>
      <x:c r="D80" s="39" t="n">
        <x:v>-0.043510789</x:v>
      </x:c>
      <x:c r="E80" s="39" t="n">
        <x:v>0.0394058562</x:v>
      </x:c>
      <x:c r="F80" s="39" t="n">
        <x:v>-0.2121708276</x:v>
      </x:c>
      <x:c r="G80" s="39" t="n">
        <x:v>-0.2892038192</x:v>
      </x:c>
      <x:c r="H80" s="39" t="n">
        <x:v>-0.0804025102</x:v>
      </x:c>
      <x:c r="I80" s="39" t="n">
        <x:v>-0.0683155596</x:v>
      </x:c>
      <x:c r="J80" s="39" t="n">
        <x:v>-0.1061471855</x:v>
      </x:c>
      <x:c r="K80" s="39" t="n">
        <x:v>0.3354362564</x:v>
      </x:c>
      <x:c r="L80" s="39" t="n">
        <x:v>0.4867748597</x:v>
      </x:c>
      <x:c r="M80" s="39" t="n">
        <x:v>0.0118783054</x:v>
      </x:c>
      <x:c r="N80" s="39" t="n">
        <x:v>-0.2079545788</x:v>
      </x:c>
      <x:c r="O80" s="39" t="n">
        <x:v>-0.0235092267</x:v>
      </x:c>
      <x:c r="P80" s="39" t="n">
        <x:v>-0.1134606461</x:v>
      </x:c>
      <x:c r="Q80" s="39" t="n">
        <x:v>0.5759807236</x:v>
      </x:c>
      <x:c r="R80" s="39" t="n">
        <x:v>-0.0930672454</x:v>
      </x:c>
      <x:c r="S80" s="39" t="n">
        <x:v>0.2542012104</x:v>
      </x:c>
      <x:c r="T80" s="39" t="n">
        <x:v>-0.1200815843</x:v>
      </x:c>
      <x:c r="U80" s="39" t="n">
        <x:v>-0.3586130359</x:v>
      </x:c>
      <x:c r="V80" s="39" t="n">
        <x:v>-0.0457338022</x:v>
      </x:c>
      <x:c r="W80" s="39" t="n">
        <x:v>-0.1370115452</x:v>
      </x:c>
      <x:c r="X80" s="39" t="n">
        <x:v>-0.2215793403</x:v>
      </x:c>
      <x:c r="Y80" s="39" t="n">
        <x:v>-0.3697282315</x:v>
      </x:c>
      <x:c r="Z80" s="39" t="n">
        <x:v>-0.1109455224</x:v>
      </x:c>
      <x:c r="AA80" s="39" t="n">
        <x:v>0.3961697262</x:v>
      </x:c>
      <x:c r="AB80" s="39" t="n">
        <x:v>-0.1461349623</x:v>
      </x:c>
      <x:c r="AC80" s="39" t="n">
        <x:v>-0.2444317638</x:v>
      </x:c>
      <x:c r="AD80" s="39" t="n">
        <x:v>-0.3310313314</x:v>
      </x:c>
      <x:c r="AE80" s="39" t="n">
        <x:v>0.1779829794</x:v>
      </x:c>
      <x:c r="AF80" s="39" t="n">
        <x:v>-0.2739854473</x:v>
      </x:c>
      <x:c r="AG80" s="39" t="n">
        <x:v>-0.2347831089</x:v>
      </x:c>
      <x:c r="AH80" s="39" t="n">
        <x:v>0.0136608804</x:v>
      </x:c>
      <x:c r="AI80" s="39" t="n">
        <x:v>-0.2786063582</x:v>
      </x:c>
      <x:c r="AJ80" s="39" t="n">
        <x:v>-0.0869806338</x:v>
      </x:c>
      <x:c r="AK80" s="39" t="n">
        <x:v>0.0511224924</x:v>
      </x:c>
      <x:c r="AL80" s="39" t="n">
        <x:v>-0.1482500041</x:v>
      </x:c>
      <x:c r="AM80" s="39" t="n">
        <x:v>-0.1962567947</x:v>
      </x:c>
      <x:c r="AN80" s="39" t="n">
        <x:v>-0.0416768431</x:v>
      </x:c>
      <x:c r="AO80" s="39" t="n">
        <x:v>-0.2499274343</x:v>
      </x:c>
      <x:c r="AP80" s="39" t="n">
        <x:v>-0.1042947081</x:v>
      </x:c>
      <x:c r="AQ80" s="39" t="n">
        <x:v>-0.0503892101</x:v>
      </x:c>
      <x:c r="AR80" s="39" t="n">
        <x:v>-0.115666921</x:v>
      </x:c>
    </x:row>
    <x:row r="81" ht="19" customHeight="1">
      <x:c r="A81" s="40" t="d">
        <x:v>2026-04-20T00:00:00.000Z</x:v>
      </x:c>
      <x:c r="B81" s="39" t="n">
        <x:v>0.0868435644</x:v>
      </x:c>
      <x:c r="C81" s="39" t="n">
        <x:v>-0.0716420091</x:v>
      </x:c>
      <x:c r="D81" s="39" t="n">
        <x:v>0.0547364759</x:v>
      </x:c>
      <x:c r="E81" s="39" t="n">
        <x:v>0.0526664131</x:v>
      </x:c>
      <x:c r="F81" s="39" t="n">
        <x:v>0.1635629787</x:v>
      </x:c>
      <x:c r="G81" s="39" t="n">
        <x:v>0.1613129597</x:v>
      </x:c>
      <x:c r="H81" s="39" t="n">
        <x:v>0.4396853229</x:v>
      </x:c>
      <x:c r="I81" s="39" t="n">
        <x:v>0.3653761703</x:v>
      </x:c>
      <x:c r="J81" s="39" t="n">
        <x:v>0.6783768658</x:v>
      </x:c>
      <x:c r="K81" s="39" t="n">
        <x:v>-0.1180177782</x:v>
      </x:c>
      <x:c r="L81" s="39" t="n">
        <x:v>-0.1890015744</x:v>
      </x:c>
      <x:c r="M81" s="39" t="n">
        <x:v>-0.0754942737</x:v>
      </x:c>
      <x:c r="N81" s="39" t="n">
        <x:v>-0.1220459214</x:v>
      </x:c>
      <x:c r="O81" s="39" t="n">
        <x:v>0.6001402255</x:v>
      </x:c>
      <x:c r="P81" s="39" t="n">
        <x:v>0.0864557012</x:v>
      </x:c>
      <x:c r="Q81" s="39" t="n">
        <x:v>0.2449096406</x:v>
      </x:c>
      <x:c r="R81" s="39" t="n">
        <x:v>-0.0471641768</x:v>
      </x:c>
      <x:c r="S81" s="39" t="n">
        <x:v>0.0309180143</x:v>
      </x:c>
      <x:c r="T81" s="39" t="n">
        <x:v>0.0365231784</x:v>
      </x:c>
      <x:c r="U81" s="39" t="n">
        <x:v>-0.1242942654</x:v>
      </x:c>
      <x:c r="V81" s="39" t="n">
        <x:v>-0.0166744061</x:v>
      </x:c>
      <x:c r="W81" s="39" t="n">
        <x:v>-0.0250366783</x:v>
      </x:c>
      <x:c r="X81" s="39" t="n">
        <x:v>0.5166896263</x:v>
      </x:c>
      <x:c r="Y81" s="39" t="n">
        <x:v>0.2619577046</x:v>
      </x:c>
      <x:c r="Z81" s="39" t="n">
        <x:v>0.016864858</x:v>
      </x:c>
      <x:c r="AA81" s="39" t="n">
        <x:v>0.6879418269</x:v>
      </x:c>
      <x:c r="AB81" s="39" t="n">
        <x:v>0.4721090733</x:v>
      </x:c>
      <x:c r="AC81" s="39" t="n">
        <x:v>0.0706174342</x:v>
      </x:c>
      <x:c r="AD81" s="39" t="n">
        <x:v>0.1332113546</x:v>
      </x:c>
      <x:c r="AE81" s="39" t="n">
        <x:v>0.2541256054</x:v>
      </x:c>
      <x:c r="AF81" s="39" t="n">
        <x:v>0.3112944509</x:v>
      </x:c>
      <x:c r="AG81" s="39" t="n">
        <x:v>-0.095076334</x:v>
      </x:c>
      <x:c r="AH81" s="39" t="n">
        <x:v>0.8506314282</x:v>
      </x:c>
      <x:c r="AI81" s="39" t="n">
        <x:v>0.0101616843</x:v>
      </x:c>
      <x:c r="AJ81" s="39" t="n">
        <x:v>0.1004859236</x:v>
      </x:c>
      <x:c r="AK81" s="39" t="n">
        <x:v>0.4235954497</x:v>
      </x:c>
      <x:c r="AL81" s="39" t="n">
        <x:v>0.2725199786</x:v>
      </x:c>
      <x:c r="AM81" s="39" t="n">
        <x:v>0.3559996166</x:v>
      </x:c>
      <x:c r="AN81" s="39" t="n">
        <x:v>0.0428259562</x:v>
      </x:c>
      <x:c r="AO81" s="39" t="n">
        <x:v>0.0678074755</x:v>
      </x:c>
      <x:c r="AP81" s="39" t="n">
        <x:v>0.018906195</x:v>
      </x:c>
      <x:c r="AQ81" s="39" t="n">
        <x:v>-0.0866567878</x:v>
      </x:c>
      <x:c r="AR81" s="39" t="n">
        <x:v>0.0027707262</x:v>
      </x:c>
    </x:row>
    <x:row r="82" ht="19" customHeight="1">
      <x:c r="A82" s="40" t="d">
        <x:v>2026-05-18T00:00:00.000Z</x:v>
      </x:c>
      <x:c r="B82" s="39" t="n">
        <x:v>-0.0800308211</x:v>
      </x:c>
      <x:c r="C82" s="39" t="n">
        <x:v>0.0981244305</x:v>
      </x:c>
      <x:c r="D82" s="39" t="n">
        <x:v>-0.0259484905</x:v>
      </x:c>
      <x:c r="E82" s="39" t="n">
        <x:v>-0.0087771024</x:v>
      </x:c>
      <x:c r="F82" s="39" t="n">
        <x:v>0.0061770458</x:v>
      </x:c>
      <x:c r="G82" s="39" t="n">
        <x:v>-0.0624671587</x:v>
      </x:c>
      <x:c r="H82" s="39" t="n">
        <x:v>0.0139500732</x:v>
      </x:c>
      <x:c r="I82" s="39" t="n">
        <x:v>0.091876543</x:v>
      </x:c>
      <x:c r="J82" s="39" t="n">
        <x:v>0.5185618138</x:v>
      </x:c>
      <x:c r="K82" s="39" t="n">
        <x:v>0.080598002</x:v>
      </x:c>
      <x:c r="L82" s="39" t="n">
        <x:v>0.0165440327</x:v>
      </x:c>
      <x:c r="M82" s="39" t="n">
        <x:v>-0.0322665678</x:v>
      </x:c>
      <x:c r="N82" s="39" t="n">
        <x:v>0.0098942251</x:v>
      </x:c>
      <x:c r="O82" s="39" t="n">
        <x:v>0.2877320825</x:v>
      </x:c>
      <x:c r="P82" s="39" t="n">
        <x:v>0.1185711781</x:v>
      </x:c>
      <x:c r="Q82" s="39" t="n">
        <x:v>0.8087011623</x:v>
      </x:c>
      <x:c r="R82" s="39" t="n">
        <x:v>0.0339942336</x:v>
      </x:c>
      <x:c r="S82" s="39" t="n">
        <x:v>0.0682756085</x:v>
      </x:c>
      <x:c r="T82" s="39" t="n">
        <x:v>-0.125295654</x:v>
      </x:c>
      <x:c r="U82" s="39" t="n">
        <x:v>-0.045086848</x:v>
      </x:c>
      <x:c r="V82" s="39" t="n">
        <x:v>-0.0673545085</x:v>
      </x:c>
      <x:c r="W82" s="39" t="n">
        <x:v>-0.1414857793</x:v>
      </x:c>
      <x:c r="X82" s="39" t="n">
        <x:v>0.6562404537</x:v>
      </x:c>
      <x:c r="Y82" s="39" t="n">
        <x:v>-0.1817941198</x:v>
      </x:c>
      <x:c r="Z82" s="39" t="n">
        <x:v>-0.0109428762</x:v>
      </x:c>
      <x:c r="AA82" s="39" t="n">
        <x:v>-0.2065043331</x:v>
      </x:c>
      <x:c r="AB82" s="39" t="n">
        <x:v>-0.2527936012</x:v>
      </x:c>
      <x:c r="AC82" s="39" t="n">
        <x:v>-0.0405821228</x:v>
      </x:c>
      <x:c r="AD82" s="39" t="n">
        <x:v>0.3172092635</x:v>
      </x:c>
      <x:c r="AE82" s="39" t="n">
        <x:v>0.4581048376</x:v>
      </x:c>
      <x:c r="AF82" s="39" t="n">
        <x:v>-0.0944072916</x:v>
      </x:c>
      <x:c r="AG82" s="39" t="n">
        <x:v>-0.1807244067</x:v>
      </x:c>
      <x:c r="AH82" s="39" t="n">
        <x:v>0.4695267301</x:v>
      </x:c>
      <x:c r="AI82" s="39" t="n">
        <x:v>0.2985110499</x:v>
      </x:c>
      <x:c r="AJ82" s="39" t="n">
        <x:v>0.0608581888</x:v>
      </x:c>
      <x:c r="AK82" s="39" t="n">
        <x:v>0.6212599068</x:v>
      </x:c>
      <x:c r="AL82" s="39" t="n">
        <x:v>-0.0193467817</x:v>
      </x:c>
      <x:c r="AM82" s="39" t="n">
        <x:v>0.1685181077</x:v>
      </x:c>
      <x:c r="AN82" s="39" t="n">
        <x:v>0.0289088796</x:v>
      </x:c>
      <x:c r="AO82" s="39" t="n">
        <x:v>-0.1116918726</x:v>
      </x:c>
      <x:c r="AP82" s="39" t="n">
        <x:v>0.0974234003</x:v>
      </x:c>
      <x:c r="AQ82" s="39" t="n">
        <x:v>0.0470263332</x:v>
      </x:c>
      <x:c r="AR82" s="39" t="n">
        <x:v>0.056682358</x:v>
      </x:c>
    </x:row>
    <x:row r="83" ht="19" customHeight="1">
      <x:c r="A83" s="40" t="d">
        <x:v>2026-06-15T00:00:00.000Z</x:v>
      </x:c>
      <x:c r="B83" s="39" t="n">
        <x:v>0.0752784602</x:v>
      </x:c>
      <x:c r="C83" s="39" t="n">
        <x:v>-0.1535602554</x:v>
      </x:c>
      <x:c r="D83" s="39" t="n">
        <x:v>-0.0484390383</x:v>
      </x:c>
      <x:c r="E83" s="39" t="n">
        <x:v>-0.0185851604</x:v>
      </x:c>
      <x:c r="F83" s="39" t="n">
        <x:v>0.013852259</x:v>
      </x:c>
      <x:c r="G83" s="39" t="n">
        <x:v>-0.0197008737</x:v>
      </x:c>
      <x:c r="H83" s="39" t="n">
        <x:v>-0.138356334</x:v>
      </x:c>
      <x:c r="I83" s="39" t="n">
        <x:v>0.1181107498</x:v>
      </x:c>
      <x:c r="J83" s="39" t="n">
        <x:v>0.443132093</x:v>
      </x:c>
      <x:c r="K83" s="39" t="n">
        <x:v>-0.0710419278</x:v>
      </x:c>
      <x:c r="L83" s="39" t="n">
        <x:v>-0.2696980396</x:v>
      </x:c>
      <x:c r="M83" s="39" t="n">
        <x:v>-0.1762040489</x:v>
      </x:c>
      <x:c r="N83" s="39" t="n">
        <x:v>0.1398707553</x:v>
      </x:c>
      <x:c r="O83" s="39" t="n">
        <x:v>0.696554973</x:v>
      </x:c>
      <x:c r="P83" s="39" t="n">
        <x:v>-0.1093368014</x:v>
      </x:c>
      <x:c r="Q83" s="39" t="n">
        <x:v>0.1438555084</x:v>
      </x:c>
      <x:c r="R83" s="39" t="n">
        <x:v>-0.2609345326</x:v>
      </x:c>
      <x:c r="S83" s="39" t="n">
        <x:v>0.0577180075</x:v>
      </x:c>
      <x:c r="T83" s="39" t="n">
        <x:v>0.5001867706</x:v>
      </x:c>
      <x:c r="U83" s="39" t="n">
        <x:v>0.1488967409</x:v>
      </x:c>
      <x:c r="V83" s="39" t="n">
        <x:v>-0.2180055072</x:v>
      </x:c>
      <x:c r="W83" s="39" t="n">
        <x:v>-0.1881195906</x:v>
      </x:c>
      <x:c r="X83" s="39" t="n">
        <x:v>0.6634857721</x:v>
      </x:c>
      <x:c r="Y83" s="39" t="n">
        <x:v>-0.0548871155</x:v>
      </x:c>
      <x:c r="Z83" s="39" t="n">
        <x:v>0.042684209</x:v>
      </x:c>
      <x:c r="AA83" s="39" t="n">
        <x:v>0.284844421</x:v>
      </x:c>
      <x:c r="AB83" s="39" t="n">
        <x:v>0.2045991365</x:v>
      </x:c>
      <x:c r="AC83" s="39" t="n">
        <x:v>0.064886648</x:v>
      </x:c>
      <x:c r="AD83" s="39" t="n">
        <x:v>-0.0966649438</x:v>
      </x:c>
      <x:c r="AE83" s="39" t="n">
        <x:v>0.3788150144</x:v>
      </x:c>
      <x:c r="AF83" s="39" t="n">
        <x:v>0.0269719456</x:v>
      </x:c>
      <x:c r="AG83" s="39" t="n">
        <x:v>-0.1802948443</x:v>
      </x:c>
      <x:c r="AH83" s="39" t="n">
        <x:v>0.2242244189</x:v>
      </x:c>
      <x:c r="AI83" s="39" t="n">
        <x:v>0.0499667706</x:v>
      </x:c>
      <x:c r="AJ83" s="39" t="n">
        <x:v>-0.0725141598</x:v>
      </x:c>
      <x:c r="AK83" s="39" t="n">
        <x:v>-0.2205018821</x:v>
      </x:c>
      <x:c r="AL83" s="39" t="n">
        <x:v>-0.158191833</x:v>
      </x:c>
      <x:c r="AM83" s="39" t="n">
        <x:v>-0.0631058793</x:v>
      </x:c>
      <x:c r="AN83" s="39" t="n">
        <x:v>-0.1249662774</x:v>
      </x:c>
      <x:c r="AO83" s="39" t="n">
        <x:v>0.1175730616</x:v>
      </x:c>
      <x:c r="AP83" s="39" t="n">
        <x:v>-0.0314758051</x:v>
      </x:c>
      <x:c r="AQ83" s="39" t="n">
        <x:v>-0.0321747952</x:v>
      </x:c>
      <x:c r="AR83" s="39" t="n">
        <x:v>0.0101634027</x:v>
      </x:c>
    </x:row>
    <x:row r="84" ht="19" customHeight="1">
      <x:c r="A84" s="40" t="d">
        <x:v>2026-07-13T00:00:00.000Z</x:v>
      </x:c>
      <x:c r="B84" s="39" t="n">
        <x:v>-0.0827582749</x:v>
      </x:c>
      <x:c r="C84" s="39" t="n">
        <x:v>-0.1116383088</x:v>
      </x:c>
      <x:c r="D84" s="39" t="n">
        <x:v>0.0559374692</x:v>
      </x:c>
      <x:c r="E84" s="39" t="n">
        <x:v>0.031006744</x:v>
      </x:c>
      <x:c r="F84" s="39" t="n">
        <x:v>-0.0883481659</x:v>
      </x:c>
      <x:c r="G84" s="39" t="n">
        <x:v>0.0951758144</x:v>
      </x:c>
      <x:c r="H84" s="39" t="n">
        <x:v>0.0188661656</x:v>
      </x:c>
      <x:c r="I84" s="39" t="n">
        <x:v>-0.2636586143</x:v>
      </x:c>
      <x:c r="J84" s="39" t="n">
        <x:v>-0.499422883</x:v>
      </x:c>
      <x:c r="K84" s="39" t="n">
        <x:v>0.4414398616</x:v>
      </x:c>
      <x:c r="L84" s="39" t="n">
        <x:v>0.2697662126</x:v>
      </x:c>
      <x:c r="M84" s="39" t="n">
        <x:v>0.1257066985</x:v>
      </x:c>
      <x:c r="N84" s="39" t="n">
        <x:v>-0.0495531747</x:v>
      </x:c>
      <x:c r="O84" s="39" t="n">
        <x:v>-0.7299996911</x:v>
      </x:c>
      <x:c r="P84" s="39" t="n">
        <x:v>0.2005840793</x:v>
      </x:c>
      <x:c r="Q84" s="39" t="n">
        <x:v>-0.6147623806</x:v>
      </x:c>
      <x:c r="R84" s="39" t="n">
        <x:v>-0.0088386004</x:v>
      </x:c>
      <x:c r="S84" s="39" t="n">
        <x:v>0.3502308926</x:v>
      </x:c>
      <x:c r="T84" s="39" t="n">
        <x:v>-0.055569251</x:v>
      </x:c>
      <x:c r="U84" s="39" t="n">
        <x:v>0.3047688179</x:v>
      </x:c>
      <x:c r="V84" s="39" t="n">
        <x:v>-0.1883501414</x:v>
      </x:c>
      <x:c r="W84" s="39" t="n">
        <x:v>0.1182208653</x:v>
      </x:c>
      <x:c r="X84" s="39" t="n">
        <x:v>-0.4724700925</x:v>
      </x:c>
      <x:c r="Y84" s="39" t="n">
        <x:v>-0.2382389158</x:v>
      </x:c>
      <x:c r="Z84" s="39" t="n">
        <x:v>0.0250913018</x:v>
      </x:c>
      <x:c r="AA84" s="39" t="n">
        <x:v>0.4049458529</x:v>
      </x:c>
      <x:c r="AB84" s="39" t="n">
        <x:v>-0.154072193</x:v>
      </x:c>
      <x:c r="AC84" s="39" t="n">
        <x:v>-0.0043493341</x:v>
      </x:c>
      <x:c r="AD84" s="39" t="n">
        <x:v>0.0196250937</x:v>
      </x:c>
      <x:c r="AE84" s="39" t="n">
        <x:v>-0.0557023776</x:v>
      </x:c>
      <x:c r="AF84" s="39" t="n">
        <x:v>-0.0649882549</x:v>
      </x:c>
      <x:c r="AG84" s="39" t="n">
        <x:v>-0.0960184555</x:v>
      </x:c>
      <x:c r="AH84" s="39" t="n">
        <x:v>-0.1316037153</x:v>
      </x:c>
      <x:c r="AI84" s="39" t="n">
        <x:v>0.1155289701</x:v>
      </x:c>
      <x:c r="AJ84" s="39" t="n">
        <x:v>0.2662666193</x:v>
      </x:c>
      <x:c r="AK84" s="39" t="n">
        <x:v>-0.4693536771</x:v>
      </x:c>
      <x:c r="AL84" s="39" t="n">
        <x:v>0.0609120728</x:v>
      </x:c>
      <x:c r="AM84" s="39" t="n">
        <x:v>-0.0971621903</x:v>
      </x:c>
      <x:c r="AN84" s="39" t="n">
        <x:v>-0.0182594331</x:v>
      </x:c>
      <x:c r="AO84" s="39" t="n">
        <x:v>0.0222688894</x:v>
      </x:c>
      <x:c r="AP84" s="39" t="n">
        <x:v>0.0440335761</x:v>
      </x:c>
      <x:c r="AQ84" s="39" t="n">
        <x:v>0.167361</x:v>
      </x:c>
      <x:c r="AR84" s="39" t="n">
        <x:v>0.0048302825</x:v>
      </x:c>
    </x:row>
    <x:row r="85" ht="19" customHeight="1">
      <x:c r="A85" s="40" t="d">
        <x:v>2026-08-10T00:00:00.000Z</x:v>
      </x:c>
      <x:c r="B85" s="39" t="n">
        <x:v>-0.0797728912</x:v>
      </x:c>
      <x:c r="C85" s="39" t="n">
        <x:v>0.1074150071</x:v>
      </x:c>
      <x:c r="D85" s="39" t="n">
        <x:v>-0.0715017669</x:v>
      </x:c>
      <x:c r="E85" s="39" t="n">
        <x:v>-0.0710610298</x:v>
      </x:c>
      <x:c r="F85" s="39" t="n">
        <x:v>0.1487690153</x:v>
      </x:c>
      <x:c r="G85" s="39" t="n">
        <x:v>-0.0458292821</x:v>
      </x:c>
      <x:c r="H85" s="39" t="n">
        <x:v>0.1001987869</x:v>
      </x:c>
      <x:c r="I85" s="39" t="n">
        <x:v>0.0969418172</x:v>
      </x:c>
      <x:c r="J85" s="39" t="n">
        <x:v>0.3507094502</x:v>
      </x:c>
      <x:c r="K85" s="39" t="n">
        <x:v>0.1693516199</x:v>
      </x:c>
      <x:c r="L85" s="39" t="n">
        <x:v>-0.0346000359</x:v>
      </x:c>
      <x:c r="M85" s="39" t="n">
        <x:v>0.0234631584</x:v>
      </x:c>
      <x:c r="N85" s="39" t="n">
        <x:v>-0.0067504251</x:v>
      </x:c>
      <x:c r="O85" s="39" t="n">
        <x:v>0.1061178556</x:v>
      </x:c>
      <x:c r="P85" s="39" t="n">
        <x:v>-0.0812768077</x:v>
      </x:c>
      <x:c r="Q85" s="39" t="n">
        <x:v>0.1466498678</x:v>
      </x:c>
      <x:c r="R85" s="39" t="n">
        <x:v>0.1593465578</x:v>
      </x:c>
      <x:c r="S85" s="39" t="n">
        <x:v>0.2130532066</x:v>
      </x:c>
      <x:c r="T85" s="39" t="n">
        <x:v>0.0397035707</x:v>
      </x:c>
      <x:c r="U85" s="39" t="n">
        <x:v>0.303276271</x:v>
      </x:c>
      <x:c r="V85" s="39" t="n">
        <x:v>0.2076346271</x:v>
      </x:c>
      <x:c r="W85" s="39" t="n">
        <x:v>0.1585380729</x:v>
      </x:c>
      <x:c r="X85" s="39" t="n">
        <x:v>0.2235813074</x:v>
      </x:c>
      <x:c r="Y85" s="39" t="n">
        <x:v>0.4507509107</x:v>
      </x:c>
      <x:c r="Z85" s="39" t="n">
        <x:v>0.0130886371</x:v>
      </x:c>
      <x:c r="AA85" s="39" t="n">
        <x:v>0.2989605974</x:v>
      </x:c>
      <x:c r="AB85" s="39" t="n">
        <x:v>0.0508415618</x:v>
      </x:c>
      <x:c r="AC85" s="39" t="n">
        <x:v>-0.0487537759</x:v>
      </x:c>
      <x:c r="AD85" s="39" t="n">
        <x:v>0.0340531353</x:v>
      </x:c>
      <x:c r="AE85" s="39" t="n">
        <x:v>0.4105268767</x:v>
      </x:c>
      <x:c r="AF85" s="39" t="n">
        <x:v>0.1311585201</x:v>
      </x:c>
      <x:c r="AG85" s="39" t="n">
        <x:v>0.3261411175</x:v>
      </x:c>
      <x:c r="AH85" s="39" t="n">
        <x:v>0.0610927946</x:v>
      </x:c>
      <x:c r="AI85" s="39" t="n">
        <x:v>0.0038456525</x:v>
      </x:c>
      <x:c r="AJ85" s="39" t="n">
        <x:v>-0.0472414825</x:v>
      </x:c>
      <x:c r="AK85" s="39" t="n">
        <x:v>0.1015545597</x:v>
      </x:c>
      <x:c r="AL85" s="39" t="n">
        <x:v>0.3800253133</x:v>
      </x:c>
      <x:c r="AM85" s="39" t="n">
        <x:v>-0.004160151</x:v>
      </x:c>
      <x:c r="AN85" s="39" t="n">
        <x:v>0.0378616985</x:v>
      </x:c>
      <x:c r="AO85" s="39" t="n">
        <x:v>-0.0000489794</x:v>
      </x:c>
      <x:c r="AP85" s="39" t="n">
        <x:v>0.1203927656</x:v>
      </x:c>
      <x:c r="AQ85" s="39" t="n">
        <x:v>0.047164254</x:v>
      </x:c>
      <x:c r="AR85" s="39" t="n">
        <x:v>0.0436792941</x:v>
      </x:c>
    </x:row>
  </x:sheetData>
  <x:pageMargins left="0.7" right="0.7" top="0.75" bottom="0.75" header="0.3" footer="0.3"/>
</x:worksheet>
</file>

<file path=xl/worksheets/sheet16.xml><?xml version="1.0" encoding="utf-8"?>
<x:worksheet xmlns:x="http://schemas.openxmlformats.org/spreadsheetml/2006/main">
  <x:sheetPr>
    <x:tabColor rgb="FFFFFFFF"/>
  </x:sheetPr>
  <x:sheetViews>
    <x:sheetView showGridLines="1" workbookViewId="0">
      <x:pane ySplit="5" topLeftCell="A6" activePane="bottomLeft" state="frozen"/>
    </x:sheetView>
  </x:sheetViews>
  <x:sheetFormatPr defaultRowHeight="15"/>
  <x:cols>
    <x:col min="1" max="1" width="15" hidden="0" customWidth="1"/>
    <x:col min="2" max="2" width="48" hidden="0" customWidth="1"/>
    <x:col min="3" max="3" width="28" hidden="0" customWidth="1"/>
    <x:col min="4" max="4" width="28" hidden="0" customWidth="1"/>
    <x:col min="5" max="5" width="28" hidden="0" customWidth="1"/>
  </x:cols>
  <x:sheetData>
    <x:row r="1" ht="19" customHeight="1">
      <x:c r="A1" s="24"/>
      <x:c r="B1" s="24"/>
      <x:c r="C1" s="24"/>
      <x:c r="D1" s="24"/>
      <x:c r="E1" s="24"/>
    </x:row>
    <x:row r="2" ht="19" customHeight="1">
      <x:c r="A2" s="35" t="str">
        <x:v>Company and factor assignments</x:v>
      </x:c>
      <x:c r="B2" s="24"/>
      <x:c r="C2" s="24"/>
      <x:c r="D2" s="24"/>
      <x:c r="E2" s="24"/>
    </x:row>
    <x:row r="3" ht="19" customHeight="1">
      <x:c r="A3" s="28"/>
      <x:c r="B3" s="24"/>
      <x:c r="C3" s="24"/>
      <x:c r="D3" s="24"/>
      <x:c r="E3" s="24"/>
    </x:row>
    <x:row r="4" ht="19" customHeight="1">
      <x:c r="A4" s="24"/>
      <x:c r="B4" s="24"/>
      <x:c r="C4" s="24"/>
      <x:c r="D4" s="24"/>
      <x:c r="E4" s="24"/>
    </x:row>
    <x:row r="5" ht="42" customHeight="1">
      <x:c r="A5" s="36" t="str">
        <x:v>ticker</x:v>
      </x:c>
      <x:c r="B5" s="36" t="str">
        <x:v>company_name</x:v>
      </x:c>
      <x:c r="C5" s="36" t="str">
        <x:v>country</x:v>
      </x:c>
      <x:c r="D5" s="36" t="str">
        <x:v>sector</x:v>
      </x:c>
      <x:c r="E5" s="36" t="str">
        <x:v>currency</x:v>
      </x:c>
    </x:row>
    <x:row r="6" ht="19" customHeight="1">
      <x:c r="A6" s="30" t="str">
        <x:v>VST</x:v>
      </x:c>
      <x:c r="B6" s="39" t="str">
        <x:v>Vistra Corp.</x:v>
      </x:c>
      <x:c r="C6" s="39" t="str">
        <x:v>United States</x:v>
      </x:c>
      <x:c r="D6" s="39" t="str">
        <x:v>Utilities</x:v>
      </x:c>
      <x:c r="E6" s="39" t="str">
        <x:v>USD</x:v>
      </x:c>
    </x:row>
    <x:row r="7" ht="19" customHeight="1">
      <x:c r="A7" s="30" t="str">
        <x:v>VIST</x:v>
      </x:c>
      <x:c r="B7" s="39" t="str">
        <x:v>Vista Energy, S.A.B. de C.V.</x:v>
      </x:c>
      <x:c r="C7" s="39" t="str">
        <x:v>Mexico</x:v>
      </x:c>
      <x:c r="D7" s="39" t="str">
        <x:v>Energy</x:v>
      </x:c>
      <x:c r="E7" s="39" t="str">
        <x:v>MXN</x:v>
      </x:c>
    </x:row>
    <x:row r="8" ht="19" customHeight="1">
      <x:c r="A8" s="30" t="str">
        <x:v>AEP</x:v>
      </x:c>
      <x:c r="B8" s="39" t="str">
        <x:v>American Electric Power Company, Inc.</x:v>
      </x:c>
      <x:c r="C8" s="39" t="str">
        <x:v>United States</x:v>
      </x:c>
      <x:c r="D8" s="39" t="str">
        <x:v>Utilities</x:v>
      </x:c>
      <x:c r="E8" s="39" t="str">
        <x:v>USD</x:v>
      </x:c>
    </x:row>
    <x:row r="9" ht="19" customHeight="1">
      <x:c r="A9" s="30" t="str">
        <x:v>ETR</x:v>
      </x:c>
      <x:c r="B9" s="39" t="str">
        <x:v>Entergy Corporation</x:v>
      </x:c>
      <x:c r="C9" s="39" t="str">
        <x:v>United States</x:v>
      </x:c>
      <x:c r="D9" s="39" t="str">
        <x:v>Utilities</x:v>
      </x:c>
      <x:c r="E9" s="39" t="str">
        <x:v>USD</x:v>
      </x:c>
    </x:row>
    <x:row r="10" ht="19" customHeight="1">
      <x:c r="A10" s="30" t="str">
        <x:v>DIS</x:v>
      </x:c>
      <x:c r="B10" s="39" t="str">
        <x:v>The Walt Disney Company</x:v>
      </x:c>
      <x:c r="C10" s="39" t="str">
        <x:v>United States</x:v>
      </x:c>
      <x:c r="D10" s="39" t="str">
        <x:v>Communication Services</x:v>
      </x:c>
      <x:c r="E10" s="39" t="str">
        <x:v>USD</x:v>
      </x:c>
    </x:row>
    <x:row r="11" ht="19" customHeight="1">
      <x:c r="A11" s="30" t="str">
        <x:v>CMG</x:v>
      </x:c>
      <x:c r="B11" s="39" t="str">
        <x:v>Chipotle Mexican Grill, Inc.</x:v>
      </x:c>
      <x:c r="C11" s="39" t="str">
        <x:v>United States</x:v>
      </x:c>
      <x:c r="D11" s="39" t="str">
        <x:v>Consumer Discretionary</x:v>
      </x:c>
      <x:c r="E11" s="39" t="str">
        <x:v>USD</x:v>
      </x:c>
    </x:row>
    <x:row r="12" ht="19" customHeight="1">
      <x:c r="A12" s="30" t="str">
        <x:v>AMZN</x:v>
      </x:c>
      <x:c r="B12" s="39" t="str">
        <x:v>Amazon.com, Inc.</x:v>
      </x:c>
      <x:c r="C12" s="39" t="str">
        <x:v>United States</x:v>
      </x:c>
      <x:c r="D12" s="39" t="str">
        <x:v>Consumer Discretionary</x:v>
      </x:c>
      <x:c r="E12" s="39" t="str">
        <x:v>USD</x:v>
      </x:c>
    </x:row>
    <x:row r="13" ht="19" customHeight="1">
      <x:c r="A13" s="30" t="str">
        <x:v>FIX</x:v>
      </x:c>
      <x:c r="B13" s="39" t="str">
        <x:v>Comfort Systems USA, Inc.</x:v>
      </x:c>
      <x:c r="C13" s="39" t="str">
        <x:v>United States</x:v>
      </x:c>
      <x:c r="D13" s="39" t="str">
        <x:v>Industrials</x:v>
      </x:c>
      <x:c r="E13" s="39" t="str">
        <x:v>USD</x:v>
      </x:c>
    </x:row>
    <x:row r="14" ht="19" customHeight="1">
      <x:c r="A14" s="30" t="str">
        <x:v>STX</x:v>
      </x:c>
      <x:c r="B14" s="39" t="str">
        <x:v>Seagate Technology Holdings plc</x:v>
      </x:c>
      <x:c r="C14" s="39" t="str">
        <x:v>Singapore</x:v>
      </x:c>
      <x:c r="D14" s="39" t="str">
        <x:v>Technology</x:v>
      </x:c>
      <x:c r="E14" s="39" t="str">
        <x:v>SGD</x:v>
      </x:c>
    </x:row>
    <x:row r="15" ht="19" customHeight="1">
      <x:c r="A15" s="30" t="str">
        <x:v>VLO</x:v>
      </x:c>
      <x:c r="B15" s="39" t="str">
        <x:v>Valero Energy Corporation</x:v>
      </x:c>
      <x:c r="C15" s="39" t="str">
        <x:v>United States</x:v>
      </x:c>
      <x:c r="D15" s="39" t="str">
        <x:v>Energy</x:v>
      </x:c>
      <x:c r="E15" s="39" t="str">
        <x:v>USD</x:v>
      </x:c>
    </x:row>
    <x:row r="16" ht="19" customHeight="1">
      <x:c r="A16" s="30" t="str">
        <x:v>CF</x:v>
      </x:c>
      <x:c r="B16" s="39" t="str">
        <x:v>CF Industries Holdings, Inc.</x:v>
      </x:c>
      <x:c r="C16" s="39" t="str">
        <x:v>United States</x:v>
      </x:c>
      <x:c r="D16" s="39" t="str">
        <x:v>Materials</x:v>
      </x:c>
      <x:c r="E16" s="39" t="str">
        <x:v>USD</x:v>
      </x:c>
    </x:row>
    <x:row r="17" ht="19" customHeight="1">
      <x:c r="A17" s="30" t="str">
        <x:v>NTR</x:v>
      </x:c>
      <x:c r="B17" s="39" t="str">
        <x:v>Nutrien Ltd.</x:v>
      </x:c>
      <x:c r="C17" s="39" t="str">
        <x:v>Canada</x:v>
      </x:c>
      <x:c r="D17" s="39" t="str">
        <x:v>Materials</x:v>
      </x:c>
      <x:c r="E17" s="39" t="str">
        <x:v>CAD</x:v>
      </x:c>
    </x:row>
    <x:row r="18" ht="19" customHeight="1">
      <x:c r="A18" s="30" t="str">
        <x:v>LNN</x:v>
      </x:c>
      <x:c r="B18" s="39" t="str">
        <x:v>Lindsay Corporation</x:v>
      </x:c>
      <x:c r="C18" s="39" t="str">
        <x:v>United States</x:v>
      </x:c>
      <x:c r="D18" s="39" t="str">
        <x:v>Industrials</x:v>
      </x:c>
      <x:c r="E18" s="39" t="str">
        <x:v>USD</x:v>
      </x:c>
    </x:row>
    <x:row r="19" ht="19" customHeight="1">
      <x:c r="A19" s="30" t="str">
        <x:v>WDC</x:v>
      </x:c>
      <x:c r="B19" s="39" t="str">
        <x:v>Western Digital Corporation</x:v>
      </x:c>
      <x:c r="C19" s="39" t="str">
        <x:v>United States</x:v>
      </x:c>
      <x:c r="D19" s="39" t="str">
        <x:v>Technology</x:v>
      </x:c>
      <x:c r="E19" s="39" t="str">
        <x:v>USD</x:v>
      </x:c>
    </x:row>
    <x:row r="20" ht="19" customHeight="1">
      <x:c r="A20" s="30" t="str">
        <x:v>ASND</x:v>
      </x:c>
      <x:c r="B20" s="39" t="str">
        <x:v>Ascendis Pharma A/S</x:v>
      </x:c>
      <x:c r="C20" s="39" t="str">
        <x:v>Denmark</x:v>
      </x:c>
      <x:c r="D20" s="39" t="str">
        <x:v>Health Care</x:v>
      </x:c>
      <x:c r="E20" s="39" t="str">
        <x:v>DKK</x:v>
      </x:c>
    </x:row>
    <x:row r="21" ht="19" customHeight="1">
      <x:c r="A21" s="30" t="str">
        <x:v>DOCN</x:v>
      </x:c>
      <x:c r="B21" s="39" t="str">
        <x:v>DigitalOcean Holdings, Inc.</x:v>
      </x:c>
      <x:c r="C21" s="39" t="str">
        <x:v>United States</x:v>
      </x:c>
      <x:c r="D21" s="39" t="str">
        <x:v>Technology</x:v>
      </x:c>
      <x:c r="E21" s="39" t="str">
        <x:v>USD</x:v>
      </x:c>
    </x:row>
    <x:row r="22" ht="19" customHeight="1">
      <x:c r="A22" s="30" t="str">
        <x:v>CME</x:v>
      </x:c>
      <x:c r="B22" s="39" t="str">
        <x:v>CME Group Inc.</x:v>
      </x:c>
      <x:c r="C22" s="39" t="str">
        <x:v>United States</x:v>
      </x:c>
      <x:c r="D22" s="39" t="str">
        <x:v>Financials</x:v>
      </x:c>
      <x:c r="E22" s="39" t="str">
        <x:v>USD</x:v>
      </x:c>
    </x:row>
    <x:row r="23" ht="19" customHeight="1">
      <x:c r="A23" s="30" t="str">
        <x:v>NET</x:v>
      </x:c>
      <x:c r="B23" s="39" t="str">
        <x:v>Cloudflare, Inc.</x:v>
      </x:c>
      <x:c r="C23" s="39" t="str">
        <x:v>United States</x:v>
      </x:c>
      <x:c r="D23" s="39" t="str">
        <x:v>Technology</x:v>
      </x:c>
      <x:c r="E23" s="39" t="str">
        <x:v>USD</x:v>
      </x:c>
    </x:row>
    <x:row r="24" ht="19" customHeight="1">
      <x:c r="A24" s="30" t="str">
        <x:v>MRNA</x:v>
      </x:c>
      <x:c r="B24" s="39" t="str">
        <x:v>Moderna, Inc.</x:v>
      </x:c>
      <x:c r="C24" s="39" t="str">
        <x:v>United States</x:v>
      </x:c>
      <x:c r="D24" s="39" t="str">
        <x:v>Health Care</x:v>
      </x:c>
      <x:c r="E24" s="39" t="str">
        <x:v>USD</x:v>
      </x:c>
    </x:row>
    <x:row r="25" ht="19" customHeight="1">
      <x:c r="A25" s="30" t="str">
        <x:v>AXON</x:v>
      </x:c>
      <x:c r="B25" s="39" t="str">
        <x:v>Axon Enterprise Inc</x:v>
      </x:c>
      <x:c r="C25" s="39" t="str">
        <x:v>United States</x:v>
      </x:c>
      <x:c r="D25" s="39" t="str">
        <x:v>Industrials</x:v>
      </x:c>
      <x:c r="E25" s="39" t="str">
        <x:v>USD</x:v>
      </x:c>
    </x:row>
    <x:row r="26" ht="19" customHeight="1">
      <x:c r="A26" s="30" t="str">
        <x:v>NFLX</x:v>
      </x:c>
      <x:c r="B26" s="39" t="str">
        <x:v>Netflix, Inc.</x:v>
      </x:c>
      <x:c r="C26" s="39" t="str">
        <x:v>United States</x:v>
      </x:c>
      <x:c r="D26" s="39" t="str">
        <x:v>Communication Services</x:v>
      </x:c>
      <x:c r="E26" s="39" t="str">
        <x:v>USD</x:v>
      </x:c>
    </x:row>
    <x:row r="27" ht="19" customHeight="1">
      <x:c r="A27" s="30" t="str">
        <x:v>CMCSA</x:v>
      </x:c>
      <x:c r="B27" s="39" t="str">
        <x:v>Comcast Corp</x:v>
      </x:c>
      <x:c r="C27" s="39" t="str">
        <x:v>United States</x:v>
      </x:c>
      <x:c r="D27" s="39" t="str">
        <x:v>Communication Services</x:v>
      </x:c>
      <x:c r="E27" s="39" t="str">
        <x:v>USD</x:v>
      </x:c>
    </x:row>
    <x:row r="28" ht="19" customHeight="1">
      <x:c r="A28" s="30" t="str">
        <x:v>MU</x:v>
      </x:c>
      <x:c r="B28" s="39" t="str">
        <x:v>Micron Technology, Inc.</x:v>
      </x:c>
      <x:c r="C28" s="39" t="str">
        <x:v>United States</x:v>
      </x:c>
      <x:c r="D28" s="39" t="str">
        <x:v>Technology</x:v>
      </x:c>
      <x:c r="E28" s="39" t="str">
        <x:v>USD</x:v>
      </x:c>
    </x:row>
    <x:row r="29" ht="19" customHeight="1">
      <x:c r="A29" s="30" t="str">
        <x:v>NEM</x:v>
      </x:c>
      <x:c r="B29" s="39" t="str">
        <x:v>Newmont Corporation</x:v>
      </x:c>
      <x:c r="C29" s="39" t="str">
        <x:v>United States</x:v>
      </x:c>
      <x:c r="D29" s="39" t="str">
        <x:v>Materials</x:v>
      </x:c>
      <x:c r="E29" s="39" t="str">
        <x:v>USD</x:v>
      </x:c>
    </x:row>
    <x:row r="30" ht="19" customHeight="1">
      <x:c r="A30" s="30" t="str">
        <x:v>PGR</x:v>
      </x:c>
      <x:c r="B30" s="39" t="str">
        <x:v>The Progressive Corporation</x:v>
      </x:c>
      <x:c r="C30" s="39" t="str">
        <x:v>United States</x:v>
      </x:c>
      <x:c r="D30" s="39" t="str">
        <x:v>Financials</x:v>
      </x:c>
      <x:c r="E30" s="39" t="str">
        <x:v>USD</x:v>
      </x:c>
    </x:row>
    <x:row r="31" ht="19" customHeight="1">
      <x:c r="A31" s="30" t="str">
        <x:v>ORKA</x:v>
      </x:c>
      <x:c r="B31" s="39" t="str">
        <x:v>Oruka Therapeutics, Inc.</x:v>
      </x:c>
      <x:c r="C31" s="39" t="str">
        <x:v>United States</x:v>
      </x:c>
      <x:c r="D31" s="39" t="str">
        <x:v>Health Care</x:v>
      </x:c>
      <x:c r="E31" s="39" t="str">
        <x:v>USD</x:v>
      </x:c>
    </x:row>
    <x:row r="32" ht="19" customHeight="1">
      <x:c r="A32" s="30" t="str">
        <x:v>UPST</x:v>
      </x:c>
      <x:c r="B32" s="39" t="str">
        <x:v>Upstart Holdings Inc.</x:v>
      </x:c>
      <x:c r="C32" s="39" t="str">
        <x:v>United States</x:v>
      </x:c>
      <x:c r="D32" s="39" t="str">
        <x:v>Financials</x:v>
      </x:c>
      <x:c r="E32" s="39" t="str">
        <x:v>USD</x:v>
      </x:c>
    </x:row>
    <x:row r="33" ht="19" customHeight="1">
      <x:c r="A33" s="30" t="str">
        <x:v>PG</x:v>
      </x:c>
      <x:c r="B33" s="39" t="str">
        <x:v>The Procter &amp; Gamble Company</x:v>
      </x:c>
      <x:c r="C33" s="39" t="str">
        <x:v>United States</x:v>
      </x:c>
      <x:c r="D33" s="39" t="str">
        <x:v>Consumer Staples</x:v>
      </x:c>
      <x:c r="E33" s="39" t="str">
        <x:v>USD</x:v>
      </x:c>
    </x:row>
    <x:row r="34" ht="19" customHeight="1">
      <x:c r="A34" s="30" t="str">
        <x:v>F</x:v>
      </x:c>
      <x:c r="B34" s="39" t="str">
        <x:v>Ford Motor Company</x:v>
      </x:c>
      <x:c r="C34" s="39" t="str">
        <x:v>United States</x:v>
      </x:c>
      <x:c r="D34" s="39" t="str">
        <x:v>Consumer Discretionary</x:v>
      </x:c>
      <x:c r="E34" s="39" t="str">
        <x:v>USD</x:v>
      </x:c>
    </x:row>
    <x:row r="35" ht="19" customHeight="1">
      <x:c r="A35" s="30" t="str">
        <x:v>HPE</x:v>
      </x:c>
      <x:c r="B35" s="39" t="str">
        <x:v>Hewlett Packard Enterprise Company</x:v>
      </x:c>
      <x:c r="C35" s="39" t="str">
        <x:v>United States</x:v>
      </x:c>
      <x:c r="D35" s="39" t="str">
        <x:v>Technology</x:v>
      </x:c>
      <x:c r="E35" s="39" t="str">
        <x:v>USD</x:v>
      </x:c>
    </x:row>
    <x:row r="36" ht="19" customHeight="1">
      <x:c r="A36" s="30" t="str">
        <x:v>BA</x:v>
      </x:c>
      <x:c r="B36" s="39" t="str">
        <x:v>The Boeing Company</x:v>
      </x:c>
      <x:c r="C36" s="39" t="str">
        <x:v>United States</x:v>
      </x:c>
      <x:c r="D36" s="39" t="str">
        <x:v>Industrials</x:v>
      </x:c>
      <x:c r="E36" s="39" t="str">
        <x:v>USD</x:v>
      </x:c>
    </x:row>
    <x:row r="37" ht="19" customHeight="1">
      <x:c r="A37" s="30" t="str">
        <x:v>HII</x:v>
      </x:c>
      <x:c r="B37" s="39" t="str">
        <x:v>Huntington Ingalls Industries, Inc.</x:v>
      </x:c>
      <x:c r="C37" s="39" t="str">
        <x:v>United States</x:v>
      </x:c>
      <x:c r="D37" s="39" t="str">
        <x:v>Industrials</x:v>
      </x:c>
      <x:c r="E37" s="39" t="str">
        <x:v>USD</x:v>
      </x:c>
    </x:row>
    <x:row r="38" ht="19" customHeight="1">
      <x:c r="A38" s="30" t="str">
        <x:v>AMD</x:v>
      </x:c>
      <x:c r="B38" s="39" t="str">
        <x:v>Advanced Micro Devices, Inc.</x:v>
      </x:c>
      <x:c r="C38" s="39" t="str">
        <x:v>United States</x:v>
      </x:c>
      <x:c r="D38" s="39" t="str">
        <x:v>Technology</x:v>
      </x:c>
      <x:c r="E38" s="39" t="str">
        <x:v>USD</x:v>
      </x:c>
    </x:row>
    <x:row r="39" ht="19" customHeight="1">
      <x:c r="A39" s="30" t="str">
        <x:v>LLY</x:v>
      </x:c>
      <x:c r="B39" s="39" t="str">
        <x:v>Eli Lilly and Company</x:v>
      </x:c>
      <x:c r="C39" s="39" t="str">
        <x:v>United States</x:v>
      </x:c>
      <x:c r="D39" s="39" t="str">
        <x:v>Health Care</x:v>
      </x:c>
      <x:c r="E39" s="39" t="str">
        <x:v>USD</x:v>
      </x:c>
    </x:row>
    <x:row r="40" ht="19" customHeight="1">
      <x:c r="A40" s="30" t="str">
        <x:v>WELL</x:v>
      </x:c>
      <x:c r="B40" s="39" t="str">
        <x:v>Welltower Inc</x:v>
      </x:c>
      <x:c r="C40" s="39" t="str">
        <x:v>United States</x:v>
      </x:c>
      <x:c r="D40" s="39" t="str">
        <x:v>Real Estate</x:v>
      </x:c>
      <x:c r="E40" s="39" t="str">
        <x:v>USD</x:v>
      </x:c>
    </x:row>
    <x:row r="41" ht="19" customHeight="1">
      <x:c r="A41" s="30" t="str">
        <x:v>NOK</x:v>
      </x:c>
      <x:c r="B41" s="39" t="str">
        <x:v>Nokia Oyj</x:v>
      </x:c>
      <x:c r="C41" s="39" t="str">
        <x:v>Finland</x:v>
      </x:c>
      <x:c r="D41" s="39" t="str">
        <x:v>Technology</x:v>
      </x:c>
      <x:c r="E41" s="39" t="str">
        <x:v>EUR</x:v>
      </x:c>
    </x:row>
    <x:row r="42" ht="19" customHeight="1">
      <x:c r="A42" s="30" t="str">
        <x:v>MSFT</x:v>
      </x:c>
      <x:c r="B42" s="39" t="str">
        <x:v>Microsoft Corporation</x:v>
      </x:c>
      <x:c r="C42" s="39" t="str">
        <x:v>United States</x:v>
      </x:c>
      <x:c r="D42" s="39" t="str">
        <x:v>Technology</x:v>
      </x:c>
      <x:c r="E42" s="39" t="str">
        <x:v>USD</x:v>
      </x:c>
    </x:row>
    <x:row r="43" ht="19" customHeight="1">
      <x:c r="A43" s="30" t="str">
        <x:v>GOOGL</x:v>
      </x:c>
      <x:c r="B43" s="39" t="str">
        <x:v>Alphabet Inc.</x:v>
      </x:c>
      <x:c r="C43" s="39" t="str">
        <x:v>United States</x:v>
      </x:c>
      <x:c r="D43" s="39" t="str">
        <x:v>Communication Services</x:v>
      </x:c>
      <x:c r="E43" s="39" t="str">
        <x:v>USD</x:v>
      </x:c>
    </x:row>
    <x:row r="44" ht="19" customHeight="1">
      <x:c r="A44" s="30" t="str">
        <x:v>COST</x:v>
      </x:c>
      <x:c r="B44" s="39" t="str">
        <x:v>Costco Wholesale Corporation</x:v>
      </x:c>
      <x:c r="C44" s="39" t="str">
        <x:v>United States</x:v>
      </x:c>
      <x:c r="D44" s="39" t="str">
        <x:v>Consumer Staples</x:v>
      </x:c>
      <x:c r="E44" s="39" t="str">
        <x:v>USD</x:v>
      </x:c>
    </x:row>
    <x:row r="45" ht="19" customHeight="1">
      <x:c r="A45" s="30" t="str">
        <x:v>HD</x:v>
      </x:c>
      <x:c r="B45" s="39" t="str">
        <x:v>The Home Depot, Inc.</x:v>
      </x:c>
      <x:c r="C45" s="39" t="str">
        <x:v>United States</x:v>
      </x:c>
      <x:c r="D45" s="39" t="str">
        <x:v>Consumer Discretionary</x:v>
      </x:c>
      <x:c r="E45" s="39" t="str">
        <x:v>USD</x:v>
      </x:c>
    </x:row>
    <x:row r="46" ht="19" customHeight="1">
      <x:c r="A46" s="30" t="str">
        <x:v>KO</x:v>
      </x:c>
      <x:c r="B46" s="39" t="str">
        <x:v>The Coca-Cola Company</x:v>
      </x:c>
      <x:c r="C46" s="39" t="str">
        <x:v>United States</x:v>
      </x:c>
      <x:c r="D46" s="39" t="str">
        <x:v>Consumer Staples</x:v>
      </x:c>
      <x:c r="E46" s="39" t="str">
        <x:v>USD</x:v>
      </x:c>
    </x:row>
    <x:row r="47" ht="19" customHeight="1">
      <x:c r="A47" s="30" t="str">
        <x:v>JNJ</x:v>
      </x:c>
      <x:c r="B47" s="39" t="str">
        <x:v>Johnson &amp; Johnson</x:v>
      </x:c>
      <x:c r="C47" s="39" t="str">
        <x:v>United States</x:v>
      </x:c>
      <x:c r="D47" s="39" t="str">
        <x:v>Health Care</x:v>
      </x:c>
      <x:c r="E47" s="39" t="str">
        <x:v>USD</x:v>
      </x:c>
    </x:row>
    <x:row r="48" ht="19" customHeight="1">
      <x:c r="A48" s="30" t="str">
        <x:v>BRK-B</x:v>
      </x:c>
      <x:c r="B48" s="39" t="str">
        <x:v>Berkshire Hathaway Inc.</x:v>
      </x:c>
      <x:c r="C48" s="39" t="str">
        <x:v>United States</x:v>
      </x:c>
      <x:c r="D48" s="39" t="str">
        <x:v>Financials</x:v>
      </x:c>
      <x:c r="E48" s="39" t="str">
        <x:v>USD</x:v>
      </x:c>
    </x:row>
  </x:sheetData>
  <x:pageMargins left="0.7" right="0.7" top="0.75" bottom="0.75" header="0.3" footer="0.3"/>
</x:worksheet>
</file>